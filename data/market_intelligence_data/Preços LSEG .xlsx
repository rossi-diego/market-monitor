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rket_intelligence_data\"/>
    </mc:Choice>
  </mc:AlternateContent>
  <xr:revisionPtr revIDLastSave="0" documentId="13_ncr:1_{EF095FE0-9CC0-4012-B8A0-5326736206B2}" xr6:coauthVersionLast="47" xr6:coauthVersionMax="47" xr10:uidLastSave="{00000000-0000-0000-0000-000000000000}"/>
  <bookViews>
    <workbookView xWindow="-108" yWindow="-108" windowWidth="23256" windowHeight="13896" activeTab="2" xr2:uid="{955C9470-2ECF-466D-9733-134E2464F47A}"/>
  </bookViews>
  <sheets>
    <sheet name="ENERGIA" sheetId="4" r:id="rId1"/>
    <sheet name="AGRO" sheetId="6" r:id="rId2"/>
    <sheet name="mensal" sheetId="5" r:id="rId3"/>
  </sheets>
  <calcPr calcId="191029"/>
  <pivotCaches>
    <pivotCache cacheId="16" r:id="rId4"/>
    <pivotCache cacheId="2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66" i="5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AR8" i="5"/>
  <c r="AR7" i="5"/>
  <c r="AR6" i="5"/>
  <c r="AR5" i="5"/>
  <c r="AR4" i="5"/>
  <c r="AR3" i="5"/>
  <c r="AP66" i="5"/>
  <c r="AP65" i="5"/>
  <c r="AP64" i="5"/>
  <c r="AP63" i="5"/>
  <c r="AP62" i="5"/>
  <c r="AP61" i="5"/>
  <c r="AP60" i="5"/>
  <c r="AP59" i="5"/>
  <c r="AP58" i="5"/>
  <c r="AP57" i="5"/>
  <c r="AP56" i="5"/>
  <c r="AP55" i="5"/>
  <c r="AP54" i="5"/>
  <c r="AP53" i="5"/>
  <c r="AP52" i="5"/>
  <c r="AP51" i="5"/>
  <c r="AP50" i="5"/>
  <c r="AP49" i="5"/>
  <c r="AP48" i="5"/>
  <c r="AP47" i="5"/>
  <c r="AP46" i="5"/>
  <c r="AP45" i="5"/>
  <c r="AP44" i="5"/>
  <c r="AP43" i="5"/>
  <c r="AP42" i="5"/>
  <c r="AP41" i="5"/>
  <c r="AP40" i="5"/>
  <c r="AP3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P8" i="5"/>
  <c r="AP7" i="5"/>
  <c r="AP6" i="5"/>
  <c r="AP5" i="5"/>
  <c r="AP4" i="5"/>
  <c r="AP3" i="5"/>
  <c r="AO4" i="5"/>
  <c r="AO3" i="5"/>
  <c r="AN4" i="5"/>
  <c r="AN5" i="5" s="1"/>
  <c r="AO5" i="5" s="1"/>
  <c r="AQ3" i="5"/>
  <c r="AI4" i="5"/>
  <c r="AI5" i="5" s="1"/>
  <c r="AI6" i="5" s="1"/>
  <c r="B2973" i="6"/>
  <c r="C2973" i="6"/>
  <c r="B2974" i="6"/>
  <c r="C2974" i="6"/>
  <c r="B2975" i="6"/>
  <c r="C2975" i="6"/>
  <c r="B2976" i="6"/>
  <c r="C2976" i="6"/>
  <c r="B2977" i="6"/>
  <c r="C2977" i="6"/>
  <c r="B2978" i="6"/>
  <c r="C2978" i="6"/>
  <c r="B2979" i="6"/>
  <c r="C2979" i="6"/>
  <c r="B2980" i="6"/>
  <c r="C2980" i="6"/>
  <c r="B2981" i="6"/>
  <c r="C2981" i="6"/>
  <c r="B2982" i="6"/>
  <c r="C2982" i="6"/>
  <c r="B2983" i="6"/>
  <c r="C2983" i="6"/>
  <c r="B2984" i="6"/>
  <c r="C2984" i="6"/>
  <c r="B2985" i="6"/>
  <c r="C2985" i="6"/>
  <c r="B2986" i="6"/>
  <c r="C2986" i="6"/>
  <c r="B2987" i="6"/>
  <c r="C2987" i="6"/>
  <c r="B2988" i="6"/>
  <c r="C2988" i="6"/>
  <c r="C2972" i="4"/>
  <c r="B2972" i="4"/>
  <c r="C2971" i="4"/>
  <c r="B2971" i="4"/>
  <c r="C2970" i="4"/>
  <c r="B2970" i="4"/>
  <c r="C2969" i="4"/>
  <c r="B2969" i="4"/>
  <c r="C2968" i="4"/>
  <c r="B2968" i="4"/>
  <c r="C2967" i="4"/>
  <c r="B2967" i="4"/>
  <c r="C2966" i="4"/>
  <c r="B2966" i="4"/>
  <c r="C2965" i="4"/>
  <c r="B2965" i="4"/>
  <c r="C2964" i="4"/>
  <c r="B2964" i="4"/>
  <c r="C2963" i="4"/>
  <c r="B2963" i="4"/>
  <c r="C2962" i="4"/>
  <c r="B2962" i="4"/>
  <c r="C2961" i="4"/>
  <c r="B2961" i="4"/>
  <c r="C2960" i="4"/>
  <c r="B2960" i="4"/>
  <c r="C2959" i="4"/>
  <c r="B2959" i="4"/>
  <c r="C2958" i="4"/>
  <c r="B2958" i="4"/>
  <c r="C2957" i="4"/>
  <c r="B2957" i="4"/>
  <c r="C2956" i="4"/>
  <c r="B2956" i="4"/>
  <c r="C2955" i="4"/>
  <c r="B2955" i="4"/>
  <c r="C2954" i="4"/>
  <c r="B2954" i="4"/>
  <c r="C2953" i="4"/>
  <c r="B2953" i="4"/>
  <c r="C2952" i="4"/>
  <c r="B2952" i="4"/>
  <c r="C2951" i="4"/>
  <c r="B2951" i="4"/>
  <c r="C2950" i="4"/>
  <c r="B2950" i="4"/>
  <c r="C2949" i="4"/>
  <c r="B2949" i="4"/>
  <c r="C2948" i="4"/>
  <c r="B2948" i="4"/>
  <c r="C2947" i="4"/>
  <c r="B2947" i="4"/>
  <c r="C2946" i="4"/>
  <c r="B2946" i="4"/>
  <c r="C2945" i="4"/>
  <c r="B2945" i="4"/>
  <c r="C2944" i="4"/>
  <c r="B2944" i="4"/>
  <c r="C2943" i="4"/>
  <c r="B2943" i="4"/>
  <c r="C2942" i="4"/>
  <c r="B2942" i="4"/>
  <c r="C2941" i="4"/>
  <c r="B2941" i="4"/>
  <c r="C2940" i="4"/>
  <c r="B2940" i="4"/>
  <c r="C2939" i="4"/>
  <c r="B2939" i="4"/>
  <c r="C2938" i="4"/>
  <c r="B2938" i="4"/>
  <c r="C2937" i="4"/>
  <c r="B2937" i="4"/>
  <c r="C2936" i="4"/>
  <c r="B2936" i="4"/>
  <c r="C2935" i="4"/>
  <c r="B2935" i="4"/>
  <c r="C2934" i="4"/>
  <c r="B2934" i="4"/>
  <c r="C2933" i="4"/>
  <c r="B2933" i="4"/>
  <c r="C2932" i="4"/>
  <c r="B2932" i="4"/>
  <c r="C2931" i="4"/>
  <c r="B2931" i="4"/>
  <c r="C2930" i="4"/>
  <c r="B2930" i="4"/>
  <c r="C2929" i="4"/>
  <c r="B2929" i="4"/>
  <c r="C2928" i="4"/>
  <c r="B2928" i="4"/>
  <c r="C2927" i="4"/>
  <c r="B2927" i="4"/>
  <c r="C2926" i="4"/>
  <c r="B2926" i="4"/>
  <c r="C2925" i="4"/>
  <c r="B2925" i="4"/>
  <c r="C2924" i="4"/>
  <c r="B2924" i="4"/>
  <c r="C2923" i="4"/>
  <c r="B2923" i="4"/>
  <c r="C2922" i="4"/>
  <c r="B2922" i="4"/>
  <c r="C2921" i="4"/>
  <c r="B2921" i="4"/>
  <c r="C2920" i="4"/>
  <c r="B2920" i="4"/>
  <c r="C2919" i="4"/>
  <c r="B2919" i="4"/>
  <c r="C2918" i="4"/>
  <c r="B2918" i="4"/>
  <c r="C2917" i="4"/>
  <c r="B2917" i="4"/>
  <c r="C2916" i="4"/>
  <c r="B2916" i="4"/>
  <c r="C2915" i="4"/>
  <c r="B2915" i="4"/>
  <c r="C2914" i="4"/>
  <c r="B2914" i="4"/>
  <c r="C2913" i="4"/>
  <c r="B2913" i="4"/>
  <c r="C2912" i="4"/>
  <c r="B2912" i="4"/>
  <c r="C2911" i="4"/>
  <c r="B2911" i="4"/>
  <c r="C2910" i="4"/>
  <c r="B2910" i="4"/>
  <c r="C2909" i="4"/>
  <c r="B2909" i="4"/>
  <c r="C2908" i="4"/>
  <c r="B2908" i="4"/>
  <c r="C2907" i="4"/>
  <c r="B2907" i="4"/>
  <c r="C2906" i="4"/>
  <c r="B2906" i="4"/>
  <c r="C2905" i="4"/>
  <c r="B2905" i="4"/>
  <c r="C2904" i="4"/>
  <c r="B2904" i="4"/>
  <c r="C2903" i="4"/>
  <c r="B2903" i="4"/>
  <c r="C2902" i="4"/>
  <c r="B2902" i="4"/>
  <c r="C2901" i="4"/>
  <c r="B2901" i="4"/>
  <c r="C2900" i="4"/>
  <c r="B2900" i="4"/>
  <c r="C2899" i="4"/>
  <c r="B2899" i="4"/>
  <c r="C2898" i="4"/>
  <c r="B2898" i="4"/>
  <c r="C2897" i="4"/>
  <c r="B2897" i="4"/>
  <c r="C2896" i="4"/>
  <c r="B2896" i="4"/>
  <c r="C2895" i="4"/>
  <c r="B2895" i="4"/>
  <c r="C2894" i="4"/>
  <c r="B2894" i="4"/>
  <c r="C2893" i="4"/>
  <c r="B2893" i="4"/>
  <c r="C2892" i="4"/>
  <c r="B2892" i="4"/>
  <c r="C2891" i="4"/>
  <c r="B2891" i="4"/>
  <c r="C2890" i="4"/>
  <c r="B2890" i="4"/>
  <c r="C2889" i="4"/>
  <c r="B2889" i="4"/>
  <c r="C2888" i="4"/>
  <c r="B2888" i="4"/>
  <c r="C2887" i="4"/>
  <c r="B2887" i="4"/>
  <c r="C2886" i="4"/>
  <c r="B2886" i="4"/>
  <c r="C2885" i="4"/>
  <c r="B2885" i="4"/>
  <c r="C2884" i="4"/>
  <c r="B2884" i="4"/>
  <c r="C2883" i="4"/>
  <c r="B2883" i="4"/>
  <c r="C2882" i="4"/>
  <c r="B2882" i="4"/>
  <c r="C2881" i="4"/>
  <c r="B2881" i="4"/>
  <c r="C2880" i="4"/>
  <c r="B2880" i="4"/>
  <c r="C2879" i="4"/>
  <c r="B2879" i="4"/>
  <c r="C2878" i="4"/>
  <c r="B2878" i="4"/>
  <c r="C2877" i="4"/>
  <c r="B2877" i="4"/>
  <c r="C2876" i="4"/>
  <c r="B2876" i="4"/>
  <c r="C2875" i="4"/>
  <c r="B2875" i="4"/>
  <c r="C2874" i="4"/>
  <c r="B2874" i="4"/>
  <c r="C2873" i="4"/>
  <c r="B2873" i="4"/>
  <c r="C2872" i="4"/>
  <c r="B2872" i="4"/>
  <c r="C2871" i="4"/>
  <c r="B2871" i="4"/>
  <c r="C2870" i="4"/>
  <c r="B2870" i="4"/>
  <c r="C2869" i="4"/>
  <c r="B2869" i="4"/>
  <c r="C2868" i="4"/>
  <c r="B2868" i="4"/>
  <c r="C2867" i="4"/>
  <c r="B2867" i="4"/>
  <c r="C2866" i="4"/>
  <c r="B2866" i="4"/>
  <c r="C2865" i="4"/>
  <c r="B2865" i="4"/>
  <c r="C2864" i="4"/>
  <c r="B2864" i="4"/>
  <c r="C2863" i="4"/>
  <c r="B2863" i="4"/>
  <c r="C2862" i="4"/>
  <c r="B2862" i="4"/>
  <c r="C2861" i="4"/>
  <c r="B2861" i="4"/>
  <c r="C2860" i="4"/>
  <c r="B2860" i="4"/>
  <c r="C2859" i="4"/>
  <c r="B2859" i="4"/>
  <c r="C2858" i="4"/>
  <c r="B2858" i="4"/>
  <c r="C2857" i="4"/>
  <c r="B2857" i="4"/>
  <c r="C2856" i="4"/>
  <c r="B2856" i="4"/>
  <c r="C2855" i="4"/>
  <c r="B2855" i="4"/>
  <c r="C2854" i="4"/>
  <c r="B2854" i="4"/>
  <c r="C2853" i="4"/>
  <c r="B2853" i="4"/>
  <c r="C2852" i="4"/>
  <c r="B2852" i="4"/>
  <c r="C2851" i="4"/>
  <c r="B2851" i="4"/>
  <c r="C2850" i="4"/>
  <c r="B2850" i="4"/>
  <c r="C2849" i="4"/>
  <c r="B2849" i="4"/>
  <c r="C2848" i="4"/>
  <c r="B2848" i="4"/>
  <c r="C2847" i="4"/>
  <c r="B2847" i="4"/>
  <c r="C2846" i="4"/>
  <c r="B2846" i="4"/>
  <c r="C2845" i="4"/>
  <c r="B2845" i="4"/>
  <c r="C2844" i="4"/>
  <c r="B2844" i="4"/>
  <c r="C2843" i="4"/>
  <c r="B2843" i="4"/>
  <c r="C2842" i="4"/>
  <c r="B2842" i="4"/>
  <c r="C2841" i="4"/>
  <c r="B2841" i="4"/>
  <c r="C2840" i="4"/>
  <c r="B2840" i="4"/>
  <c r="C2839" i="4"/>
  <c r="B2839" i="4"/>
  <c r="C2838" i="4"/>
  <c r="B2838" i="4"/>
  <c r="C2837" i="4"/>
  <c r="B2837" i="4"/>
  <c r="C2836" i="4"/>
  <c r="B2836" i="4"/>
  <c r="C2835" i="4"/>
  <c r="B2835" i="4"/>
  <c r="C2834" i="4"/>
  <c r="B2834" i="4"/>
  <c r="C2833" i="4"/>
  <c r="B2833" i="4"/>
  <c r="C2832" i="4"/>
  <c r="B2832" i="4"/>
  <c r="C2831" i="4"/>
  <c r="B2831" i="4"/>
  <c r="C2830" i="4"/>
  <c r="B2830" i="4"/>
  <c r="C2829" i="4"/>
  <c r="B2829" i="4"/>
  <c r="C2828" i="4"/>
  <c r="B2828" i="4"/>
  <c r="C2827" i="4"/>
  <c r="B2827" i="4"/>
  <c r="C2826" i="4"/>
  <c r="B2826" i="4"/>
  <c r="C2825" i="4"/>
  <c r="B2825" i="4"/>
  <c r="C2824" i="4"/>
  <c r="B2824" i="4"/>
  <c r="C2823" i="4"/>
  <c r="B2823" i="4"/>
  <c r="C2822" i="4"/>
  <c r="B2822" i="4"/>
  <c r="C2821" i="4"/>
  <c r="B2821" i="4"/>
  <c r="C2820" i="4"/>
  <c r="B2820" i="4"/>
  <c r="C2819" i="4"/>
  <c r="B2819" i="4"/>
  <c r="C2818" i="4"/>
  <c r="B2818" i="4"/>
  <c r="C2817" i="4"/>
  <c r="B2817" i="4"/>
  <c r="C2816" i="4"/>
  <c r="B2816" i="4"/>
  <c r="C2815" i="4"/>
  <c r="B2815" i="4"/>
  <c r="C2814" i="4"/>
  <c r="B2814" i="4"/>
  <c r="C2813" i="4"/>
  <c r="B2813" i="4"/>
  <c r="C2812" i="4"/>
  <c r="B2812" i="4"/>
  <c r="C2811" i="4"/>
  <c r="B2811" i="4"/>
  <c r="C2810" i="4"/>
  <c r="B2810" i="4"/>
  <c r="C2809" i="4"/>
  <c r="B2809" i="4"/>
  <c r="C2808" i="4"/>
  <c r="B2808" i="4"/>
  <c r="C2807" i="4"/>
  <c r="B2807" i="4"/>
  <c r="C2806" i="4"/>
  <c r="B2806" i="4"/>
  <c r="C2805" i="4"/>
  <c r="B2805" i="4"/>
  <c r="C2804" i="4"/>
  <c r="B2804" i="4"/>
  <c r="C2803" i="4"/>
  <c r="B2803" i="4"/>
  <c r="C2802" i="4"/>
  <c r="B2802" i="4"/>
  <c r="C2801" i="4"/>
  <c r="B2801" i="4"/>
  <c r="C2800" i="4"/>
  <c r="B2800" i="4"/>
  <c r="C2799" i="4"/>
  <c r="B2799" i="4"/>
  <c r="C2798" i="4"/>
  <c r="B2798" i="4"/>
  <c r="C2797" i="4"/>
  <c r="B2797" i="4"/>
  <c r="C2796" i="4"/>
  <c r="B2796" i="4"/>
  <c r="C2795" i="4"/>
  <c r="B2795" i="4"/>
  <c r="C2794" i="4"/>
  <c r="B2794" i="4"/>
  <c r="C2793" i="4"/>
  <c r="B2793" i="4"/>
  <c r="C2792" i="4"/>
  <c r="B2792" i="4"/>
  <c r="C2791" i="4"/>
  <c r="B2791" i="4"/>
  <c r="C2790" i="4"/>
  <c r="B2790" i="4"/>
  <c r="C2789" i="4"/>
  <c r="B2789" i="4"/>
  <c r="C2788" i="4"/>
  <c r="B2788" i="4"/>
  <c r="C2787" i="4"/>
  <c r="B2787" i="4"/>
  <c r="C2786" i="4"/>
  <c r="B2786" i="4"/>
  <c r="C2785" i="4"/>
  <c r="B2785" i="4"/>
  <c r="C2784" i="4"/>
  <c r="B2784" i="4"/>
  <c r="C2783" i="4"/>
  <c r="B2783" i="4"/>
  <c r="C2782" i="4"/>
  <c r="B2782" i="4"/>
  <c r="C2781" i="4"/>
  <c r="B2781" i="4"/>
  <c r="C2780" i="4"/>
  <c r="B2780" i="4"/>
  <c r="C2779" i="4"/>
  <c r="B2779" i="4"/>
  <c r="C2778" i="4"/>
  <c r="B2778" i="4"/>
  <c r="C2777" i="4"/>
  <c r="B2777" i="4"/>
  <c r="C2776" i="4"/>
  <c r="B2776" i="4"/>
  <c r="C2775" i="4"/>
  <c r="B2775" i="4"/>
  <c r="C2774" i="4"/>
  <c r="B2774" i="4"/>
  <c r="C2773" i="4"/>
  <c r="B2773" i="4"/>
  <c r="C2772" i="4"/>
  <c r="B2772" i="4"/>
  <c r="C2771" i="4"/>
  <c r="B2771" i="4"/>
  <c r="C2770" i="4"/>
  <c r="B2770" i="4"/>
  <c r="C2769" i="4"/>
  <c r="B2769" i="4"/>
  <c r="C2768" i="4"/>
  <c r="B2768" i="4"/>
  <c r="C2767" i="4"/>
  <c r="B2767" i="4"/>
  <c r="C2766" i="4"/>
  <c r="B2766" i="4"/>
  <c r="C2765" i="4"/>
  <c r="B2765" i="4"/>
  <c r="C2764" i="4"/>
  <c r="B2764" i="4"/>
  <c r="C2763" i="4"/>
  <c r="B2763" i="4"/>
  <c r="C2762" i="4"/>
  <c r="B2762" i="4"/>
  <c r="C2761" i="4"/>
  <c r="B2761" i="4"/>
  <c r="C2760" i="4"/>
  <c r="B2760" i="4"/>
  <c r="C2759" i="4"/>
  <c r="B2759" i="4"/>
  <c r="C2758" i="4"/>
  <c r="B2758" i="4"/>
  <c r="C2757" i="4"/>
  <c r="B2757" i="4"/>
  <c r="C2756" i="4"/>
  <c r="B2756" i="4"/>
  <c r="C2755" i="4"/>
  <c r="B2755" i="4"/>
  <c r="C2754" i="4"/>
  <c r="B2754" i="4"/>
  <c r="C2753" i="4"/>
  <c r="B2753" i="4"/>
  <c r="C2752" i="4"/>
  <c r="B2752" i="4"/>
  <c r="C2751" i="4"/>
  <c r="B2751" i="4"/>
  <c r="C2750" i="4"/>
  <c r="B2750" i="4"/>
  <c r="C2749" i="4"/>
  <c r="B2749" i="4"/>
  <c r="C2748" i="4"/>
  <c r="B2748" i="4"/>
  <c r="C2747" i="4"/>
  <c r="B2747" i="4"/>
  <c r="C2746" i="4"/>
  <c r="B2746" i="4"/>
  <c r="C2745" i="4"/>
  <c r="B2745" i="4"/>
  <c r="C2744" i="4"/>
  <c r="B2744" i="4"/>
  <c r="C2743" i="4"/>
  <c r="B2743" i="4"/>
  <c r="C2742" i="4"/>
  <c r="B2742" i="4"/>
  <c r="C2741" i="4"/>
  <c r="B2741" i="4"/>
  <c r="C2740" i="4"/>
  <c r="B2740" i="4"/>
  <c r="C2739" i="4"/>
  <c r="B2739" i="4"/>
  <c r="C2738" i="4"/>
  <c r="B2738" i="4"/>
  <c r="C2737" i="4"/>
  <c r="B2737" i="4"/>
  <c r="C2736" i="4"/>
  <c r="B2736" i="4"/>
  <c r="C2735" i="4"/>
  <c r="B2735" i="4"/>
  <c r="C2734" i="4"/>
  <c r="B2734" i="4"/>
  <c r="C2733" i="4"/>
  <c r="B2733" i="4"/>
  <c r="C2732" i="4"/>
  <c r="B2732" i="4"/>
  <c r="C2731" i="4"/>
  <c r="B2731" i="4"/>
  <c r="C2730" i="4"/>
  <c r="B2730" i="4"/>
  <c r="C2729" i="4"/>
  <c r="B2729" i="4"/>
  <c r="C2728" i="4"/>
  <c r="B2728" i="4"/>
  <c r="C2727" i="4"/>
  <c r="B2727" i="4"/>
  <c r="C2726" i="4"/>
  <c r="B2726" i="4"/>
  <c r="C2725" i="4"/>
  <c r="B2725" i="4"/>
  <c r="C2724" i="4"/>
  <c r="B2724" i="4"/>
  <c r="C2723" i="4"/>
  <c r="B2723" i="4"/>
  <c r="C2722" i="4"/>
  <c r="B2722" i="4"/>
  <c r="C2721" i="4"/>
  <c r="B2721" i="4"/>
  <c r="C2720" i="4"/>
  <c r="B2720" i="4"/>
  <c r="C2719" i="4"/>
  <c r="B2719" i="4"/>
  <c r="C2718" i="4"/>
  <c r="B2718" i="4"/>
  <c r="C2717" i="4"/>
  <c r="B2717" i="4"/>
  <c r="C2716" i="4"/>
  <c r="B2716" i="4"/>
  <c r="C2715" i="4"/>
  <c r="B2715" i="4"/>
  <c r="C2714" i="4"/>
  <c r="B2714" i="4"/>
  <c r="C2713" i="4"/>
  <c r="B2713" i="4"/>
  <c r="C2712" i="4"/>
  <c r="B2712" i="4"/>
  <c r="C2711" i="4"/>
  <c r="B2711" i="4"/>
  <c r="C2710" i="4"/>
  <c r="B2710" i="4"/>
  <c r="C2709" i="4"/>
  <c r="B2709" i="4"/>
  <c r="C2708" i="4"/>
  <c r="B2708" i="4"/>
  <c r="C2707" i="4"/>
  <c r="B2707" i="4"/>
  <c r="C2706" i="4"/>
  <c r="B2706" i="4"/>
  <c r="C2705" i="4"/>
  <c r="B2705" i="4"/>
  <c r="C2704" i="4"/>
  <c r="B2704" i="4"/>
  <c r="C2703" i="4"/>
  <c r="B2703" i="4"/>
  <c r="C2702" i="4"/>
  <c r="B2702" i="4"/>
  <c r="C2701" i="4"/>
  <c r="B2701" i="4"/>
  <c r="C2700" i="4"/>
  <c r="B2700" i="4"/>
  <c r="C2699" i="4"/>
  <c r="B2699" i="4"/>
  <c r="C2698" i="4"/>
  <c r="B2698" i="4"/>
  <c r="C2697" i="4"/>
  <c r="B2697" i="4"/>
  <c r="C2696" i="4"/>
  <c r="B2696" i="4"/>
  <c r="C2695" i="4"/>
  <c r="B2695" i="4"/>
  <c r="C2694" i="4"/>
  <c r="B2694" i="4"/>
  <c r="C2693" i="4"/>
  <c r="B2693" i="4"/>
  <c r="C2692" i="4"/>
  <c r="B2692" i="4"/>
  <c r="C2691" i="4"/>
  <c r="B2691" i="4"/>
  <c r="C2690" i="4"/>
  <c r="B2690" i="4"/>
  <c r="C2689" i="4"/>
  <c r="B2689" i="4"/>
  <c r="C2688" i="4"/>
  <c r="B2688" i="4"/>
  <c r="C2687" i="4"/>
  <c r="B2687" i="4"/>
  <c r="C2686" i="4"/>
  <c r="B2686" i="4"/>
  <c r="C2685" i="4"/>
  <c r="B2685" i="4"/>
  <c r="C2684" i="4"/>
  <c r="B2684" i="4"/>
  <c r="C2683" i="4"/>
  <c r="B2683" i="4"/>
  <c r="C2682" i="4"/>
  <c r="B2682" i="4"/>
  <c r="C2681" i="4"/>
  <c r="B2681" i="4"/>
  <c r="C2680" i="4"/>
  <c r="B2680" i="4"/>
  <c r="C2679" i="4"/>
  <c r="B2679" i="4"/>
  <c r="C2678" i="4"/>
  <c r="B2678" i="4"/>
  <c r="C2677" i="4"/>
  <c r="B2677" i="4"/>
  <c r="C2676" i="4"/>
  <c r="B2676" i="4"/>
  <c r="C2675" i="4"/>
  <c r="B2675" i="4"/>
  <c r="C2674" i="4"/>
  <c r="B2674" i="4"/>
  <c r="C2673" i="4"/>
  <c r="B2673" i="4"/>
  <c r="C2672" i="4"/>
  <c r="B2672" i="4"/>
  <c r="C2671" i="4"/>
  <c r="B2671" i="4"/>
  <c r="C2670" i="4"/>
  <c r="B2670" i="4"/>
  <c r="C2669" i="4"/>
  <c r="B2669" i="4"/>
  <c r="C2668" i="4"/>
  <c r="B2668" i="4"/>
  <c r="C2667" i="4"/>
  <c r="B2667" i="4"/>
  <c r="C2666" i="4"/>
  <c r="B2666" i="4"/>
  <c r="C2665" i="4"/>
  <c r="B2665" i="4"/>
  <c r="C2664" i="4"/>
  <c r="B2664" i="4"/>
  <c r="C2663" i="4"/>
  <c r="B2663" i="4"/>
  <c r="C2662" i="4"/>
  <c r="B2662" i="4"/>
  <c r="C2661" i="4"/>
  <c r="B2661" i="4"/>
  <c r="C2660" i="4"/>
  <c r="B2660" i="4"/>
  <c r="C2659" i="4"/>
  <c r="B2659" i="4"/>
  <c r="C2658" i="4"/>
  <c r="B2658" i="4"/>
  <c r="C2657" i="4"/>
  <c r="B2657" i="4"/>
  <c r="C2656" i="4"/>
  <c r="B2656" i="4"/>
  <c r="C2655" i="4"/>
  <c r="B2655" i="4"/>
  <c r="C2654" i="4"/>
  <c r="B2654" i="4"/>
  <c r="C2653" i="4"/>
  <c r="B2653" i="4"/>
  <c r="C2652" i="4"/>
  <c r="B2652" i="4"/>
  <c r="C2651" i="4"/>
  <c r="B2651" i="4"/>
  <c r="C2650" i="4"/>
  <c r="B2650" i="4"/>
  <c r="C2649" i="4"/>
  <c r="B2649" i="4"/>
  <c r="C2648" i="4"/>
  <c r="B2648" i="4"/>
  <c r="C2647" i="4"/>
  <c r="B2647" i="4"/>
  <c r="C2646" i="4"/>
  <c r="B2646" i="4"/>
  <c r="C2645" i="4"/>
  <c r="B2645" i="4"/>
  <c r="C2644" i="4"/>
  <c r="B2644" i="4"/>
  <c r="C2643" i="4"/>
  <c r="B2643" i="4"/>
  <c r="C2642" i="4"/>
  <c r="B2642" i="4"/>
  <c r="C2641" i="4"/>
  <c r="B2641" i="4"/>
  <c r="C2640" i="4"/>
  <c r="B2640" i="4"/>
  <c r="C2639" i="4"/>
  <c r="B2639" i="4"/>
  <c r="C2638" i="4"/>
  <c r="B2638" i="4"/>
  <c r="C2637" i="4"/>
  <c r="B2637" i="4"/>
  <c r="C2636" i="4"/>
  <c r="B2636" i="4"/>
  <c r="C2635" i="4"/>
  <c r="B2635" i="4"/>
  <c r="C2634" i="4"/>
  <c r="B2634" i="4"/>
  <c r="C2633" i="4"/>
  <c r="B2633" i="4"/>
  <c r="C2632" i="4"/>
  <c r="B2632" i="4"/>
  <c r="C2631" i="4"/>
  <c r="B2631" i="4"/>
  <c r="C2630" i="4"/>
  <c r="B2630" i="4"/>
  <c r="C2629" i="4"/>
  <c r="B2629" i="4"/>
  <c r="C2628" i="4"/>
  <c r="B2628" i="4"/>
  <c r="C2627" i="4"/>
  <c r="B2627" i="4"/>
  <c r="C2626" i="4"/>
  <c r="B2626" i="4"/>
  <c r="C2625" i="4"/>
  <c r="B2625" i="4"/>
  <c r="C2624" i="4"/>
  <c r="B2624" i="4"/>
  <c r="C2623" i="4"/>
  <c r="B2623" i="4"/>
  <c r="C2622" i="4"/>
  <c r="B2622" i="4"/>
  <c r="C2621" i="4"/>
  <c r="B2621" i="4"/>
  <c r="C2620" i="4"/>
  <c r="B2620" i="4"/>
  <c r="C2619" i="4"/>
  <c r="B2619" i="4"/>
  <c r="C2618" i="4"/>
  <c r="B2618" i="4"/>
  <c r="C2617" i="4"/>
  <c r="B2617" i="4"/>
  <c r="C2616" i="4"/>
  <c r="B2616" i="4"/>
  <c r="C2615" i="4"/>
  <c r="B2615" i="4"/>
  <c r="C2614" i="4"/>
  <c r="B2614" i="4"/>
  <c r="C2613" i="4"/>
  <c r="B2613" i="4"/>
  <c r="C2612" i="4"/>
  <c r="B2612" i="4"/>
  <c r="C2611" i="4"/>
  <c r="B2611" i="4"/>
  <c r="C2610" i="4"/>
  <c r="B2610" i="4"/>
  <c r="C2609" i="4"/>
  <c r="B2609" i="4"/>
  <c r="C2608" i="4"/>
  <c r="B2608" i="4"/>
  <c r="C2607" i="4"/>
  <c r="B2607" i="4"/>
  <c r="C2606" i="4"/>
  <c r="B2606" i="4"/>
  <c r="C2605" i="4"/>
  <c r="B2605" i="4"/>
  <c r="C2604" i="4"/>
  <c r="B2604" i="4"/>
  <c r="C2603" i="4"/>
  <c r="B2603" i="4"/>
  <c r="C2602" i="4"/>
  <c r="B2602" i="4"/>
  <c r="C2601" i="4"/>
  <c r="B2601" i="4"/>
  <c r="C2600" i="4"/>
  <c r="B2600" i="4"/>
  <c r="C2599" i="4"/>
  <c r="B2599" i="4"/>
  <c r="C2598" i="4"/>
  <c r="B2598" i="4"/>
  <c r="C2597" i="4"/>
  <c r="B2597" i="4"/>
  <c r="C2596" i="4"/>
  <c r="B2596" i="4"/>
  <c r="C2595" i="4"/>
  <c r="B2595" i="4"/>
  <c r="C2594" i="4"/>
  <c r="B2594" i="4"/>
  <c r="C2593" i="4"/>
  <c r="B2593" i="4"/>
  <c r="C2592" i="4"/>
  <c r="B2592" i="4"/>
  <c r="C2591" i="4"/>
  <c r="B2591" i="4"/>
  <c r="C2590" i="4"/>
  <c r="B2590" i="4"/>
  <c r="C2589" i="4"/>
  <c r="B2589" i="4"/>
  <c r="C2588" i="4"/>
  <c r="B2588" i="4"/>
  <c r="C2587" i="4"/>
  <c r="B2587" i="4"/>
  <c r="C2586" i="4"/>
  <c r="B2586" i="4"/>
  <c r="C2585" i="4"/>
  <c r="B2585" i="4"/>
  <c r="C2584" i="4"/>
  <c r="B2584" i="4"/>
  <c r="C2583" i="4"/>
  <c r="B2583" i="4"/>
  <c r="C2582" i="4"/>
  <c r="B2582" i="4"/>
  <c r="C2581" i="4"/>
  <c r="B2581" i="4"/>
  <c r="C2580" i="4"/>
  <c r="B2580" i="4"/>
  <c r="C2579" i="4"/>
  <c r="B2579" i="4"/>
  <c r="C2578" i="4"/>
  <c r="B2578" i="4"/>
  <c r="C2577" i="4"/>
  <c r="B2577" i="4"/>
  <c r="C2576" i="4"/>
  <c r="B2576" i="4"/>
  <c r="C2575" i="4"/>
  <c r="B2575" i="4"/>
  <c r="C2574" i="4"/>
  <c r="B2574" i="4"/>
  <c r="C2573" i="4"/>
  <c r="B2573" i="4"/>
  <c r="C2572" i="4"/>
  <c r="B2572" i="4"/>
  <c r="C2571" i="4"/>
  <c r="B2571" i="4"/>
  <c r="C2570" i="4"/>
  <c r="B2570" i="4"/>
  <c r="C2569" i="4"/>
  <c r="B2569" i="4"/>
  <c r="C2568" i="4"/>
  <c r="B2568" i="4"/>
  <c r="C2567" i="4"/>
  <c r="B2567" i="4"/>
  <c r="C2566" i="4"/>
  <c r="B2566" i="4"/>
  <c r="C2565" i="4"/>
  <c r="B2565" i="4"/>
  <c r="C2564" i="4"/>
  <c r="B2564" i="4"/>
  <c r="C2563" i="4"/>
  <c r="B2563" i="4"/>
  <c r="C2562" i="4"/>
  <c r="B2562" i="4"/>
  <c r="C2561" i="4"/>
  <c r="B2561" i="4"/>
  <c r="C2560" i="4"/>
  <c r="B2560" i="4"/>
  <c r="C2559" i="4"/>
  <c r="B2559" i="4"/>
  <c r="C2558" i="4"/>
  <c r="B2558" i="4"/>
  <c r="C2557" i="4"/>
  <c r="B2557" i="4"/>
  <c r="C2556" i="4"/>
  <c r="B2556" i="4"/>
  <c r="C2555" i="4"/>
  <c r="B2555" i="4"/>
  <c r="C2554" i="4"/>
  <c r="B2554" i="4"/>
  <c r="C2553" i="4"/>
  <c r="B2553" i="4"/>
  <c r="C2552" i="4"/>
  <c r="B2552" i="4"/>
  <c r="C2551" i="4"/>
  <c r="B2551" i="4"/>
  <c r="C2550" i="4"/>
  <c r="B2550" i="4"/>
  <c r="C2549" i="4"/>
  <c r="B2549" i="4"/>
  <c r="C2548" i="4"/>
  <c r="B2548" i="4"/>
  <c r="C2547" i="4"/>
  <c r="B2547" i="4"/>
  <c r="C2546" i="4"/>
  <c r="B2546" i="4"/>
  <c r="C2545" i="4"/>
  <c r="B2545" i="4"/>
  <c r="C2544" i="4"/>
  <c r="B2544" i="4"/>
  <c r="C2543" i="4"/>
  <c r="B2543" i="4"/>
  <c r="C2542" i="4"/>
  <c r="B2542" i="4"/>
  <c r="C2541" i="4"/>
  <c r="B2541" i="4"/>
  <c r="C2540" i="4"/>
  <c r="B2540" i="4"/>
  <c r="C2539" i="4"/>
  <c r="B2539" i="4"/>
  <c r="C2538" i="4"/>
  <c r="B2538" i="4"/>
  <c r="C2537" i="4"/>
  <c r="B2537" i="4"/>
  <c r="C2536" i="4"/>
  <c r="B2536" i="4"/>
  <c r="C2535" i="4"/>
  <c r="B2535" i="4"/>
  <c r="C2534" i="4"/>
  <c r="B2534" i="4"/>
  <c r="C2533" i="4"/>
  <c r="B2533" i="4"/>
  <c r="C2532" i="4"/>
  <c r="B2532" i="4"/>
  <c r="C2531" i="4"/>
  <c r="B2531" i="4"/>
  <c r="C2530" i="4"/>
  <c r="B2530" i="4"/>
  <c r="C2529" i="4"/>
  <c r="B2529" i="4"/>
  <c r="C2528" i="4"/>
  <c r="B2528" i="4"/>
  <c r="C2527" i="4"/>
  <c r="B2527" i="4"/>
  <c r="C2526" i="4"/>
  <c r="B2526" i="4"/>
  <c r="C2525" i="4"/>
  <c r="B2525" i="4"/>
  <c r="C2524" i="4"/>
  <c r="B2524" i="4"/>
  <c r="C2523" i="4"/>
  <c r="B2523" i="4"/>
  <c r="C2522" i="4"/>
  <c r="B2522" i="4"/>
  <c r="C2521" i="4"/>
  <c r="B2521" i="4"/>
  <c r="C2520" i="4"/>
  <c r="B2520" i="4"/>
  <c r="C2519" i="4"/>
  <c r="B2519" i="4"/>
  <c r="C2518" i="4"/>
  <c r="B2518" i="4"/>
  <c r="C2517" i="4"/>
  <c r="B2517" i="4"/>
  <c r="C2516" i="4"/>
  <c r="B2516" i="4"/>
  <c r="C2515" i="4"/>
  <c r="B2515" i="4"/>
  <c r="C2514" i="4"/>
  <c r="B2514" i="4"/>
  <c r="C2513" i="4"/>
  <c r="B2513" i="4"/>
  <c r="C2512" i="4"/>
  <c r="B2512" i="4"/>
  <c r="C2511" i="4"/>
  <c r="B2511" i="4"/>
  <c r="C2510" i="4"/>
  <c r="B2510" i="4"/>
  <c r="C2509" i="4"/>
  <c r="B2509" i="4"/>
  <c r="C2508" i="4"/>
  <c r="B2508" i="4"/>
  <c r="C2507" i="4"/>
  <c r="B2507" i="4"/>
  <c r="C2506" i="4"/>
  <c r="B2506" i="4"/>
  <c r="C2505" i="4"/>
  <c r="B2505" i="4"/>
  <c r="C2504" i="4"/>
  <c r="B2504" i="4"/>
  <c r="C2503" i="4"/>
  <c r="B2503" i="4"/>
  <c r="C2502" i="4"/>
  <c r="B2502" i="4"/>
  <c r="C2501" i="4"/>
  <c r="B2501" i="4"/>
  <c r="C2500" i="4"/>
  <c r="B2500" i="4"/>
  <c r="C2499" i="4"/>
  <c r="B2499" i="4"/>
  <c r="C2498" i="4"/>
  <c r="B2498" i="4"/>
  <c r="C2497" i="4"/>
  <c r="B2497" i="4"/>
  <c r="C2496" i="4"/>
  <c r="B2496" i="4"/>
  <c r="C2495" i="4"/>
  <c r="B2495" i="4"/>
  <c r="C2494" i="4"/>
  <c r="B2494" i="4"/>
  <c r="C2493" i="4"/>
  <c r="B2493" i="4"/>
  <c r="C2492" i="4"/>
  <c r="B2492" i="4"/>
  <c r="C2491" i="4"/>
  <c r="B2491" i="4"/>
  <c r="C2490" i="4"/>
  <c r="B2490" i="4"/>
  <c r="C2489" i="4"/>
  <c r="B2489" i="4"/>
  <c r="C2488" i="4"/>
  <c r="B2488" i="4"/>
  <c r="C2487" i="4"/>
  <c r="B2487" i="4"/>
  <c r="C2486" i="4"/>
  <c r="B2486" i="4"/>
  <c r="C2485" i="4"/>
  <c r="B2485" i="4"/>
  <c r="C2484" i="4"/>
  <c r="B2484" i="4"/>
  <c r="C2483" i="4"/>
  <c r="B2483" i="4"/>
  <c r="C2482" i="4"/>
  <c r="B2482" i="4"/>
  <c r="C2481" i="4"/>
  <c r="B2481" i="4"/>
  <c r="C2480" i="4"/>
  <c r="B2480" i="4"/>
  <c r="C2479" i="4"/>
  <c r="B2479" i="4"/>
  <c r="C2478" i="4"/>
  <c r="B2478" i="4"/>
  <c r="C2477" i="4"/>
  <c r="B2477" i="4"/>
  <c r="C2476" i="4"/>
  <c r="B2476" i="4"/>
  <c r="C2475" i="4"/>
  <c r="B2475" i="4"/>
  <c r="C2474" i="4"/>
  <c r="B2474" i="4"/>
  <c r="C2473" i="4"/>
  <c r="B2473" i="4"/>
  <c r="C2472" i="4"/>
  <c r="B2472" i="4"/>
  <c r="C2471" i="4"/>
  <c r="B2471" i="4"/>
  <c r="C2470" i="4"/>
  <c r="B2470" i="4"/>
  <c r="C2469" i="4"/>
  <c r="B2469" i="4"/>
  <c r="C2468" i="4"/>
  <c r="B2468" i="4"/>
  <c r="C2467" i="4"/>
  <c r="B2467" i="4"/>
  <c r="C2466" i="4"/>
  <c r="B2466" i="4"/>
  <c r="C2465" i="4"/>
  <c r="B2465" i="4"/>
  <c r="C2464" i="4"/>
  <c r="B2464" i="4"/>
  <c r="C2463" i="4"/>
  <c r="B2463" i="4"/>
  <c r="C2462" i="4"/>
  <c r="B2462" i="4"/>
  <c r="C2461" i="4"/>
  <c r="B2461" i="4"/>
  <c r="C2460" i="4"/>
  <c r="B2460" i="4"/>
  <c r="C2459" i="4"/>
  <c r="B2459" i="4"/>
  <c r="C2458" i="4"/>
  <c r="B2458" i="4"/>
  <c r="C2457" i="4"/>
  <c r="B2457" i="4"/>
  <c r="C2456" i="4"/>
  <c r="B2456" i="4"/>
  <c r="C2455" i="4"/>
  <c r="B2455" i="4"/>
  <c r="C2454" i="4"/>
  <c r="B2454" i="4"/>
  <c r="C2453" i="4"/>
  <c r="B2453" i="4"/>
  <c r="C2452" i="4"/>
  <c r="B2452" i="4"/>
  <c r="C2451" i="4"/>
  <c r="B2451" i="4"/>
  <c r="C2450" i="4"/>
  <c r="B2450" i="4"/>
  <c r="C2449" i="4"/>
  <c r="B2449" i="4"/>
  <c r="C2448" i="4"/>
  <c r="B2448" i="4"/>
  <c r="C2447" i="4"/>
  <c r="B2447" i="4"/>
  <c r="C2446" i="4"/>
  <c r="B2446" i="4"/>
  <c r="C2445" i="4"/>
  <c r="B2445" i="4"/>
  <c r="C2444" i="4"/>
  <c r="B2444" i="4"/>
  <c r="C2443" i="4"/>
  <c r="B2443" i="4"/>
  <c r="C2442" i="4"/>
  <c r="B2442" i="4"/>
  <c r="C2441" i="4"/>
  <c r="B2441" i="4"/>
  <c r="C2440" i="4"/>
  <c r="B2440" i="4"/>
  <c r="C2439" i="4"/>
  <c r="B2439" i="4"/>
  <c r="C2438" i="4"/>
  <c r="B2438" i="4"/>
  <c r="C2437" i="4"/>
  <c r="B2437" i="4"/>
  <c r="C2436" i="4"/>
  <c r="B2436" i="4"/>
  <c r="C2435" i="4"/>
  <c r="B2435" i="4"/>
  <c r="C2434" i="4"/>
  <c r="B2434" i="4"/>
  <c r="C2433" i="4"/>
  <c r="B2433" i="4"/>
  <c r="C2432" i="4"/>
  <c r="B2432" i="4"/>
  <c r="C2431" i="4"/>
  <c r="B2431" i="4"/>
  <c r="C2430" i="4"/>
  <c r="B2430" i="4"/>
  <c r="C2429" i="4"/>
  <c r="B2429" i="4"/>
  <c r="C2428" i="4"/>
  <c r="B2428" i="4"/>
  <c r="C2427" i="4"/>
  <c r="B2427" i="4"/>
  <c r="C2426" i="4"/>
  <c r="B2426" i="4"/>
  <c r="C2425" i="4"/>
  <c r="B2425" i="4"/>
  <c r="C2424" i="4"/>
  <c r="B2424" i="4"/>
  <c r="C2423" i="4"/>
  <c r="B2423" i="4"/>
  <c r="C2422" i="4"/>
  <c r="B2422" i="4"/>
  <c r="C2421" i="4"/>
  <c r="B2421" i="4"/>
  <c r="C2420" i="4"/>
  <c r="B2420" i="4"/>
  <c r="C2419" i="4"/>
  <c r="B2419" i="4"/>
  <c r="C2418" i="4"/>
  <c r="B2418" i="4"/>
  <c r="C2417" i="4"/>
  <c r="B2417" i="4"/>
  <c r="C2416" i="4"/>
  <c r="B2416" i="4"/>
  <c r="C2415" i="4"/>
  <c r="B2415" i="4"/>
  <c r="C2414" i="4"/>
  <c r="B2414" i="4"/>
  <c r="C2413" i="4"/>
  <c r="B2413" i="4"/>
  <c r="C2412" i="4"/>
  <c r="B2412" i="4"/>
  <c r="C2411" i="4"/>
  <c r="B2411" i="4"/>
  <c r="C2410" i="4"/>
  <c r="B2410" i="4"/>
  <c r="C2409" i="4"/>
  <c r="B2409" i="4"/>
  <c r="C2408" i="4"/>
  <c r="B2408" i="4"/>
  <c r="C2407" i="4"/>
  <c r="B2407" i="4"/>
  <c r="C2406" i="4"/>
  <c r="B2406" i="4"/>
  <c r="C2405" i="4"/>
  <c r="B2405" i="4"/>
  <c r="C2404" i="4"/>
  <c r="B2404" i="4"/>
  <c r="C2403" i="4"/>
  <c r="B2403" i="4"/>
  <c r="C2402" i="4"/>
  <c r="B2402" i="4"/>
  <c r="C2401" i="4"/>
  <c r="B2401" i="4"/>
  <c r="C2400" i="4"/>
  <c r="B2400" i="4"/>
  <c r="C2399" i="4"/>
  <c r="B2399" i="4"/>
  <c r="C2398" i="4"/>
  <c r="B2398" i="4"/>
  <c r="C2397" i="4"/>
  <c r="B2397" i="4"/>
  <c r="C2396" i="4"/>
  <c r="B2396" i="4"/>
  <c r="C2395" i="4"/>
  <c r="B2395" i="4"/>
  <c r="C2394" i="4"/>
  <c r="B2394" i="4"/>
  <c r="C2393" i="4"/>
  <c r="B2393" i="4"/>
  <c r="C2392" i="4"/>
  <c r="B2392" i="4"/>
  <c r="C2391" i="4"/>
  <c r="B2391" i="4"/>
  <c r="C2390" i="4"/>
  <c r="B2390" i="4"/>
  <c r="C2389" i="4"/>
  <c r="B2389" i="4"/>
  <c r="C2388" i="4"/>
  <c r="B2388" i="4"/>
  <c r="C2387" i="4"/>
  <c r="B2387" i="4"/>
  <c r="C2386" i="4"/>
  <c r="B2386" i="4"/>
  <c r="C2385" i="4"/>
  <c r="B2385" i="4"/>
  <c r="C2384" i="4"/>
  <c r="B2384" i="4"/>
  <c r="C2383" i="4"/>
  <c r="B2383" i="4"/>
  <c r="C2382" i="4"/>
  <c r="B2382" i="4"/>
  <c r="C2381" i="4"/>
  <c r="B2381" i="4"/>
  <c r="C2380" i="4"/>
  <c r="B2380" i="4"/>
  <c r="C2379" i="4"/>
  <c r="B2379" i="4"/>
  <c r="C2378" i="4"/>
  <c r="B2378" i="4"/>
  <c r="C2377" i="4"/>
  <c r="B2377" i="4"/>
  <c r="C2376" i="4"/>
  <c r="B2376" i="4"/>
  <c r="C2375" i="4"/>
  <c r="B2375" i="4"/>
  <c r="C2374" i="4"/>
  <c r="B2374" i="4"/>
  <c r="C2373" i="4"/>
  <c r="B2373" i="4"/>
  <c r="C2372" i="4"/>
  <c r="B2372" i="4"/>
  <c r="C2371" i="4"/>
  <c r="B2371" i="4"/>
  <c r="C2370" i="4"/>
  <c r="B2370" i="4"/>
  <c r="C2369" i="4"/>
  <c r="B2369" i="4"/>
  <c r="C2368" i="4"/>
  <c r="B2368" i="4"/>
  <c r="C2367" i="4"/>
  <c r="B2367" i="4"/>
  <c r="C2366" i="4"/>
  <c r="B2366" i="4"/>
  <c r="C2365" i="4"/>
  <c r="B2365" i="4"/>
  <c r="C2364" i="4"/>
  <c r="B2364" i="4"/>
  <c r="C2363" i="4"/>
  <c r="B2363" i="4"/>
  <c r="C2362" i="4"/>
  <c r="B2362" i="4"/>
  <c r="C2361" i="4"/>
  <c r="B2361" i="4"/>
  <c r="C2360" i="4"/>
  <c r="B2360" i="4"/>
  <c r="C2359" i="4"/>
  <c r="B2359" i="4"/>
  <c r="C2358" i="4"/>
  <c r="B2358" i="4"/>
  <c r="C2357" i="4"/>
  <c r="B2357" i="4"/>
  <c r="C2356" i="4"/>
  <c r="B2356" i="4"/>
  <c r="C2355" i="4"/>
  <c r="B2355" i="4"/>
  <c r="C2354" i="4"/>
  <c r="B2354" i="4"/>
  <c r="C2353" i="4"/>
  <c r="B2353" i="4"/>
  <c r="C2352" i="4"/>
  <c r="B2352" i="4"/>
  <c r="C2351" i="4"/>
  <c r="B2351" i="4"/>
  <c r="C2350" i="4"/>
  <c r="B2350" i="4"/>
  <c r="C2349" i="4"/>
  <c r="B2349" i="4"/>
  <c r="C2348" i="4"/>
  <c r="B2348" i="4"/>
  <c r="C2347" i="4"/>
  <c r="B2347" i="4"/>
  <c r="C2346" i="4"/>
  <c r="B2346" i="4"/>
  <c r="C2345" i="4"/>
  <c r="B2345" i="4"/>
  <c r="C2344" i="4"/>
  <c r="B2344" i="4"/>
  <c r="C2343" i="4"/>
  <c r="B2343" i="4"/>
  <c r="C2342" i="4"/>
  <c r="B2342" i="4"/>
  <c r="C2341" i="4"/>
  <c r="B2341" i="4"/>
  <c r="C2340" i="4"/>
  <c r="B2340" i="4"/>
  <c r="C2339" i="4"/>
  <c r="B2339" i="4"/>
  <c r="C2338" i="4"/>
  <c r="B2338" i="4"/>
  <c r="C2337" i="4"/>
  <c r="B2337" i="4"/>
  <c r="C2336" i="4"/>
  <c r="B2336" i="4"/>
  <c r="C2335" i="4"/>
  <c r="B2335" i="4"/>
  <c r="C2334" i="4"/>
  <c r="B2334" i="4"/>
  <c r="C2333" i="4"/>
  <c r="B2333" i="4"/>
  <c r="C2332" i="4"/>
  <c r="B2332" i="4"/>
  <c r="C2331" i="4"/>
  <c r="B2331" i="4"/>
  <c r="C2330" i="4"/>
  <c r="B2330" i="4"/>
  <c r="C2329" i="4"/>
  <c r="B2329" i="4"/>
  <c r="C2328" i="4"/>
  <c r="B2328" i="4"/>
  <c r="C2327" i="4"/>
  <c r="B2327" i="4"/>
  <c r="C2326" i="4"/>
  <c r="B2326" i="4"/>
  <c r="C2325" i="4"/>
  <c r="B2325" i="4"/>
  <c r="C2324" i="4"/>
  <c r="B2324" i="4"/>
  <c r="C2323" i="4"/>
  <c r="B2323" i="4"/>
  <c r="C2322" i="4"/>
  <c r="B2322" i="4"/>
  <c r="C2321" i="4"/>
  <c r="B2321" i="4"/>
  <c r="C2320" i="4"/>
  <c r="B2320" i="4"/>
  <c r="C2319" i="4"/>
  <c r="B2319" i="4"/>
  <c r="C2318" i="4"/>
  <c r="B2318" i="4"/>
  <c r="C2317" i="4"/>
  <c r="B2317" i="4"/>
  <c r="C2316" i="4"/>
  <c r="B2316" i="4"/>
  <c r="C2315" i="4"/>
  <c r="B2315" i="4"/>
  <c r="C2314" i="4"/>
  <c r="B2314" i="4"/>
  <c r="C2313" i="4"/>
  <c r="B2313" i="4"/>
  <c r="C2312" i="4"/>
  <c r="B2312" i="4"/>
  <c r="C2311" i="4"/>
  <c r="B2311" i="4"/>
  <c r="C2310" i="4"/>
  <c r="B2310" i="4"/>
  <c r="C2309" i="4"/>
  <c r="B2309" i="4"/>
  <c r="C2308" i="4"/>
  <c r="B2308" i="4"/>
  <c r="C2307" i="4"/>
  <c r="B2307" i="4"/>
  <c r="C2306" i="4"/>
  <c r="B2306" i="4"/>
  <c r="C2305" i="4"/>
  <c r="B2305" i="4"/>
  <c r="C2304" i="4"/>
  <c r="B2304" i="4"/>
  <c r="C2303" i="4"/>
  <c r="B2303" i="4"/>
  <c r="C2302" i="4"/>
  <c r="B2302" i="4"/>
  <c r="C2301" i="4"/>
  <c r="B2301" i="4"/>
  <c r="C2300" i="4"/>
  <c r="B2300" i="4"/>
  <c r="C2299" i="4"/>
  <c r="B2299" i="4"/>
  <c r="C2298" i="4"/>
  <c r="B2298" i="4"/>
  <c r="C2297" i="4"/>
  <c r="B2297" i="4"/>
  <c r="C2296" i="4"/>
  <c r="B2296" i="4"/>
  <c r="C2295" i="4"/>
  <c r="B2295" i="4"/>
  <c r="C2294" i="4"/>
  <c r="B2294" i="4"/>
  <c r="C2293" i="4"/>
  <c r="B2293" i="4"/>
  <c r="C2292" i="4"/>
  <c r="B2292" i="4"/>
  <c r="C2291" i="4"/>
  <c r="B2291" i="4"/>
  <c r="C2290" i="4"/>
  <c r="B2290" i="4"/>
  <c r="C2289" i="4"/>
  <c r="B2289" i="4"/>
  <c r="C2288" i="4"/>
  <c r="B2288" i="4"/>
  <c r="C2287" i="4"/>
  <c r="B2287" i="4"/>
  <c r="C2286" i="4"/>
  <c r="B2286" i="4"/>
  <c r="C2285" i="4"/>
  <c r="B2285" i="4"/>
  <c r="C2284" i="4"/>
  <c r="B2284" i="4"/>
  <c r="C2283" i="4"/>
  <c r="B2283" i="4"/>
  <c r="C2282" i="4"/>
  <c r="B2282" i="4"/>
  <c r="C2281" i="4"/>
  <c r="B2281" i="4"/>
  <c r="C2280" i="4"/>
  <c r="B2280" i="4"/>
  <c r="C2279" i="4"/>
  <c r="B2279" i="4"/>
  <c r="C2278" i="4"/>
  <c r="B2278" i="4"/>
  <c r="C2277" i="4"/>
  <c r="B2277" i="4"/>
  <c r="C2276" i="4"/>
  <c r="B2276" i="4"/>
  <c r="C2275" i="4"/>
  <c r="B2275" i="4"/>
  <c r="C2274" i="4"/>
  <c r="B2274" i="4"/>
  <c r="C2273" i="4"/>
  <c r="B2273" i="4"/>
  <c r="C2272" i="4"/>
  <c r="B2272" i="4"/>
  <c r="C2271" i="4"/>
  <c r="B2271" i="4"/>
  <c r="C2270" i="4"/>
  <c r="B2270" i="4"/>
  <c r="C2269" i="4"/>
  <c r="B2269" i="4"/>
  <c r="C2268" i="4"/>
  <c r="B2268" i="4"/>
  <c r="C2267" i="4"/>
  <c r="B2267" i="4"/>
  <c r="C2266" i="4"/>
  <c r="B2266" i="4"/>
  <c r="C2265" i="4"/>
  <c r="B2265" i="4"/>
  <c r="C2264" i="4"/>
  <c r="B2264" i="4"/>
  <c r="C2263" i="4"/>
  <c r="B2263" i="4"/>
  <c r="C2262" i="4"/>
  <c r="B2262" i="4"/>
  <c r="C2261" i="4"/>
  <c r="B2261" i="4"/>
  <c r="C2260" i="4"/>
  <c r="B2260" i="4"/>
  <c r="C2259" i="4"/>
  <c r="B2259" i="4"/>
  <c r="C2258" i="4"/>
  <c r="B2258" i="4"/>
  <c r="C2257" i="4"/>
  <c r="B2257" i="4"/>
  <c r="C2256" i="4"/>
  <c r="B2256" i="4"/>
  <c r="C2255" i="4"/>
  <c r="B2255" i="4"/>
  <c r="C2254" i="4"/>
  <c r="B2254" i="4"/>
  <c r="C2253" i="4"/>
  <c r="B2253" i="4"/>
  <c r="C2252" i="4"/>
  <c r="B2252" i="4"/>
  <c r="C2251" i="4"/>
  <c r="B2251" i="4"/>
  <c r="C2250" i="4"/>
  <c r="B2250" i="4"/>
  <c r="C2249" i="4"/>
  <c r="B2249" i="4"/>
  <c r="C2248" i="4"/>
  <c r="B2248" i="4"/>
  <c r="C2247" i="4"/>
  <c r="B2247" i="4"/>
  <c r="C2246" i="4"/>
  <c r="B2246" i="4"/>
  <c r="C2245" i="4"/>
  <c r="B2245" i="4"/>
  <c r="C2244" i="4"/>
  <c r="B2244" i="4"/>
  <c r="C2243" i="4"/>
  <c r="B2243" i="4"/>
  <c r="C2242" i="4"/>
  <c r="B2242" i="4"/>
  <c r="C2241" i="4"/>
  <c r="B2241" i="4"/>
  <c r="C2240" i="4"/>
  <c r="B2240" i="4"/>
  <c r="C2239" i="4"/>
  <c r="B2239" i="4"/>
  <c r="C2238" i="4"/>
  <c r="B2238" i="4"/>
  <c r="C2237" i="4"/>
  <c r="B2237" i="4"/>
  <c r="C2236" i="4"/>
  <c r="B2236" i="4"/>
  <c r="C2235" i="4"/>
  <c r="B2235" i="4"/>
  <c r="C2234" i="4"/>
  <c r="B2234" i="4"/>
  <c r="C2233" i="4"/>
  <c r="B2233" i="4"/>
  <c r="C2232" i="4"/>
  <c r="B2232" i="4"/>
  <c r="C2231" i="4"/>
  <c r="B2231" i="4"/>
  <c r="C2230" i="4"/>
  <c r="B2230" i="4"/>
  <c r="C2229" i="4"/>
  <c r="B2229" i="4"/>
  <c r="C2228" i="4"/>
  <c r="B2228" i="4"/>
  <c r="C2227" i="4"/>
  <c r="B2227" i="4"/>
  <c r="C2226" i="4"/>
  <c r="B2226" i="4"/>
  <c r="C2225" i="4"/>
  <c r="B2225" i="4"/>
  <c r="C2224" i="4"/>
  <c r="B2224" i="4"/>
  <c r="C2223" i="4"/>
  <c r="B2223" i="4"/>
  <c r="C2222" i="4"/>
  <c r="B2222" i="4"/>
  <c r="C2221" i="4"/>
  <c r="B2221" i="4"/>
  <c r="C2220" i="4"/>
  <c r="B2220" i="4"/>
  <c r="C2219" i="4"/>
  <c r="B2219" i="4"/>
  <c r="C2218" i="4"/>
  <c r="B2218" i="4"/>
  <c r="C2217" i="4"/>
  <c r="B2217" i="4"/>
  <c r="C2216" i="4"/>
  <c r="B2216" i="4"/>
  <c r="C2215" i="4"/>
  <c r="B2215" i="4"/>
  <c r="C2214" i="4"/>
  <c r="B2214" i="4"/>
  <c r="C2213" i="4"/>
  <c r="B2213" i="4"/>
  <c r="C2212" i="4"/>
  <c r="B2212" i="4"/>
  <c r="C2211" i="4"/>
  <c r="B2211" i="4"/>
  <c r="C2210" i="4"/>
  <c r="B2210" i="4"/>
  <c r="C2209" i="4"/>
  <c r="B2209" i="4"/>
  <c r="C2208" i="4"/>
  <c r="B2208" i="4"/>
  <c r="C2207" i="4"/>
  <c r="B2207" i="4"/>
  <c r="C2206" i="4"/>
  <c r="B2206" i="4"/>
  <c r="C2205" i="4"/>
  <c r="B2205" i="4"/>
  <c r="C2204" i="4"/>
  <c r="B2204" i="4"/>
  <c r="C2203" i="4"/>
  <c r="B2203" i="4"/>
  <c r="C2202" i="4"/>
  <c r="B2202" i="4"/>
  <c r="C2201" i="4"/>
  <c r="B2201" i="4"/>
  <c r="C2200" i="4"/>
  <c r="B2200" i="4"/>
  <c r="C2199" i="4"/>
  <c r="B2199" i="4"/>
  <c r="C2198" i="4"/>
  <c r="B2198" i="4"/>
  <c r="C2197" i="4"/>
  <c r="B2197" i="4"/>
  <c r="C2196" i="4"/>
  <c r="B2196" i="4"/>
  <c r="C2195" i="4"/>
  <c r="B2195" i="4"/>
  <c r="C2194" i="4"/>
  <c r="B2194" i="4"/>
  <c r="C2193" i="4"/>
  <c r="B2193" i="4"/>
  <c r="C2192" i="4"/>
  <c r="B2192" i="4"/>
  <c r="C2191" i="4"/>
  <c r="B2191" i="4"/>
  <c r="C2190" i="4"/>
  <c r="B2190" i="4"/>
  <c r="C2189" i="4"/>
  <c r="B2189" i="4"/>
  <c r="C2188" i="4"/>
  <c r="B2188" i="4"/>
  <c r="C2187" i="4"/>
  <c r="B2187" i="4"/>
  <c r="C2186" i="4"/>
  <c r="B2186" i="4"/>
  <c r="C2185" i="4"/>
  <c r="B2185" i="4"/>
  <c r="C2184" i="4"/>
  <c r="B2184" i="4"/>
  <c r="C2183" i="4"/>
  <c r="B2183" i="4"/>
  <c r="C2182" i="4"/>
  <c r="B2182" i="4"/>
  <c r="C2181" i="4"/>
  <c r="B2181" i="4"/>
  <c r="C2180" i="4"/>
  <c r="B2180" i="4"/>
  <c r="C2179" i="4"/>
  <c r="B2179" i="4"/>
  <c r="C2178" i="4"/>
  <c r="B2178" i="4"/>
  <c r="C2177" i="4"/>
  <c r="B2177" i="4"/>
  <c r="C2176" i="4"/>
  <c r="B2176" i="4"/>
  <c r="C2175" i="4"/>
  <c r="B2175" i="4"/>
  <c r="C2174" i="4"/>
  <c r="B2174" i="4"/>
  <c r="C2173" i="4"/>
  <c r="B2173" i="4"/>
  <c r="C2172" i="4"/>
  <c r="B2172" i="4"/>
  <c r="C2171" i="4"/>
  <c r="B2171" i="4"/>
  <c r="C2170" i="4"/>
  <c r="B2170" i="4"/>
  <c r="C2169" i="4"/>
  <c r="B2169" i="4"/>
  <c r="C2168" i="4"/>
  <c r="B2168" i="4"/>
  <c r="C2167" i="4"/>
  <c r="B2167" i="4"/>
  <c r="C2166" i="4"/>
  <c r="B2166" i="4"/>
  <c r="C2165" i="4"/>
  <c r="B2165" i="4"/>
  <c r="C2164" i="4"/>
  <c r="B2164" i="4"/>
  <c r="C2163" i="4"/>
  <c r="B2163" i="4"/>
  <c r="C2162" i="4"/>
  <c r="B2162" i="4"/>
  <c r="C2161" i="4"/>
  <c r="B2161" i="4"/>
  <c r="C2160" i="4"/>
  <c r="B2160" i="4"/>
  <c r="C2159" i="4"/>
  <c r="B2159" i="4"/>
  <c r="C2158" i="4"/>
  <c r="B2158" i="4"/>
  <c r="C2157" i="4"/>
  <c r="B2157" i="4"/>
  <c r="C2156" i="4"/>
  <c r="B2156" i="4"/>
  <c r="C2155" i="4"/>
  <c r="B2155" i="4"/>
  <c r="C2154" i="4"/>
  <c r="B2154" i="4"/>
  <c r="C2153" i="4"/>
  <c r="B2153" i="4"/>
  <c r="C2152" i="4"/>
  <c r="B2152" i="4"/>
  <c r="C2151" i="4"/>
  <c r="B2151" i="4"/>
  <c r="C2150" i="4"/>
  <c r="B2150" i="4"/>
  <c r="C2149" i="4"/>
  <c r="B2149" i="4"/>
  <c r="C2148" i="4"/>
  <c r="B2148" i="4"/>
  <c r="C2147" i="4"/>
  <c r="B2147" i="4"/>
  <c r="C2146" i="4"/>
  <c r="B2146" i="4"/>
  <c r="C2145" i="4"/>
  <c r="B2145" i="4"/>
  <c r="C2144" i="4"/>
  <c r="B2144" i="4"/>
  <c r="C2143" i="4"/>
  <c r="B2143" i="4"/>
  <c r="C2142" i="4"/>
  <c r="B2142" i="4"/>
  <c r="C2141" i="4"/>
  <c r="B2141" i="4"/>
  <c r="C2140" i="4"/>
  <c r="B2140" i="4"/>
  <c r="C2139" i="4"/>
  <c r="B2139" i="4"/>
  <c r="C2138" i="4"/>
  <c r="B2138" i="4"/>
  <c r="C2137" i="4"/>
  <c r="B2137" i="4"/>
  <c r="C2136" i="4"/>
  <c r="B2136" i="4"/>
  <c r="C2135" i="4"/>
  <c r="B2135" i="4"/>
  <c r="C2134" i="4"/>
  <c r="B2134" i="4"/>
  <c r="C2133" i="4"/>
  <c r="B2133" i="4"/>
  <c r="C2132" i="4"/>
  <c r="B2132" i="4"/>
  <c r="C2131" i="4"/>
  <c r="B2131" i="4"/>
  <c r="C2130" i="4"/>
  <c r="B2130" i="4"/>
  <c r="C2129" i="4"/>
  <c r="B2129" i="4"/>
  <c r="C2128" i="4"/>
  <c r="B2128" i="4"/>
  <c r="C2127" i="4"/>
  <c r="B2127" i="4"/>
  <c r="C2126" i="4"/>
  <c r="B2126" i="4"/>
  <c r="C2125" i="4"/>
  <c r="B2125" i="4"/>
  <c r="C2124" i="4"/>
  <c r="B2124" i="4"/>
  <c r="C2123" i="4"/>
  <c r="B2123" i="4"/>
  <c r="C2122" i="4"/>
  <c r="B2122" i="4"/>
  <c r="C2121" i="4"/>
  <c r="B2121" i="4"/>
  <c r="C2120" i="4"/>
  <c r="B2120" i="4"/>
  <c r="C2119" i="4"/>
  <c r="B2119" i="4"/>
  <c r="C2118" i="4"/>
  <c r="B2118" i="4"/>
  <c r="C2117" i="4"/>
  <c r="B2117" i="4"/>
  <c r="C2116" i="4"/>
  <c r="B2116" i="4"/>
  <c r="C2115" i="4"/>
  <c r="B2115" i="4"/>
  <c r="C2114" i="4"/>
  <c r="B2114" i="4"/>
  <c r="C2113" i="4"/>
  <c r="B2113" i="4"/>
  <c r="C2112" i="4"/>
  <c r="B2112" i="4"/>
  <c r="C2111" i="4"/>
  <c r="B2111" i="4"/>
  <c r="C2110" i="4"/>
  <c r="B2110" i="4"/>
  <c r="C2109" i="4"/>
  <c r="B2109" i="4"/>
  <c r="C2108" i="4"/>
  <c r="B2108" i="4"/>
  <c r="C2107" i="4"/>
  <c r="B2107" i="4"/>
  <c r="C2106" i="4"/>
  <c r="B2106" i="4"/>
  <c r="C2105" i="4"/>
  <c r="B2105" i="4"/>
  <c r="C2104" i="4"/>
  <c r="B2104" i="4"/>
  <c r="C2103" i="4"/>
  <c r="B2103" i="4"/>
  <c r="C2102" i="4"/>
  <c r="B2102" i="4"/>
  <c r="C2101" i="4"/>
  <c r="B2101" i="4"/>
  <c r="C2100" i="4"/>
  <c r="B2100" i="4"/>
  <c r="C2099" i="4"/>
  <c r="B2099" i="4"/>
  <c r="C2098" i="4"/>
  <c r="B2098" i="4"/>
  <c r="C2097" i="4"/>
  <c r="B2097" i="4"/>
  <c r="C2096" i="4"/>
  <c r="B2096" i="4"/>
  <c r="C2095" i="4"/>
  <c r="B2095" i="4"/>
  <c r="C2094" i="4"/>
  <c r="B2094" i="4"/>
  <c r="C2093" i="4"/>
  <c r="B2093" i="4"/>
  <c r="C2092" i="4"/>
  <c r="B2092" i="4"/>
  <c r="C2091" i="4"/>
  <c r="B2091" i="4"/>
  <c r="C2090" i="4"/>
  <c r="B2090" i="4"/>
  <c r="C2089" i="4"/>
  <c r="B2089" i="4"/>
  <c r="C2088" i="4"/>
  <c r="B2088" i="4"/>
  <c r="C2087" i="4"/>
  <c r="B2087" i="4"/>
  <c r="C2086" i="4"/>
  <c r="B2086" i="4"/>
  <c r="C2085" i="4"/>
  <c r="B2085" i="4"/>
  <c r="C2084" i="4"/>
  <c r="B2084" i="4"/>
  <c r="C2083" i="4"/>
  <c r="B2083" i="4"/>
  <c r="C2082" i="4"/>
  <c r="B2082" i="4"/>
  <c r="C2081" i="4"/>
  <c r="B2081" i="4"/>
  <c r="C2080" i="4"/>
  <c r="B2080" i="4"/>
  <c r="C2079" i="4"/>
  <c r="B2079" i="4"/>
  <c r="C2078" i="4"/>
  <c r="B2078" i="4"/>
  <c r="C2077" i="4"/>
  <c r="B2077" i="4"/>
  <c r="C2076" i="4"/>
  <c r="B2076" i="4"/>
  <c r="C2075" i="4"/>
  <c r="B2075" i="4"/>
  <c r="C2074" i="4"/>
  <c r="B2074" i="4"/>
  <c r="C2073" i="4"/>
  <c r="B2073" i="4"/>
  <c r="C2072" i="4"/>
  <c r="B2072" i="4"/>
  <c r="C2071" i="4"/>
  <c r="B2071" i="4"/>
  <c r="C2070" i="4"/>
  <c r="B2070" i="4"/>
  <c r="C2069" i="4"/>
  <c r="B2069" i="4"/>
  <c r="C2068" i="4"/>
  <c r="B2068" i="4"/>
  <c r="C2067" i="4"/>
  <c r="B2067" i="4"/>
  <c r="C2066" i="4"/>
  <c r="B2066" i="4"/>
  <c r="C2065" i="4"/>
  <c r="B2065" i="4"/>
  <c r="C2064" i="4"/>
  <c r="B2064" i="4"/>
  <c r="C2063" i="4"/>
  <c r="B2063" i="4"/>
  <c r="C2062" i="4"/>
  <c r="B2062" i="4"/>
  <c r="C2061" i="4"/>
  <c r="B2061" i="4"/>
  <c r="C2060" i="4"/>
  <c r="B2060" i="4"/>
  <c r="C2059" i="4"/>
  <c r="B2059" i="4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2972" i="6"/>
  <c r="B2972" i="6"/>
  <c r="C2971" i="6"/>
  <c r="B2971" i="6"/>
  <c r="C2970" i="6"/>
  <c r="B2970" i="6"/>
  <c r="C2969" i="6"/>
  <c r="B2969" i="6"/>
  <c r="C2968" i="6"/>
  <c r="B2968" i="6"/>
  <c r="C2967" i="6"/>
  <c r="B2967" i="6"/>
  <c r="C2966" i="6"/>
  <c r="B2966" i="6"/>
  <c r="C2965" i="6"/>
  <c r="B2965" i="6"/>
  <c r="C2964" i="6"/>
  <c r="B2964" i="6"/>
  <c r="C2963" i="6"/>
  <c r="B2963" i="6"/>
  <c r="C2962" i="6"/>
  <c r="B2962" i="6"/>
  <c r="C2961" i="6"/>
  <c r="B2961" i="6"/>
  <c r="C2960" i="6"/>
  <c r="B2960" i="6"/>
  <c r="C2959" i="6"/>
  <c r="B2959" i="6"/>
  <c r="C2958" i="6"/>
  <c r="B2958" i="6"/>
  <c r="C2957" i="6"/>
  <c r="B2957" i="6"/>
  <c r="C2956" i="6"/>
  <c r="B2956" i="6"/>
  <c r="C2955" i="6"/>
  <c r="B2955" i="6"/>
  <c r="C2954" i="6"/>
  <c r="B2954" i="6"/>
  <c r="C2953" i="6"/>
  <c r="B2953" i="6"/>
  <c r="C2952" i="6"/>
  <c r="B2952" i="6"/>
  <c r="C2951" i="6"/>
  <c r="B2951" i="6"/>
  <c r="C2950" i="6"/>
  <c r="B2950" i="6"/>
  <c r="C2949" i="6"/>
  <c r="B2949" i="6"/>
  <c r="C2948" i="6"/>
  <c r="B2948" i="6"/>
  <c r="C2947" i="6"/>
  <c r="B2947" i="6"/>
  <c r="C2946" i="6"/>
  <c r="B2946" i="6"/>
  <c r="C2945" i="6"/>
  <c r="B2945" i="6"/>
  <c r="C2944" i="6"/>
  <c r="B2944" i="6"/>
  <c r="C2943" i="6"/>
  <c r="B2943" i="6"/>
  <c r="C2942" i="6"/>
  <c r="B2942" i="6"/>
  <c r="C2941" i="6"/>
  <c r="B2941" i="6"/>
  <c r="C2940" i="6"/>
  <c r="B2940" i="6"/>
  <c r="C2939" i="6"/>
  <c r="B2939" i="6"/>
  <c r="C2938" i="6"/>
  <c r="B2938" i="6"/>
  <c r="C2937" i="6"/>
  <c r="B2937" i="6"/>
  <c r="C2936" i="6"/>
  <c r="B2936" i="6"/>
  <c r="C2935" i="6"/>
  <c r="B2935" i="6"/>
  <c r="C2934" i="6"/>
  <c r="B2934" i="6"/>
  <c r="C2933" i="6"/>
  <c r="B2933" i="6"/>
  <c r="C2932" i="6"/>
  <c r="B2932" i="6"/>
  <c r="C2931" i="6"/>
  <c r="B2931" i="6"/>
  <c r="C2930" i="6"/>
  <c r="B2930" i="6"/>
  <c r="C2929" i="6"/>
  <c r="B2929" i="6"/>
  <c r="C2928" i="6"/>
  <c r="B2928" i="6"/>
  <c r="C2927" i="6"/>
  <c r="B2927" i="6"/>
  <c r="C2926" i="6"/>
  <c r="B2926" i="6"/>
  <c r="C2925" i="6"/>
  <c r="B2925" i="6"/>
  <c r="C2924" i="6"/>
  <c r="B2924" i="6"/>
  <c r="C2923" i="6"/>
  <c r="B2923" i="6"/>
  <c r="C2922" i="6"/>
  <c r="B2922" i="6"/>
  <c r="C2921" i="6"/>
  <c r="B2921" i="6"/>
  <c r="C2920" i="6"/>
  <c r="B2920" i="6"/>
  <c r="C2919" i="6"/>
  <c r="B2919" i="6"/>
  <c r="C2918" i="6"/>
  <c r="B2918" i="6"/>
  <c r="C2917" i="6"/>
  <c r="B2917" i="6"/>
  <c r="C2916" i="6"/>
  <c r="B2916" i="6"/>
  <c r="C2915" i="6"/>
  <c r="B2915" i="6"/>
  <c r="C2914" i="6"/>
  <c r="B2914" i="6"/>
  <c r="C2913" i="6"/>
  <c r="B2913" i="6"/>
  <c r="C2912" i="6"/>
  <c r="B2912" i="6"/>
  <c r="C2911" i="6"/>
  <c r="B2911" i="6"/>
  <c r="C2910" i="6"/>
  <c r="B2910" i="6"/>
  <c r="C2909" i="6"/>
  <c r="B2909" i="6"/>
  <c r="C2908" i="6"/>
  <c r="B2908" i="6"/>
  <c r="C2907" i="6"/>
  <c r="B2907" i="6"/>
  <c r="C2906" i="6"/>
  <c r="B2906" i="6"/>
  <c r="C2905" i="6"/>
  <c r="B2905" i="6"/>
  <c r="C2904" i="6"/>
  <c r="B2904" i="6"/>
  <c r="C2903" i="6"/>
  <c r="B2903" i="6"/>
  <c r="C2902" i="6"/>
  <c r="B2902" i="6"/>
  <c r="C2901" i="6"/>
  <c r="B2901" i="6"/>
  <c r="C2900" i="6"/>
  <c r="B2900" i="6"/>
  <c r="C2899" i="6"/>
  <c r="B2899" i="6"/>
  <c r="C2898" i="6"/>
  <c r="B2898" i="6"/>
  <c r="C2897" i="6"/>
  <c r="B2897" i="6"/>
  <c r="C2896" i="6"/>
  <c r="B2896" i="6"/>
  <c r="C2895" i="6"/>
  <c r="B2895" i="6"/>
  <c r="C2894" i="6"/>
  <c r="B2894" i="6"/>
  <c r="C2893" i="6"/>
  <c r="B2893" i="6"/>
  <c r="C2892" i="6"/>
  <c r="B2892" i="6"/>
  <c r="C2891" i="6"/>
  <c r="B2891" i="6"/>
  <c r="C2890" i="6"/>
  <c r="B2890" i="6"/>
  <c r="C2889" i="6"/>
  <c r="B2889" i="6"/>
  <c r="C2888" i="6"/>
  <c r="B2888" i="6"/>
  <c r="C2887" i="6"/>
  <c r="B2887" i="6"/>
  <c r="C2886" i="6"/>
  <c r="B2886" i="6"/>
  <c r="C2885" i="6"/>
  <c r="B2885" i="6"/>
  <c r="C2884" i="6"/>
  <c r="B2884" i="6"/>
  <c r="C2883" i="6"/>
  <c r="B2883" i="6"/>
  <c r="C2882" i="6"/>
  <c r="B2882" i="6"/>
  <c r="C2881" i="6"/>
  <c r="B2881" i="6"/>
  <c r="C2880" i="6"/>
  <c r="B2880" i="6"/>
  <c r="C2879" i="6"/>
  <c r="B2879" i="6"/>
  <c r="C2878" i="6"/>
  <c r="B2878" i="6"/>
  <c r="C2877" i="6"/>
  <c r="B2877" i="6"/>
  <c r="C2876" i="6"/>
  <c r="B2876" i="6"/>
  <c r="C2875" i="6"/>
  <c r="B2875" i="6"/>
  <c r="C2874" i="6"/>
  <c r="B2874" i="6"/>
  <c r="C2873" i="6"/>
  <c r="B2873" i="6"/>
  <c r="C2872" i="6"/>
  <c r="B2872" i="6"/>
  <c r="C2871" i="6"/>
  <c r="B2871" i="6"/>
  <c r="C2870" i="6"/>
  <c r="B2870" i="6"/>
  <c r="C2869" i="6"/>
  <c r="B2869" i="6"/>
  <c r="C2868" i="6"/>
  <c r="B2868" i="6"/>
  <c r="C2867" i="6"/>
  <c r="B2867" i="6"/>
  <c r="C2866" i="6"/>
  <c r="B2866" i="6"/>
  <c r="C2865" i="6"/>
  <c r="B2865" i="6"/>
  <c r="C2864" i="6"/>
  <c r="B2864" i="6"/>
  <c r="C2863" i="6"/>
  <c r="B2863" i="6"/>
  <c r="C2862" i="6"/>
  <c r="B2862" i="6"/>
  <c r="C2861" i="6"/>
  <c r="B2861" i="6"/>
  <c r="C2860" i="6"/>
  <c r="B2860" i="6"/>
  <c r="C2859" i="6"/>
  <c r="B2859" i="6"/>
  <c r="C2858" i="6"/>
  <c r="B2858" i="6"/>
  <c r="C2857" i="6"/>
  <c r="B2857" i="6"/>
  <c r="C2856" i="6"/>
  <c r="B2856" i="6"/>
  <c r="C2855" i="6"/>
  <c r="B2855" i="6"/>
  <c r="C2854" i="6"/>
  <c r="B2854" i="6"/>
  <c r="C2853" i="6"/>
  <c r="B2853" i="6"/>
  <c r="C2852" i="6"/>
  <c r="B2852" i="6"/>
  <c r="C2851" i="6"/>
  <c r="B2851" i="6"/>
  <c r="C2850" i="6"/>
  <c r="B2850" i="6"/>
  <c r="C2849" i="6"/>
  <c r="B2849" i="6"/>
  <c r="C2848" i="6"/>
  <c r="B2848" i="6"/>
  <c r="C2847" i="6"/>
  <c r="B2847" i="6"/>
  <c r="C2846" i="6"/>
  <c r="B2846" i="6"/>
  <c r="C2845" i="6"/>
  <c r="B2845" i="6"/>
  <c r="C2844" i="6"/>
  <c r="B2844" i="6"/>
  <c r="C2843" i="6"/>
  <c r="B2843" i="6"/>
  <c r="C2842" i="6"/>
  <c r="B2842" i="6"/>
  <c r="C2841" i="6"/>
  <c r="B2841" i="6"/>
  <c r="C2840" i="6"/>
  <c r="B2840" i="6"/>
  <c r="C2839" i="6"/>
  <c r="B2839" i="6"/>
  <c r="C2838" i="6"/>
  <c r="B2838" i="6"/>
  <c r="C2837" i="6"/>
  <c r="B2837" i="6"/>
  <c r="C2836" i="6"/>
  <c r="B2836" i="6"/>
  <c r="C2835" i="6"/>
  <c r="B2835" i="6"/>
  <c r="C2834" i="6"/>
  <c r="B2834" i="6"/>
  <c r="C2833" i="6"/>
  <c r="B2833" i="6"/>
  <c r="C2832" i="6"/>
  <c r="B2832" i="6"/>
  <c r="C2831" i="6"/>
  <c r="B2831" i="6"/>
  <c r="C2830" i="6"/>
  <c r="B2830" i="6"/>
  <c r="C2829" i="6"/>
  <c r="B2829" i="6"/>
  <c r="C2828" i="6"/>
  <c r="B2828" i="6"/>
  <c r="C2827" i="6"/>
  <c r="B2827" i="6"/>
  <c r="C2826" i="6"/>
  <c r="B2826" i="6"/>
  <c r="C2825" i="6"/>
  <c r="B2825" i="6"/>
  <c r="C2824" i="6"/>
  <c r="B2824" i="6"/>
  <c r="C2823" i="6"/>
  <c r="B2823" i="6"/>
  <c r="C2822" i="6"/>
  <c r="B2822" i="6"/>
  <c r="C2821" i="6"/>
  <c r="B2821" i="6"/>
  <c r="C2820" i="6"/>
  <c r="B2820" i="6"/>
  <c r="C2819" i="6"/>
  <c r="B2819" i="6"/>
  <c r="C2818" i="6"/>
  <c r="B2818" i="6"/>
  <c r="C2817" i="6"/>
  <c r="B2817" i="6"/>
  <c r="C2816" i="6"/>
  <c r="B2816" i="6"/>
  <c r="C2815" i="6"/>
  <c r="B2815" i="6"/>
  <c r="C2814" i="6"/>
  <c r="B2814" i="6"/>
  <c r="C2813" i="6"/>
  <c r="B2813" i="6"/>
  <c r="C2812" i="6"/>
  <c r="B2812" i="6"/>
  <c r="C2811" i="6"/>
  <c r="B2811" i="6"/>
  <c r="C2810" i="6"/>
  <c r="B2810" i="6"/>
  <c r="C2809" i="6"/>
  <c r="B2809" i="6"/>
  <c r="C2808" i="6"/>
  <c r="B2808" i="6"/>
  <c r="C2807" i="6"/>
  <c r="B2807" i="6"/>
  <c r="C2806" i="6"/>
  <c r="B2806" i="6"/>
  <c r="C2805" i="6"/>
  <c r="B2805" i="6"/>
  <c r="C2804" i="6"/>
  <c r="B2804" i="6"/>
  <c r="C2803" i="6"/>
  <c r="B2803" i="6"/>
  <c r="C2802" i="6"/>
  <c r="B2802" i="6"/>
  <c r="C2801" i="6"/>
  <c r="B2801" i="6"/>
  <c r="C2800" i="6"/>
  <c r="B2800" i="6"/>
  <c r="C2799" i="6"/>
  <c r="B2799" i="6"/>
  <c r="C2798" i="6"/>
  <c r="B2798" i="6"/>
  <c r="C2797" i="6"/>
  <c r="B2797" i="6"/>
  <c r="C2796" i="6"/>
  <c r="B2796" i="6"/>
  <c r="C2795" i="6"/>
  <c r="B2795" i="6"/>
  <c r="C2794" i="6"/>
  <c r="B2794" i="6"/>
  <c r="C2793" i="6"/>
  <c r="B2793" i="6"/>
  <c r="C2792" i="6"/>
  <c r="B2792" i="6"/>
  <c r="C2791" i="6"/>
  <c r="B2791" i="6"/>
  <c r="C2790" i="6"/>
  <c r="B2790" i="6"/>
  <c r="C2789" i="6"/>
  <c r="B2789" i="6"/>
  <c r="C2788" i="6"/>
  <c r="B2788" i="6"/>
  <c r="C2787" i="6"/>
  <c r="B2787" i="6"/>
  <c r="C2786" i="6"/>
  <c r="B2786" i="6"/>
  <c r="C2785" i="6"/>
  <c r="B2785" i="6"/>
  <c r="C2784" i="6"/>
  <c r="B2784" i="6"/>
  <c r="C2783" i="6"/>
  <c r="B2783" i="6"/>
  <c r="C2782" i="6"/>
  <c r="B2782" i="6"/>
  <c r="C2781" i="6"/>
  <c r="B2781" i="6"/>
  <c r="C2780" i="6"/>
  <c r="B2780" i="6"/>
  <c r="C2779" i="6"/>
  <c r="B2779" i="6"/>
  <c r="C2778" i="6"/>
  <c r="B2778" i="6"/>
  <c r="C2777" i="6"/>
  <c r="B2777" i="6"/>
  <c r="C2776" i="6"/>
  <c r="B2776" i="6"/>
  <c r="C2775" i="6"/>
  <c r="B2775" i="6"/>
  <c r="C2774" i="6"/>
  <c r="B2774" i="6"/>
  <c r="C2773" i="6"/>
  <c r="B2773" i="6"/>
  <c r="C2772" i="6"/>
  <c r="B2772" i="6"/>
  <c r="C2771" i="6"/>
  <c r="B2771" i="6"/>
  <c r="C2770" i="6"/>
  <c r="B2770" i="6"/>
  <c r="C2769" i="6"/>
  <c r="B2769" i="6"/>
  <c r="C2768" i="6"/>
  <c r="B2768" i="6"/>
  <c r="C2767" i="6"/>
  <c r="B2767" i="6"/>
  <c r="C2766" i="6"/>
  <c r="B2766" i="6"/>
  <c r="C2765" i="6"/>
  <c r="B2765" i="6"/>
  <c r="C2764" i="6"/>
  <c r="B2764" i="6"/>
  <c r="C2763" i="6"/>
  <c r="B2763" i="6"/>
  <c r="C2762" i="6"/>
  <c r="B2762" i="6"/>
  <c r="C2761" i="6"/>
  <c r="B2761" i="6"/>
  <c r="C2760" i="6"/>
  <c r="B2760" i="6"/>
  <c r="C2759" i="6"/>
  <c r="B2759" i="6"/>
  <c r="C2758" i="6"/>
  <c r="B2758" i="6"/>
  <c r="C2757" i="6"/>
  <c r="B2757" i="6"/>
  <c r="C2756" i="6"/>
  <c r="B2756" i="6"/>
  <c r="C2755" i="6"/>
  <c r="B2755" i="6"/>
  <c r="C2754" i="6"/>
  <c r="B2754" i="6"/>
  <c r="C2753" i="6"/>
  <c r="B2753" i="6"/>
  <c r="C2752" i="6"/>
  <c r="B2752" i="6"/>
  <c r="C2751" i="6"/>
  <c r="B2751" i="6"/>
  <c r="C2750" i="6"/>
  <c r="B2750" i="6"/>
  <c r="C2749" i="6"/>
  <c r="B2749" i="6"/>
  <c r="C2748" i="6"/>
  <c r="B2748" i="6"/>
  <c r="C2747" i="6"/>
  <c r="B2747" i="6"/>
  <c r="C2746" i="6"/>
  <c r="B2746" i="6"/>
  <c r="C2745" i="6"/>
  <c r="B2745" i="6"/>
  <c r="C2744" i="6"/>
  <c r="B2744" i="6"/>
  <c r="C2743" i="6"/>
  <c r="B2743" i="6"/>
  <c r="C2742" i="6"/>
  <c r="B2742" i="6"/>
  <c r="C2741" i="6"/>
  <c r="B2741" i="6"/>
  <c r="C2740" i="6"/>
  <c r="B2740" i="6"/>
  <c r="C2739" i="6"/>
  <c r="B2739" i="6"/>
  <c r="C2738" i="6"/>
  <c r="B2738" i="6"/>
  <c r="C2737" i="6"/>
  <c r="B2737" i="6"/>
  <c r="C2736" i="6"/>
  <c r="B2736" i="6"/>
  <c r="C2735" i="6"/>
  <c r="B2735" i="6"/>
  <c r="C2734" i="6"/>
  <c r="B2734" i="6"/>
  <c r="C2733" i="6"/>
  <c r="B2733" i="6"/>
  <c r="C2732" i="6"/>
  <c r="B2732" i="6"/>
  <c r="C2731" i="6"/>
  <c r="B2731" i="6"/>
  <c r="C2730" i="6"/>
  <c r="B2730" i="6"/>
  <c r="C2729" i="6"/>
  <c r="B2729" i="6"/>
  <c r="C2728" i="6"/>
  <c r="B2728" i="6"/>
  <c r="C2727" i="6"/>
  <c r="B2727" i="6"/>
  <c r="C2726" i="6"/>
  <c r="B2726" i="6"/>
  <c r="C2725" i="6"/>
  <c r="B2725" i="6"/>
  <c r="C2724" i="6"/>
  <c r="B2724" i="6"/>
  <c r="C2723" i="6"/>
  <c r="B2723" i="6"/>
  <c r="C2722" i="6"/>
  <c r="B2722" i="6"/>
  <c r="C2721" i="6"/>
  <c r="B2721" i="6"/>
  <c r="C2720" i="6"/>
  <c r="B2720" i="6"/>
  <c r="C2719" i="6"/>
  <c r="B2719" i="6"/>
  <c r="C2718" i="6"/>
  <c r="B2718" i="6"/>
  <c r="C2717" i="6"/>
  <c r="B2717" i="6"/>
  <c r="C2716" i="6"/>
  <c r="B2716" i="6"/>
  <c r="C2715" i="6"/>
  <c r="B2715" i="6"/>
  <c r="C2714" i="6"/>
  <c r="B2714" i="6"/>
  <c r="C2713" i="6"/>
  <c r="B2713" i="6"/>
  <c r="C2712" i="6"/>
  <c r="B2712" i="6"/>
  <c r="C2711" i="6"/>
  <c r="B2711" i="6"/>
  <c r="C2710" i="6"/>
  <c r="B2710" i="6"/>
  <c r="C2709" i="6"/>
  <c r="B2709" i="6"/>
  <c r="C2708" i="6"/>
  <c r="B2708" i="6"/>
  <c r="C2707" i="6"/>
  <c r="B2707" i="6"/>
  <c r="C2706" i="6"/>
  <c r="B2706" i="6"/>
  <c r="C2705" i="6"/>
  <c r="B2705" i="6"/>
  <c r="C2704" i="6"/>
  <c r="B2704" i="6"/>
  <c r="C2703" i="6"/>
  <c r="B2703" i="6"/>
  <c r="C2702" i="6"/>
  <c r="B2702" i="6"/>
  <c r="C2701" i="6"/>
  <c r="B2701" i="6"/>
  <c r="C2700" i="6"/>
  <c r="B2700" i="6"/>
  <c r="C2699" i="6"/>
  <c r="B2699" i="6"/>
  <c r="C2698" i="6"/>
  <c r="B2698" i="6"/>
  <c r="C2697" i="6"/>
  <c r="B2697" i="6"/>
  <c r="C2696" i="6"/>
  <c r="B2696" i="6"/>
  <c r="C2695" i="6"/>
  <c r="B2695" i="6"/>
  <c r="C2694" i="6"/>
  <c r="B2694" i="6"/>
  <c r="C2693" i="6"/>
  <c r="B2693" i="6"/>
  <c r="C2692" i="6"/>
  <c r="B2692" i="6"/>
  <c r="C2691" i="6"/>
  <c r="B2691" i="6"/>
  <c r="C2690" i="6"/>
  <c r="B2690" i="6"/>
  <c r="C2689" i="6"/>
  <c r="B2689" i="6"/>
  <c r="C2688" i="6"/>
  <c r="B2688" i="6"/>
  <c r="C2687" i="6"/>
  <c r="B2687" i="6"/>
  <c r="C2686" i="6"/>
  <c r="B2686" i="6"/>
  <c r="C2685" i="6"/>
  <c r="B2685" i="6"/>
  <c r="C2684" i="6"/>
  <c r="B2684" i="6"/>
  <c r="C2683" i="6"/>
  <c r="B2683" i="6"/>
  <c r="C2682" i="6"/>
  <c r="B2682" i="6"/>
  <c r="C2681" i="6"/>
  <c r="B2681" i="6"/>
  <c r="C2680" i="6"/>
  <c r="B2680" i="6"/>
  <c r="C2679" i="6"/>
  <c r="B2679" i="6"/>
  <c r="C2678" i="6"/>
  <c r="B2678" i="6"/>
  <c r="C2677" i="6"/>
  <c r="B2677" i="6"/>
  <c r="C2676" i="6"/>
  <c r="B2676" i="6"/>
  <c r="C2675" i="6"/>
  <c r="B2675" i="6"/>
  <c r="C2674" i="6"/>
  <c r="B2674" i="6"/>
  <c r="C2673" i="6"/>
  <c r="B2673" i="6"/>
  <c r="C2672" i="6"/>
  <c r="B2672" i="6"/>
  <c r="C2671" i="6"/>
  <c r="B2671" i="6"/>
  <c r="C2670" i="6"/>
  <c r="B2670" i="6"/>
  <c r="C2669" i="6"/>
  <c r="B2669" i="6"/>
  <c r="C2668" i="6"/>
  <c r="B2668" i="6"/>
  <c r="C2667" i="6"/>
  <c r="B2667" i="6"/>
  <c r="C2666" i="6"/>
  <c r="B2666" i="6"/>
  <c r="C2665" i="6"/>
  <c r="B2665" i="6"/>
  <c r="C2664" i="6"/>
  <c r="B2664" i="6"/>
  <c r="C2663" i="6"/>
  <c r="B2663" i="6"/>
  <c r="C2662" i="6"/>
  <c r="B2662" i="6"/>
  <c r="C2661" i="6"/>
  <c r="B2661" i="6"/>
  <c r="C2660" i="6"/>
  <c r="B2660" i="6"/>
  <c r="C2659" i="6"/>
  <c r="B2659" i="6"/>
  <c r="C2658" i="6"/>
  <c r="B2658" i="6"/>
  <c r="C2657" i="6"/>
  <c r="B2657" i="6"/>
  <c r="C2656" i="6"/>
  <c r="B2656" i="6"/>
  <c r="C2655" i="6"/>
  <c r="B2655" i="6"/>
  <c r="C2654" i="6"/>
  <c r="B2654" i="6"/>
  <c r="C2653" i="6"/>
  <c r="B2653" i="6"/>
  <c r="C2652" i="6"/>
  <c r="B2652" i="6"/>
  <c r="C2651" i="6"/>
  <c r="B2651" i="6"/>
  <c r="C2650" i="6"/>
  <c r="B2650" i="6"/>
  <c r="C2649" i="6"/>
  <c r="B2649" i="6"/>
  <c r="C2648" i="6"/>
  <c r="B2648" i="6"/>
  <c r="C2647" i="6"/>
  <c r="B2647" i="6"/>
  <c r="C2646" i="6"/>
  <c r="B2646" i="6"/>
  <c r="C2645" i="6"/>
  <c r="B2645" i="6"/>
  <c r="C2644" i="6"/>
  <c r="B2644" i="6"/>
  <c r="C2643" i="6"/>
  <c r="B2643" i="6"/>
  <c r="C2642" i="6"/>
  <c r="B2642" i="6"/>
  <c r="C2641" i="6"/>
  <c r="B2641" i="6"/>
  <c r="C2640" i="6"/>
  <c r="B2640" i="6"/>
  <c r="C2639" i="6"/>
  <c r="B2639" i="6"/>
  <c r="C2638" i="6"/>
  <c r="B2638" i="6"/>
  <c r="C2637" i="6"/>
  <c r="B2637" i="6"/>
  <c r="C2636" i="6"/>
  <c r="B2636" i="6"/>
  <c r="C2635" i="6"/>
  <c r="B2635" i="6"/>
  <c r="C2634" i="6"/>
  <c r="B2634" i="6"/>
  <c r="C2633" i="6"/>
  <c r="B2633" i="6"/>
  <c r="C2632" i="6"/>
  <c r="B2632" i="6"/>
  <c r="C2631" i="6"/>
  <c r="B2631" i="6"/>
  <c r="C2630" i="6"/>
  <c r="B2630" i="6"/>
  <c r="C2629" i="6"/>
  <c r="B2629" i="6"/>
  <c r="C2628" i="6"/>
  <c r="B2628" i="6"/>
  <c r="C2627" i="6"/>
  <c r="B2627" i="6"/>
  <c r="C2626" i="6"/>
  <c r="B2626" i="6"/>
  <c r="C2625" i="6"/>
  <c r="B2625" i="6"/>
  <c r="C2624" i="6"/>
  <c r="B2624" i="6"/>
  <c r="C2623" i="6"/>
  <c r="B2623" i="6"/>
  <c r="C2622" i="6"/>
  <c r="B2622" i="6"/>
  <c r="C2621" i="6"/>
  <c r="B2621" i="6"/>
  <c r="C2620" i="6"/>
  <c r="B2620" i="6"/>
  <c r="C2619" i="6"/>
  <c r="B2619" i="6"/>
  <c r="C2618" i="6"/>
  <c r="B2618" i="6"/>
  <c r="C2617" i="6"/>
  <c r="B2617" i="6"/>
  <c r="C2616" i="6"/>
  <c r="B2616" i="6"/>
  <c r="C2615" i="6"/>
  <c r="B2615" i="6"/>
  <c r="C2614" i="6"/>
  <c r="B2614" i="6"/>
  <c r="C2613" i="6"/>
  <c r="B2613" i="6"/>
  <c r="C2612" i="6"/>
  <c r="B2612" i="6"/>
  <c r="C2611" i="6"/>
  <c r="B2611" i="6"/>
  <c r="C2610" i="6"/>
  <c r="B2610" i="6"/>
  <c r="C2609" i="6"/>
  <c r="B2609" i="6"/>
  <c r="C2608" i="6"/>
  <c r="B2608" i="6"/>
  <c r="C2607" i="6"/>
  <c r="B2607" i="6"/>
  <c r="C2606" i="6"/>
  <c r="B2606" i="6"/>
  <c r="C2605" i="6"/>
  <c r="B2605" i="6"/>
  <c r="C2604" i="6"/>
  <c r="B2604" i="6"/>
  <c r="C2603" i="6"/>
  <c r="B2603" i="6"/>
  <c r="C2602" i="6"/>
  <c r="B2602" i="6"/>
  <c r="C2601" i="6"/>
  <c r="B2601" i="6"/>
  <c r="C2600" i="6"/>
  <c r="B2600" i="6"/>
  <c r="C2599" i="6"/>
  <c r="B2599" i="6"/>
  <c r="C2598" i="6"/>
  <c r="B2598" i="6"/>
  <c r="C2597" i="6"/>
  <c r="B2597" i="6"/>
  <c r="C2596" i="6"/>
  <c r="B2596" i="6"/>
  <c r="C2595" i="6"/>
  <c r="B2595" i="6"/>
  <c r="C2594" i="6"/>
  <c r="B2594" i="6"/>
  <c r="C2593" i="6"/>
  <c r="B2593" i="6"/>
  <c r="C2592" i="6"/>
  <c r="B2592" i="6"/>
  <c r="C2591" i="6"/>
  <c r="B2591" i="6"/>
  <c r="C2590" i="6"/>
  <c r="B2590" i="6"/>
  <c r="C2589" i="6"/>
  <c r="B2589" i="6"/>
  <c r="C2588" i="6"/>
  <c r="B2588" i="6"/>
  <c r="C2587" i="6"/>
  <c r="B2587" i="6"/>
  <c r="C2586" i="6"/>
  <c r="B2586" i="6"/>
  <c r="C2585" i="6"/>
  <c r="B2585" i="6"/>
  <c r="C2584" i="6"/>
  <c r="B2584" i="6"/>
  <c r="C2583" i="6"/>
  <c r="B2583" i="6"/>
  <c r="C2582" i="6"/>
  <c r="B2582" i="6"/>
  <c r="C2581" i="6"/>
  <c r="B2581" i="6"/>
  <c r="C2580" i="6"/>
  <c r="B2580" i="6"/>
  <c r="C2579" i="6"/>
  <c r="B2579" i="6"/>
  <c r="C2578" i="6"/>
  <c r="B2578" i="6"/>
  <c r="C2577" i="6"/>
  <c r="B2577" i="6"/>
  <c r="C2576" i="6"/>
  <c r="B2576" i="6"/>
  <c r="C2575" i="6"/>
  <c r="B2575" i="6"/>
  <c r="C2574" i="6"/>
  <c r="B2574" i="6"/>
  <c r="C2573" i="6"/>
  <c r="B2573" i="6"/>
  <c r="C2572" i="6"/>
  <c r="B2572" i="6"/>
  <c r="C2571" i="6"/>
  <c r="B2571" i="6"/>
  <c r="C2570" i="6"/>
  <c r="B2570" i="6"/>
  <c r="C2569" i="6"/>
  <c r="B2569" i="6"/>
  <c r="C2568" i="6"/>
  <c r="B2568" i="6"/>
  <c r="C2567" i="6"/>
  <c r="B2567" i="6"/>
  <c r="C2566" i="6"/>
  <c r="B2566" i="6"/>
  <c r="C2565" i="6"/>
  <c r="B2565" i="6"/>
  <c r="C2564" i="6"/>
  <c r="B2564" i="6"/>
  <c r="C2563" i="6"/>
  <c r="B2563" i="6"/>
  <c r="C2562" i="6"/>
  <c r="B2562" i="6"/>
  <c r="C2561" i="6"/>
  <c r="B2561" i="6"/>
  <c r="C2560" i="6"/>
  <c r="B2560" i="6"/>
  <c r="C2559" i="6"/>
  <c r="B2559" i="6"/>
  <c r="C2558" i="6"/>
  <c r="B2558" i="6"/>
  <c r="C2557" i="6"/>
  <c r="B2557" i="6"/>
  <c r="C2556" i="6"/>
  <c r="B2556" i="6"/>
  <c r="C2555" i="6"/>
  <c r="B2555" i="6"/>
  <c r="C2554" i="6"/>
  <c r="B2554" i="6"/>
  <c r="C2553" i="6"/>
  <c r="B2553" i="6"/>
  <c r="C2552" i="6"/>
  <c r="B2552" i="6"/>
  <c r="C2551" i="6"/>
  <c r="B2551" i="6"/>
  <c r="C2550" i="6"/>
  <c r="B2550" i="6"/>
  <c r="C2549" i="6"/>
  <c r="B2549" i="6"/>
  <c r="C2548" i="6"/>
  <c r="B2548" i="6"/>
  <c r="C2547" i="6"/>
  <c r="B2547" i="6"/>
  <c r="C2546" i="6"/>
  <c r="B2546" i="6"/>
  <c r="C2545" i="6"/>
  <c r="B2545" i="6"/>
  <c r="C2544" i="6"/>
  <c r="B2544" i="6"/>
  <c r="C2543" i="6"/>
  <c r="B2543" i="6"/>
  <c r="C2542" i="6"/>
  <c r="B2542" i="6"/>
  <c r="C2541" i="6"/>
  <c r="B2541" i="6"/>
  <c r="C2540" i="6"/>
  <c r="B2540" i="6"/>
  <c r="C2539" i="6"/>
  <c r="B2539" i="6"/>
  <c r="C2538" i="6"/>
  <c r="B2538" i="6"/>
  <c r="C2537" i="6"/>
  <c r="B2537" i="6"/>
  <c r="C2536" i="6"/>
  <c r="B2536" i="6"/>
  <c r="C2535" i="6"/>
  <c r="B2535" i="6"/>
  <c r="C2534" i="6"/>
  <c r="B2534" i="6"/>
  <c r="C2533" i="6"/>
  <c r="B2533" i="6"/>
  <c r="C2532" i="6"/>
  <c r="B2532" i="6"/>
  <c r="C2531" i="6"/>
  <c r="B2531" i="6"/>
  <c r="C2530" i="6"/>
  <c r="B2530" i="6"/>
  <c r="C2529" i="6"/>
  <c r="B2529" i="6"/>
  <c r="C2528" i="6"/>
  <c r="B2528" i="6"/>
  <c r="C2527" i="6"/>
  <c r="B2527" i="6"/>
  <c r="C2526" i="6"/>
  <c r="B2526" i="6"/>
  <c r="C2525" i="6"/>
  <c r="B2525" i="6"/>
  <c r="C2524" i="6"/>
  <c r="B2524" i="6"/>
  <c r="C2523" i="6"/>
  <c r="B2523" i="6"/>
  <c r="C2522" i="6"/>
  <c r="B2522" i="6"/>
  <c r="C2521" i="6"/>
  <c r="B2521" i="6"/>
  <c r="C2520" i="6"/>
  <c r="B2520" i="6"/>
  <c r="C2519" i="6"/>
  <c r="B2519" i="6"/>
  <c r="C2518" i="6"/>
  <c r="B2518" i="6"/>
  <c r="C2517" i="6"/>
  <c r="B2517" i="6"/>
  <c r="C2516" i="6"/>
  <c r="B2516" i="6"/>
  <c r="C2515" i="6"/>
  <c r="B2515" i="6"/>
  <c r="C2514" i="6"/>
  <c r="B2514" i="6"/>
  <c r="C2513" i="6"/>
  <c r="B2513" i="6"/>
  <c r="C2512" i="6"/>
  <c r="B2512" i="6"/>
  <c r="C2511" i="6"/>
  <c r="B2511" i="6"/>
  <c r="C2510" i="6"/>
  <c r="B2510" i="6"/>
  <c r="C2509" i="6"/>
  <c r="B2509" i="6"/>
  <c r="C2508" i="6"/>
  <c r="B2508" i="6"/>
  <c r="C2507" i="6"/>
  <c r="B2507" i="6"/>
  <c r="C2506" i="6"/>
  <c r="B2506" i="6"/>
  <c r="C2505" i="6"/>
  <c r="B2505" i="6"/>
  <c r="C2504" i="6"/>
  <c r="B2504" i="6"/>
  <c r="C2503" i="6"/>
  <c r="B2503" i="6"/>
  <c r="C2502" i="6"/>
  <c r="B2502" i="6"/>
  <c r="C2501" i="6"/>
  <c r="B2501" i="6"/>
  <c r="C2500" i="6"/>
  <c r="B2500" i="6"/>
  <c r="C2499" i="6"/>
  <c r="B2499" i="6"/>
  <c r="C2498" i="6"/>
  <c r="B2498" i="6"/>
  <c r="C2497" i="6"/>
  <c r="B2497" i="6"/>
  <c r="C2496" i="6"/>
  <c r="B2496" i="6"/>
  <c r="C2495" i="6"/>
  <c r="B2495" i="6"/>
  <c r="C2494" i="6"/>
  <c r="B2494" i="6"/>
  <c r="C2493" i="6"/>
  <c r="B2493" i="6"/>
  <c r="C2492" i="6"/>
  <c r="B2492" i="6"/>
  <c r="C2491" i="6"/>
  <c r="B2491" i="6"/>
  <c r="C2490" i="6"/>
  <c r="B2490" i="6"/>
  <c r="C2489" i="6"/>
  <c r="B2489" i="6"/>
  <c r="C2488" i="6"/>
  <c r="B2488" i="6"/>
  <c r="C2487" i="6"/>
  <c r="B2487" i="6"/>
  <c r="C2486" i="6"/>
  <c r="B2486" i="6"/>
  <c r="C2485" i="6"/>
  <c r="B2485" i="6"/>
  <c r="C2484" i="6"/>
  <c r="B2484" i="6"/>
  <c r="C2483" i="6"/>
  <c r="B2483" i="6"/>
  <c r="C2482" i="6"/>
  <c r="B2482" i="6"/>
  <c r="C2481" i="6"/>
  <c r="B2481" i="6"/>
  <c r="C2480" i="6"/>
  <c r="B2480" i="6"/>
  <c r="C2479" i="6"/>
  <c r="B2479" i="6"/>
  <c r="C2478" i="6"/>
  <c r="B2478" i="6"/>
  <c r="C2477" i="6"/>
  <c r="B2477" i="6"/>
  <c r="C2476" i="6"/>
  <c r="B2476" i="6"/>
  <c r="C2475" i="6"/>
  <c r="B2475" i="6"/>
  <c r="C2474" i="6"/>
  <c r="B2474" i="6"/>
  <c r="C2473" i="6"/>
  <c r="B2473" i="6"/>
  <c r="C2472" i="6"/>
  <c r="B2472" i="6"/>
  <c r="C2471" i="6"/>
  <c r="B2471" i="6"/>
  <c r="C2470" i="6"/>
  <c r="B2470" i="6"/>
  <c r="C2469" i="6"/>
  <c r="B2469" i="6"/>
  <c r="C2468" i="6"/>
  <c r="B2468" i="6"/>
  <c r="C2467" i="6"/>
  <c r="B2467" i="6"/>
  <c r="C2466" i="6"/>
  <c r="B2466" i="6"/>
  <c r="C2465" i="6"/>
  <c r="B2465" i="6"/>
  <c r="C2464" i="6"/>
  <c r="B2464" i="6"/>
  <c r="C2463" i="6"/>
  <c r="B2463" i="6"/>
  <c r="C2462" i="6"/>
  <c r="B2462" i="6"/>
  <c r="C2461" i="6"/>
  <c r="B2461" i="6"/>
  <c r="C2460" i="6"/>
  <c r="B2460" i="6"/>
  <c r="C2459" i="6"/>
  <c r="B2459" i="6"/>
  <c r="C2458" i="6"/>
  <c r="B2458" i="6"/>
  <c r="C2457" i="6"/>
  <c r="B2457" i="6"/>
  <c r="C2456" i="6"/>
  <c r="B2456" i="6"/>
  <c r="C2455" i="6"/>
  <c r="B2455" i="6"/>
  <c r="C2454" i="6"/>
  <c r="B2454" i="6"/>
  <c r="C2453" i="6"/>
  <c r="B2453" i="6"/>
  <c r="C2452" i="6"/>
  <c r="B2452" i="6"/>
  <c r="C2451" i="6"/>
  <c r="B2451" i="6"/>
  <c r="C2450" i="6"/>
  <c r="B2450" i="6"/>
  <c r="C2449" i="6"/>
  <c r="B2449" i="6"/>
  <c r="C2448" i="6"/>
  <c r="B2448" i="6"/>
  <c r="C2447" i="6"/>
  <c r="B2447" i="6"/>
  <c r="C2446" i="6"/>
  <c r="B2446" i="6"/>
  <c r="C2445" i="6"/>
  <c r="B2445" i="6"/>
  <c r="C2444" i="6"/>
  <c r="B2444" i="6"/>
  <c r="C2443" i="6"/>
  <c r="B2443" i="6"/>
  <c r="C2442" i="6"/>
  <c r="B2442" i="6"/>
  <c r="C2441" i="6"/>
  <c r="B2441" i="6"/>
  <c r="C2440" i="6"/>
  <c r="B2440" i="6"/>
  <c r="C2439" i="6"/>
  <c r="B2439" i="6"/>
  <c r="C2438" i="6"/>
  <c r="B2438" i="6"/>
  <c r="C2437" i="6"/>
  <c r="B2437" i="6"/>
  <c r="C2436" i="6"/>
  <c r="B2436" i="6"/>
  <c r="C2435" i="6"/>
  <c r="B2435" i="6"/>
  <c r="C2434" i="6"/>
  <c r="B2434" i="6"/>
  <c r="C2433" i="6"/>
  <c r="B2433" i="6"/>
  <c r="C2432" i="6"/>
  <c r="B2432" i="6"/>
  <c r="C2431" i="6"/>
  <c r="B2431" i="6"/>
  <c r="C2430" i="6"/>
  <c r="B2430" i="6"/>
  <c r="C2429" i="6"/>
  <c r="B2429" i="6"/>
  <c r="C2428" i="6"/>
  <c r="B2428" i="6"/>
  <c r="C2427" i="6"/>
  <c r="B2427" i="6"/>
  <c r="C2426" i="6"/>
  <c r="B2426" i="6"/>
  <c r="C2425" i="6"/>
  <c r="B2425" i="6"/>
  <c r="C2424" i="6"/>
  <c r="B2424" i="6"/>
  <c r="C2423" i="6"/>
  <c r="B2423" i="6"/>
  <c r="C2422" i="6"/>
  <c r="B2422" i="6"/>
  <c r="C2421" i="6"/>
  <c r="B2421" i="6"/>
  <c r="C2420" i="6"/>
  <c r="B2420" i="6"/>
  <c r="C2419" i="6"/>
  <c r="B2419" i="6"/>
  <c r="C2418" i="6"/>
  <c r="B2418" i="6"/>
  <c r="C2417" i="6"/>
  <c r="B2417" i="6"/>
  <c r="C2416" i="6"/>
  <c r="B2416" i="6"/>
  <c r="C2415" i="6"/>
  <c r="B2415" i="6"/>
  <c r="C2414" i="6"/>
  <c r="B2414" i="6"/>
  <c r="C2413" i="6"/>
  <c r="B2413" i="6"/>
  <c r="C2412" i="6"/>
  <c r="B2412" i="6"/>
  <c r="C2411" i="6"/>
  <c r="B2411" i="6"/>
  <c r="C2410" i="6"/>
  <c r="B2410" i="6"/>
  <c r="C2409" i="6"/>
  <c r="B2409" i="6"/>
  <c r="C2408" i="6"/>
  <c r="B2408" i="6"/>
  <c r="C2407" i="6"/>
  <c r="B2407" i="6"/>
  <c r="C2406" i="6"/>
  <c r="B2406" i="6"/>
  <c r="C2405" i="6"/>
  <c r="B2405" i="6"/>
  <c r="C2404" i="6"/>
  <c r="B2404" i="6"/>
  <c r="C2403" i="6"/>
  <c r="B2403" i="6"/>
  <c r="C2402" i="6"/>
  <c r="B2402" i="6"/>
  <c r="C2401" i="6"/>
  <c r="B2401" i="6"/>
  <c r="C2400" i="6"/>
  <c r="B2400" i="6"/>
  <c r="C2399" i="6"/>
  <c r="B2399" i="6"/>
  <c r="C2398" i="6"/>
  <c r="B2398" i="6"/>
  <c r="C2397" i="6"/>
  <c r="B2397" i="6"/>
  <c r="C2396" i="6"/>
  <c r="B2396" i="6"/>
  <c r="C2395" i="6"/>
  <c r="B2395" i="6"/>
  <c r="C2394" i="6"/>
  <c r="B2394" i="6"/>
  <c r="C2393" i="6"/>
  <c r="B2393" i="6"/>
  <c r="C2392" i="6"/>
  <c r="B2392" i="6"/>
  <c r="C2391" i="6"/>
  <c r="B2391" i="6"/>
  <c r="C2390" i="6"/>
  <c r="B2390" i="6"/>
  <c r="C2389" i="6"/>
  <c r="B2389" i="6"/>
  <c r="C2388" i="6"/>
  <c r="B2388" i="6"/>
  <c r="C2387" i="6"/>
  <c r="B2387" i="6"/>
  <c r="C2386" i="6"/>
  <c r="B2386" i="6"/>
  <c r="C2385" i="6"/>
  <c r="B2385" i="6"/>
  <c r="C2384" i="6"/>
  <c r="B2384" i="6"/>
  <c r="C2383" i="6"/>
  <c r="B2383" i="6"/>
  <c r="C2382" i="6"/>
  <c r="B2382" i="6"/>
  <c r="C2381" i="6"/>
  <c r="B2381" i="6"/>
  <c r="C2380" i="6"/>
  <c r="B2380" i="6"/>
  <c r="C2379" i="6"/>
  <c r="B2379" i="6"/>
  <c r="C2378" i="6"/>
  <c r="B2378" i="6"/>
  <c r="C2377" i="6"/>
  <c r="B2377" i="6"/>
  <c r="C2376" i="6"/>
  <c r="B2376" i="6"/>
  <c r="C2375" i="6"/>
  <c r="B2375" i="6"/>
  <c r="C2374" i="6"/>
  <c r="B2374" i="6"/>
  <c r="C2373" i="6"/>
  <c r="B2373" i="6"/>
  <c r="C2372" i="6"/>
  <c r="B2372" i="6"/>
  <c r="C2371" i="6"/>
  <c r="B2371" i="6"/>
  <c r="C2370" i="6"/>
  <c r="B2370" i="6"/>
  <c r="C2369" i="6"/>
  <c r="B2369" i="6"/>
  <c r="C2368" i="6"/>
  <c r="B2368" i="6"/>
  <c r="C2367" i="6"/>
  <c r="B2367" i="6"/>
  <c r="C2366" i="6"/>
  <c r="B2366" i="6"/>
  <c r="C2365" i="6"/>
  <c r="B2365" i="6"/>
  <c r="C2364" i="6"/>
  <c r="B2364" i="6"/>
  <c r="C2363" i="6"/>
  <c r="B2363" i="6"/>
  <c r="C2362" i="6"/>
  <c r="B2362" i="6"/>
  <c r="C2361" i="6"/>
  <c r="B2361" i="6"/>
  <c r="C2360" i="6"/>
  <c r="B2360" i="6"/>
  <c r="C2359" i="6"/>
  <c r="B2359" i="6"/>
  <c r="C2358" i="6"/>
  <c r="B2358" i="6"/>
  <c r="C2357" i="6"/>
  <c r="B2357" i="6"/>
  <c r="C2356" i="6"/>
  <c r="B2356" i="6"/>
  <c r="C2355" i="6"/>
  <c r="B2355" i="6"/>
  <c r="C2354" i="6"/>
  <c r="B2354" i="6"/>
  <c r="C2353" i="6"/>
  <c r="B2353" i="6"/>
  <c r="C2352" i="6"/>
  <c r="B2352" i="6"/>
  <c r="C2351" i="6"/>
  <c r="B2351" i="6"/>
  <c r="C2350" i="6"/>
  <c r="B2350" i="6"/>
  <c r="C2349" i="6"/>
  <c r="B2349" i="6"/>
  <c r="C2348" i="6"/>
  <c r="B2348" i="6"/>
  <c r="C2347" i="6"/>
  <c r="B2347" i="6"/>
  <c r="C2346" i="6"/>
  <c r="B2346" i="6"/>
  <c r="C2345" i="6"/>
  <c r="B2345" i="6"/>
  <c r="C2344" i="6"/>
  <c r="B2344" i="6"/>
  <c r="C2343" i="6"/>
  <c r="B2343" i="6"/>
  <c r="C2342" i="6"/>
  <c r="B2342" i="6"/>
  <c r="C2341" i="6"/>
  <c r="B2341" i="6"/>
  <c r="C2340" i="6"/>
  <c r="B2340" i="6"/>
  <c r="C2339" i="6"/>
  <c r="B2339" i="6"/>
  <c r="C2338" i="6"/>
  <c r="B2338" i="6"/>
  <c r="C2337" i="6"/>
  <c r="B2337" i="6"/>
  <c r="C2336" i="6"/>
  <c r="B2336" i="6"/>
  <c r="C2335" i="6"/>
  <c r="B2335" i="6"/>
  <c r="C2334" i="6"/>
  <c r="B2334" i="6"/>
  <c r="C2333" i="6"/>
  <c r="B2333" i="6"/>
  <c r="C2332" i="6"/>
  <c r="B2332" i="6"/>
  <c r="C2331" i="6"/>
  <c r="B2331" i="6"/>
  <c r="C2330" i="6"/>
  <c r="B2330" i="6"/>
  <c r="C2329" i="6"/>
  <c r="B2329" i="6"/>
  <c r="C2328" i="6"/>
  <c r="B2328" i="6"/>
  <c r="C2327" i="6"/>
  <c r="B2327" i="6"/>
  <c r="C2326" i="6"/>
  <c r="B2326" i="6"/>
  <c r="C2325" i="6"/>
  <c r="B2325" i="6"/>
  <c r="C2324" i="6"/>
  <c r="B2324" i="6"/>
  <c r="C2323" i="6"/>
  <c r="B2323" i="6"/>
  <c r="C2322" i="6"/>
  <c r="B2322" i="6"/>
  <c r="C2321" i="6"/>
  <c r="B2321" i="6"/>
  <c r="C2320" i="6"/>
  <c r="B2320" i="6"/>
  <c r="C2319" i="6"/>
  <c r="B2319" i="6"/>
  <c r="C2318" i="6"/>
  <c r="B2318" i="6"/>
  <c r="C2317" i="6"/>
  <c r="B2317" i="6"/>
  <c r="C2316" i="6"/>
  <c r="B2316" i="6"/>
  <c r="C2315" i="6"/>
  <c r="B2315" i="6"/>
  <c r="C2314" i="6"/>
  <c r="B2314" i="6"/>
  <c r="C2313" i="6"/>
  <c r="B2313" i="6"/>
  <c r="C2312" i="6"/>
  <c r="B2312" i="6"/>
  <c r="C2311" i="6"/>
  <c r="B2311" i="6"/>
  <c r="C2310" i="6"/>
  <c r="B2310" i="6"/>
  <c r="C2309" i="6"/>
  <c r="B2309" i="6"/>
  <c r="C2308" i="6"/>
  <c r="B2308" i="6"/>
  <c r="C2307" i="6"/>
  <c r="B2307" i="6"/>
  <c r="C2306" i="6"/>
  <c r="B2306" i="6"/>
  <c r="C2305" i="6"/>
  <c r="B2305" i="6"/>
  <c r="C2304" i="6"/>
  <c r="B2304" i="6"/>
  <c r="C2303" i="6"/>
  <c r="B2303" i="6"/>
  <c r="C2302" i="6"/>
  <c r="B2302" i="6"/>
  <c r="C2301" i="6"/>
  <c r="B2301" i="6"/>
  <c r="C2300" i="6"/>
  <c r="B2300" i="6"/>
  <c r="C2299" i="6"/>
  <c r="B2299" i="6"/>
  <c r="C2298" i="6"/>
  <c r="B2298" i="6"/>
  <c r="C2297" i="6"/>
  <c r="B2297" i="6"/>
  <c r="C2296" i="6"/>
  <c r="B2296" i="6"/>
  <c r="C2295" i="6"/>
  <c r="B2295" i="6"/>
  <c r="C2294" i="6"/>
  <c r="B2294" i="6"/>
  <c r="C2293" i="6"/>
  <c r="B2293" i="6"/>
  <c r="C2292" i="6"/>
  <c r="B2292" i="6"/>
  <c r="C2291" i="6"/>
  <c r="B2291" i="6"/>
  <c r="C2290" i="6"/>
  <c r="B2290" i="6"/>
  <c r="C2289" i="6"/>
  <c r="B2289" i="6"/>
  <c r="C2288" i="6"/>
  <c r="B2288" i="6"/>
  <c r="C2287" i="6"/>
  <c r="B2287" i="6"/>
  <c r="C2286" i="6"/>
  <c r="B2286" i="6"/>
  <c r="C2285" i="6"/>
  <c r="B2285" i="6"/>
  <c r="C2284" i="6"/>
  <c r="B2284" i="6"/>
  <c r="C2283" i="6"/>
  <c r="B2283" i="6"/>
  <c r="C2282" i="6"/>
  <c r="B2282" i="6"/>
  <c r="C2281" i="6"/>
  <c r="B2281" i="6"/>
  <c r="C2280" i="6"/>
  <c r="B2280" i="6"/>
  <c r="C2279" i="6"/>
  <c r="B2279" i="6"/>
  <c r="C2278" i="6"/>
  <c r="B2278" i="6"/>
  <c r="C2277" i="6"/>
  <c r="B2277" i="6"/>
  <c r="C2276" i="6"/>
  <c r="B2276" i="6"/>
  <c r="C2275" i="6"/>
  <c r="B2275" i="6"/>
  <c r="C2274" i="6"/>
  <c r="B2274" i="6"/>
  <c r="C2273" i="6"/>
  <c r="B2273" i="6"/>
  <c r="C2272" i="6"/>
  <c r="B2272" i="6"/>
  <c r="C2271" i="6"/>
  <c r="B2271" i="6"/>
  <c r="C2270" i="6"/>
  <c r="B2270" i="6"/>
  <c r="C2269" i="6"/>
  <c r="B2269" i="6"/>
  <c r="C2268" i="6"/>
  <c r="B2268" i="6"/>
  <c r="C2267" i="6"/>
  <c r="B2267" i="6"/>
  <c r="C2266" i="6"/>
  <c r="B2266" i="6"/>
  <c r="C2265" i="6"/>
  <c r="B2265" i="6"/>
  <c r="C2264" i="6"/>
  <c r="B2264" i="6"/>
  <c r="C2263" i="6"/>
  <c r="B2263" i="6"/>
  <c r="C2262" i="6"/>
  <c r="B2262" i="6"/>
  <c r="C2261" i="6"/>
  <c r="B2261" i="6"/>
  <c r="C2260" i="6"/>
  <c r="B2260" i="6"/>
  <c r="C2259" i="6"/>
  <c r="B2259" i="6"/>
  <c r="C2258" i="6"/>
  <c r="B2258" i="6"/>
  <c r="C2257" i="6"/>
  <c r="B2257" i="6"/>
  <c r="C2256" i="6"/>
  <c r="B2256" i="6"/>
  <c r="C2255" i="6"/>
  <c r="B2255" i="6"/>
  <c r="C2254" i="6"/>
  <c r="B2254" i="6"/>
  <c r="C2253" i="6"/>
  <c r="B2253" i="6"/>
  <c r="C2252" i="6"/>
  <c r="B2252" i="6"/>
  <c r="C2251" i="6"/>
  <c r="B2251" i="6"/>
  <c r="C2250" i="6"/>
  <c r="B2250" i="6"/>
  <c r="C2249" i="6"/>
  <c r="B2249" i="6"/>
  <c r="C2248" i="6"/>
  <c r="B2248" i="6"/>
  <c r="C2247" i="6"/>
  <c r="B2247" i="6"/>
  <c r="C2246" i="6"/>
  <c r="B2246" i="6"/>
  <c r="C2245" i="6"/>
  <c r="B2245" i="6"/>
  <c r="C2244" i="6"/>
  <c r="B2244" i="6"/>
  <c r="C2243" i="6"/>
  <c r="B2243" i="6"/>
  <c r="C2242" i="6"/>
  <c r="B2242" i="6"/>
  <c r="C2241" i="6"/>
  <c r="B2241" i="6"/>
  <c r="C2240" i="6"/>
  <c r="B2240" i="6"/>
  <c r="C2239" i="6"/>
  <c r="B2239" i="6"/>
  <c r="C2238" i="6"/>
  <c r="B2238" i="6"/>
  <c r="C2237" i="6"/>
  <c r="B2237" i="6"/>
  <c r="C2236" i="6"/>
  <c r="B2236" i="6"/>
  <c r="C2235" i="6"/>
  <c r="B2235" i="6"/>
  <c r="C2234" i="6"/>
  <c r="B2234" i="6"/>
  <c r="C2233" i="6"/>
  <c r="B2233" i="6"/>
  <c r="C2232" i="6"/>
  <c r="B2232" i="6"/>
  <c r="C2231" i="6"/>
  <c r="B2231" i="6"/>
  <c r="C2230" i="6"/>
  <c r="B2230" i="6"/>
  <c r="C2229" i="6"/>
  <c r="B2229" i="6"/>
  <c r="C2228" i="6"/>
  <c r="B2228" i="6"/>
  <c r="C2227" i="6"/>
  <c r="B2227" i="6"/>
  <c r="C2226" i="6"/>
  <c r="B2226" i="6"/>
  <c r="C2225" i="6"/>
  <c r="B2225" i="6"/>
  <c r="C2224" i="6"/>
  <c r="B2224" i="6"/>
  <c r="C2223" i="6"/>
  <c r="B2223" i="6"/>
  <c r="C2222" i="6"/>
  <c r="B2222" i="6"/>
  <c r="C2221" i="6"/>
  <c r="B2221" i="6"/>
  <c r="C2220" i="6"/>
  <c r="B2220" i="6"/>
  <c r="C2219" i="6"/>
  <c r="B2219" i="6"/>
  <c r="C2218" i="6"/>
  <c r="B2218" i="6"/>
  <c r="C2217" i="6"/>
  <c r="B2217" i="6"/>
  <c r="C2216" i="6"/>
  <c r="B2216" i="6"/>
  <c r="C2215" i="6"/>
  <c r="B2215" i="6"/>
  <c r="C2214" i="6"/>
  <c r="B2214" i="6"/>
  <c r="C2213" i="6"/>
  <c r="B2213" i="6"/>
  <c r="C2212" i="6"/>
  <c r="B2212" i="6"/>
  <c r="C2211" i="6"/>
  <c r="B2211" i="6"/>
  <c r="C2210" i="6"/>
  <c r="B2210" i="6"/>
  <c r="C2209" i="6"/>
  <c r="B2209" i="6"/>
  <c r="C2208" i="6"/>
  <c r="B2208" i="6"/>
  <c r="C2207" i="6"/>
  <c r="B2207" i="6"/>
  <c r="C2206" i="6"/>
  <c r="B2206" i="6"/>
  <c r="C2205" i="6"/>
  <c r="B2205" i="6"/>
  <c r="C2204" i="6"/>
  <c r="B2204" i="6"/>
  <c r="C2203" i="6"/>
  <c r="B2203" i="6"/>
  <c r="C2202" i="6"/>
  <c r="B2202" i="6"/>
  <c r="C2201" i="6"/>
  <c r="B2201" i="6"/>
  <c r="C2200" i="6"/>
  <c r="B2200" i="6"/>
  <c r="C2199" i="6"/>
  <c r="B2199" i="6"/>
  <c r="C2198" i="6"/>
  <c r="B2198" i="6"/>
  <c r="C2197" i="6"/>
  <c r="B2197" i="6"/>
  <c r="C2196" i="6"/>
  <c r="B2196" i="6"/>
  <c r="C2195" i="6"/>
  <c r="B2195" i="6"/>
  <c r="C2194" i="6"/>
  <c r="B2194" i="6"/>
  <c r="C2193" i="6"/>
  <c r="B2193" i="6"/>
  <c r="C2192" i="6"/>
  <c r="B2192" i="6"/>
  <c r="C2191" i="6"/>
  <c r="B2191" i="6"/>
  <c r="C2190" i="6"/>
  <c r="B2190" i="6"/>
  <c r="C2189" i="6"/>
  <c r="B2189" i="6"/>
  <c r="C2188" i="6"/>
  <c r="B2188" i="6"/>
  <c r="C2187" i="6"/>
  <c r="B2187" i="6"/>
  <c r="C2186" i="6"/>
  <c r="B2186" i="6"/>
  <c r="C2185" i="6"/>
  <c r="B2185" i="6"/>
  <c r="C2184" i="6"/>
  <c r="B2184" i="6"/>
  <c r="C2183" i="6"/>
  <c r="B2183" i="6"/>
  <c r="C2182" i="6"/>
  <c r="B2182" i="6"/>
  <c r="C2181" i="6"/>
  <c r="B2181" i="6"/>
  <c r="C2180" i="6"/>
  <c r="B2180" i="6"/>
  <c r="C2179" i="6"/>
  <c r="B2179" i="6"/>
  <c r="C2178" i="6"/>
  <c r="B2178" i="6"/>
  <c r="C2177" i="6"/>
  <c r="B2177" i="6"/>
  <c r="C2176" i="6"/>
  <c r="B2176" i="6"/>
  <c r="C2175" i="6"/>
  <c r="B2175" i="6"/>
  <c r="C2174" i="6"/>
  <c r="B2174" i="6"/>
  <c r="C2173" i="6"/>
  <c r="B2173" i="6"/>
  <c r="C2172" i="6"/>
  <c r="B2172" i="6"/>
  <c r="C2171" i="6"/>
  <c r="B2171" i="6"/>
  <c r="C2170" i="6"/>
  <c r="B2170" i="6"/>
  <c r="C2169" i="6"/>
  <c r="B2169" i="6"/>
  <c r="C2168" i="6"/>
  <c r="B2168" i="6"/>
  <c r="C2167" i="6"/>
  <c r="B2167" i="6"/>
  <c r="C2166" i="6"/>
  <c r="B2166" i="6"/>
  <c r="C2165" i="6"/>
  <c r="B2165" i="6"/>
  <c r="C2164" i="6"/>
  <c r="B2164" i="6"/>
  <c r="C2163" i="6"/>
  <c r="B2163" i="6"/>
  <c r="C2162" i="6"/>
  <c r="B2162" i="6"/>
  <c r="C2161" i="6"/>
  <c r="B2161" i="6"/>
  <c r="C2160" i="6"/>
  <c r="B2160" i="6"/>
  <c r="C2159" i="6"/>
  <c r="B2159" i="6"/>
  <c r="C2158" i="6"/>
  <c r="B2158" i="6"/>
  <c r="C2157" i="6"/>
  <c r="B2157" i="6"/>
  <c r="C2156" i="6"/>
  <c r="B2156" i="6"/>
  <c r="C2155" i="6"/>
  <c r="B2155" i="6"/>
  <c r="C2154" i="6"/>
  <c r="B2154" i="6"/>
  <c r="C2153" i="6"/>
  <c r="B2153" i="6"/>
  <c r="C2152" i="6"/>
  <c r="B2152" i="6"/>
  <c r="C2151" i="6"/>
  <c r="B2151" i="6"/>
  <c r="C2150" i="6"/>
  <c r="B2150" i="6"/>
  <c r="C2149" i="6"/>
  <c r="B2149" i="6"/>
  <c r="C2148" i="6"/>
  <c r="B2148" i="6"/>
  <c r="C2147" i="6"/>
  <c r="B2147" i="6"/>
  <c r="C2146" i="6"/>
  <c r="B2146" i="6"/>
  <c r="C2145" i="6"/>
  <c r="B2145" i="6"/>
  <c r="C2144" i="6"/>
  <c r="B2144" i="6"/>
  <c r="C2143" i="6"/>
  <c r="B2143" i="6"/>
  <c r="C2142" i="6"/>
  <c r="B2142" i="6"/>
  <c r="C2141" i="6"/>
  <c r="B2141" i="6"/>
  <c r="C2140" i="6"/>
  <c r="B2140" i="6"/>
  <c r="C2139" i="6"/>
  <c r="B2139" i="6"/>
  <c r="C2138" i="6"/>
  <c r="B2138" i="6"/>
  <c r="C2137" i="6"/>
  <c r="B2137" i="6"/>
  <c r="C2136" i="6"/>
  <c r="B2136" i="6"/>
  <c r="C2135" i="6"/>
  <c r="B2135" i="6"/>
  <c r="C2134" i="6"/>
  <c r="B2134" i="6"/>
  <c r="C2133" i="6"/>
  <c r="B2133" i="6"/>
  <c r="C2132" i="6"/>
  <c r="B2132" i="6"/>
  <c r="C2131" i="6"/>
  <c r="B2131" i="6"/>
  <c r="C2130" i="6"/>
  <c r="B2130" i="6"/>
  <c r="C2129" i="6"/>
  <c r="B2129" i="6"/>
  <c r="C2128" i="6"/>
  <c r="B2128" i="6"/>
  <c r="C2127" i="6"/>
  <c r="B2127" i="6"/>
  <c r="C2126" i="6"/>
  <c r="B2126" i="6"/>
  <c r="C2125" i="6"/>
  <c r="B2125" i="6"/>
  <c r="C2124" i="6"/>
  <c r="B2124" i="6"/>
  <c r="C2123" i="6"/>
  <c r="B2123" i="6"/>
  <c r="C2122" i="6"/>
  <c r="B2122" i="6"/>
  <c r="C2121" i="6"/>
  <c r="B2121" i="6"/>
  <c r="C2120" i="6"/>
  <c r="B2120" i="6"/>
  <c r="C2119" i="6"/>
  <c r="B2119" i="6"/>
  <c r="C2118" i="6"/>
  <c r="B2118" i="6"/>
  <c r="C2117" i="6"/>
  <c r="B2117" i="6"/>
  <c r="C2116" i="6"/>
  <c r="B2116" i="6"/>
  <c r="C2115" i="6"/>
  <c r="B2115" i="6"/>
  <c r="C2114" i="6"/>
  <c r="B2114" i="6"/>
  <c r="C2113" i="6"/>
  <c r="B2113" i="6"/>
  <c r="C2112" i="6"/>
  <c r="B2112" i="6"/>
  <c r="C2111" i="6"/>
  <c r="B2111" i="6"/>
  <c r="C2110" i="6"/>
  <c r="B2110" i="6"/>
  <c r="C2109" i="6"/>
  <c r="B2109" i="6"/>
  <c r="C2108" i="6"/>
  <c r="B2108" i="6"/>
  <c r="C2107" i="6"/>
  <c r="B2107" i="6"/>
  <c r="C2106" i="6"/>
  <c r="B2106" i="6"/>
  <c r="C2105" i="6"/>
  <c r="B2105" i="6"/>
  <c r="C2104" i="6"/>
  <c r="B2104" i="6"/>
  <c r="C2103" i="6"/>
  <c r="B2103" i="6"/>
  <c r="C2102" i="6"/>
  <c r="B2102" i="6"/>
  <c r="C2101" i="6"/>
  <c r="B2101" i="6"/>
  <c r="C2100" i="6"/>
  <c r="B2100" i="6"/>
  <c r="C2099" i="6"/>
  <c r="B2099" i="6"/>
  <c r="C2098" i="6"/>
  <c r="B2098" i="6"/>
  <c r="C2097" i="6"/>
  <c r="B2097" i="6"/>
  <c r="C2096" i="6"/>
  <c r="B2096" i="6"/>
  <c r="C2095" i="6"/>
  <c r="B2095" i="6"/>
  <c r="C2094" i="6"/>
  <c r="B2094" i="6"/>
  <c r="C2093" i="6"/>
  <c r="B2093" i="6"/>
  <c r="C2092" i="6"/>
  <c r="B2092" i="6"/>
  <c r="C2091" i="6"/>
  <c r="B2091" i="6"/>
  <c r="C2090" i="6"/>
  <c r="B2090" i="6"/>
  <c r="C2089" i="6"/>
  <c r="B2089" i="6"/>
  <c r="C2088" i="6"/>
  <c r="B2088" i="6"/>
  <c r="C2087" i="6"/>
  <c r="B2087" i="6"/>
  <c r="C2086" i="6"/>
  <c r="B2086" i="6"/>
  <c r="C2085" i="6"/>
  <c r="B2085" i="6"/>
  <c r="C2084" i="6"/>
  <c r="B2084" i="6"/>
  <c r="C2083" i="6"/>
  <c r="B2083" i="6"/>
  <c r="C2082" i="6"/>
  <c r="B2082" i="6"/>
  <c r="C2081" i="6"/>
  <c r="B2081" i="6"/>
  <c r="C2080" i="6"/>
  <c r="B2080" i="6"/>
  <c r="C2079" i="6"/>
  <c r="B2079" i="6"/>
  <c r="C2078" i="6"/>
  <c r="B2078" i="6"/>
  <c r="C2077" i="6"/>
  <c r="B2077" i="6"/>
  <c r="C2076" i="6"/>
  <c r="B2076" i="6"/>
  <c r="C2075" i="6"/>
  <c r="B2075" i="6"/>
  <c r="C2074" i="6"/>
  <c r="B2074" i="6"/>
  <c r="C2073" i="6"/>
  <c r="B2073" i="6"/>
  <c r="C2072" i="6"/>
  <c r="B2072" i="6"/>
  <c r="C2071" i="6"/>
  <c r="B2071" i="6"/>
  <c r="C2070" i="6"/>
  <c r="B2070" i="6"/>
  <c r="C2069" i="6"/>
  <c r="B2069" i="6"/>
  <c r="C2068" i="6"/>
  <c r="B2068" i="6"/>
  <c r="C2067" i="6"/>
  <c r="B2067" i="6"/>
  <c r="C2066" i="6"/>
  <c r="B2066" i="6"/>
  <c r="C2065" i="6"/>
  <c r="B2065" i="6"/>
  <c r="C2064" i="6"/>
  <c r="B2064" i="6"/>
  <c r="C2063" i="6"/>
  <c r="B2063" i="6"/>
  <c r="C2062" i="6"/>
  <c r="B2062" i="6"/>
  <c r="C2061" i="6"/>
  <c r="B2061" i="6"/>
  <c r="C2060" i="6"/>
  <c r="B2060" i="6"/>
  <c r="C2059" i="6"/>
  <c r="B2059" i="6"/>
  <c r="C2058" i="6"/>
  <c r="B2058" i="6"/>
  <c r="C2057" i="6"/>
  <c r="B2057" i="6"/>
  <c r="C2056" i="6"/>
  <c r="B2056" i="6"/>
  <c r="C2055" i="6"/>
  <c r="B2055" i="6"/>
  <c r="C2054" i="6"/>
  <c r="B2054" i="6"/>
  <c r="C2053" i="6"/>
  <c r="B2053" i="6"/>
  <c r="C2052" i="6"/>
  <c r="B2052" i="6"/>
  <c r="C2051" i="6"/>
  <c r="B2051" i="6"/>
  <c r="C2050" i="6"/>
  <c r="B2050" i="6"/>
  <c r="C2049" i="6"/>
  <c r="B2049" i="6"/>
  <c r="C2048" i="6"/>
  <c r="B2048" i="6"/>
  <c r="C2047" i="6"/>
  <c r="B2047" i="6"/>
  <c r="C2046" i="6"/>
  <c r="B2046" i="6"/>
  <c r="C2045" i="6"/>
  <c r="B2045" i="6"/>
  <c r="C2044" i="6"/>
  <c r="B2044" i="6"/>
  <c r="C2043" i="6"/>
  <c r="B2043" i="6"/>
  <c r="C2042" i="6"/>
  <c r="B2042" i="6"/>
  <c r="C2041" i="6"/>
  <c r="B2041" i="6"/>
  <c r="C2040" i="6"/>
  <c r="B2040" i="6"/>
  <c r="C2039" i="6"/>
  <c r="B2039" i="6"/>
  <c r="C2038" i="6"/>
  <c r="B2038" i="6"/>
  <c r="C2037" i="6"/>
  <c r="B2037" i="6"/>
  <c r="C2036" i="6"/>
  <c r="B2036" i="6"/>
  <c r="C2035" i="6"/>
  <c r="B2035" i="6"/>
  <c r="C2034" i="6"/>
  <c r="B2034" i="6"/>
  <c r="C2033" i="6"/>
  <c r="B2033" i="6"/>
  <c r="C2032" i="6"/>
  <c r="B2032" i="6"/>
  <c r="C2031" i="6"/>
  <c r="B2031" i="6"/>
  <c r="C2030" i="6"/>
  <c r="B2030" i="6"/>
  <c r="C2029" i="6"/>
  <c r="B2029" i="6"/>
  <c r="C2028" i="6"/>
  <c r="B2028" i="6"/>
  <c r="C2027" i="6"/>
  <c r="B2027" i="6"/>
  <c r="C2026" i="6"/>
  <c r="B2026" i="6"/>
  <c r="C2025" i="6"/>
  <c r="B2025" i="6"/>
  <c r="C2024" i="6"/>
  <c r="B2024" i="6"/>
  <c r="C2023" i="6"/>
  <c r="B2023" i="6"/>
  <c r="C2022" i="6"/>
  <c r="B2022" i="6"/>
  <c r="C2021" i="6"/>
  <c r="B2021" i="6"/>
  <c r="C2020" i="6"/>
  <c r="B2020" i="6"/>
  <c r="C2019" i="6"/>
  <c r="B2019" i="6"/>
  <c r="C2018" i="6"/>
  <c r="B2018" i="6"/>
  <c r="C2017" i="6"/>
  <c r="B2017" i="6"/>
  <c r="C2016" i="6"/>
  <c r="B2016" i="6"/>
  <c r="C2015" i="6"/>
  <c r="B2015" i="6"/>
  <c r="C2014" i="6"/>
  <c r="B2014" i="6"/>
  <c r="C2013" i="6"/>
  <c r="B2013" i="6"/>
  <c r="C2012" i="6"/>
  <c r="B2012" i="6"/>
  <c r="C2011" i="6"/>
  <c r="B2011" i="6"/>
  <c r="C2010" i="6"/>
  <c r="B2010" i="6"/>
  <c r="C2009" i="6"/>
  <c r="B2009" i="6"/>
  <c r="C2008" i="6"/>
  <c r="B2008" i="6"/>
  <c r="C2007" i="6"/>
  <c r="B2007" i="6"/>
  <c r="C2006" i="6"/>
  <c r="B2006" i="6"/>
  <c r="C2005" i="6"/>
  <c r="B2005" i="6"/>
  <c r="C2004" i="6"/>
  <c r="B2004" i="6"/>
  <c r="C2003" i="6"/>
  <c r="B2003" i="6"/>
  <c r="C2002" i="6"/>
  <c r="B2002" i="6"/>
  <c r="C2001" i="6"/>
  <c r="B2001" i="6"/>
  <c r="C2000" i="6"/>
  <c r="B2000" i="6"/>
  <c r="C1999" i="6"/>
  <c r="B1999" i="6"/>
  <c r="C1998" i="6"/>
  <c r="B1998" i="6"/>
  <c r="C1997" i="6"/>
  <c r="B1997" i="6"/>
  <c r="C1996" i="6"/>
  <c r="B1996" i="6"/>
  <c r="C1995" i="6"/>
  <c r="B1995" i="6"/>
  <c r="C1994" i="6"/>
  <c r="B1994" i="6"/>
  <c r="C1993" i="6"/>
  <c r="B1993" i="6"/>
  <c r="C1992" i="6"/>
  <c r="B1992" i="6"/>
  <c r="C1991" i="6"/>
  <c r="B1991" i="6"/>
  <c r="C1990" i="6"/>
  <c r="B1990" i="6"/>
  <c r="C1989" i="6"/>
  <c r="B1989" i="6"/>
  <c r="C1988" i="6"/>
  <c r="B1988" i="6"/>
  <c r="C1987" i="6"/>
  <c r="B1987" i="6"/>
  <c r="C1986" i="6"/>
  <c r="B1986" i="6"/>
  <c r="C1985" i="6"/>
  <c r="B1985" i="6"/>
  <c r="C1984" i="6"/>
  <c r="B1984" i="6"/>
  <c r="C1983" i="6"/>
  <c r="B1983" i="6"/>
  <c r="C1982" i="6"/>
  <c r="B1982" i="6"/>
  <c r="C1981" i="6"/>
  <c r="B1981" i="6"/>
  <c r="C1980" i="6"/>
  <c r="B1980" i="6"/>
  <c r="C1979" i="6"/>
  <c r="B1979" i="6"/>
  <c r="C1978" i="6"/>
  <c r="B1978" i="6"/>
  <c r="C1977" i="6"/>
  <c r="B1977" i="6"/>
  <c r="C1976" i="6"/>
  <c r="B1976" i="6"/>
  <c r="C1975" i="6"/>
  <c r="B1975" i="6"/>
  <c r="C1974" i="6"/>
  <c r="B1974" i="6"/>
  <c r="C1973" i="6"/>
  <c r="B1973" i="6"/>
  <c r="C1972" i="6"/>
  <c r="B1972" i="6"/>
  <c r="C1971" i="6"/>
  <c r="B1971" i="6"/>
  <c r="C1970" i="6"/>
  <c r="B1970" i="6"/>
  <c r="C1969" i="6"/>
  <c r="B1969" i="6"/>
  <c r="C1968" i="6"/>
  <c r="B1968" i="6"/>
  <c r="C1967" i="6"/>
  <c r="B1967" i="6"/>
  <c r="C1966" i="6"/>
  <c r="B1966" i="6"/>
  <c r="C1965" i="6"/>
  <c r="B1965" i="6"/>
  <c r="C1964" i="6"/>
  <c r="B1964" i="6"/>
  <c r="C1963" i="6"/>
  <c r="B1963" i="6"/>
  <c r="C1962" i="6"/>
  <c r="B1962" i="6"/>
  <c r="C1961" i="6"/>
  <c r="B1961" i="6"/>
  <c r="C1960" i="6"/>
  <c r="B1960" i="6"/>
  <c r="C1959" i="6"/>
  <c r="B1959" i="6"/>
  <c r="C1958" i="6"/>
  <c r="B1958" i="6"/>
  <c r="C1957" i="6"/>
  <c r="B1957" i="6"/>
  <c r="C1956" i="6"/>
  <c r="B1956" i="6"/>
  <c r="C1955" i="6"/>
  <c r="B1955" i="6"/>
  <c r="C1954" i="6"/>
  <c r="B1954" i="6"/>
  <c r="C1953" i="6"/>
  <c r="B1953" i="6"/>
  <c r="C1952" i="6"/>
  <c r="B1952" i="6"/>
  <c r="C1951" i="6"/>
  <c r="B1951" i="6"/>
  <c r="C1950" i="6"/>
  <c r="B1950" i="6"/>
  <c r="C1949" i="6"/>
  <c r="B1949" i="6"/>
  <c r="C1948" i="6"/>
  <c r="B1948" i="6"/>
  <c r="C1947" i="6"/>
  <c r="B1947" i="6"/>
  <c r="C1946" i="6"/>
  <c r="B1946" i="6"/>
  <c r="C1945" i="6"/>
  <c r="B1945" i="6"/>
  <c r="C1944" i="6"/>
  <c r="B1944" i="6"/>
  <c r="C1943" i="6"/>
  <c r="B1943" i="6"/>
  <c r="C1942" i="6"/>
  <c r="B1942" i="6"/>
  <c r="C1941" i="6"/>
  <c r="B1941" i="6"/>
  <c r="C1940" i="6"/>
  <c r="B1940" i="6"/>
  <c r="C1939" i="6"/>
  <c r="B1939" i="6"/>
  <c r="C1938" i="6"/>
  <c r="B1938" i="6"/>
  <c r="C1937" i="6"/>
  <c r="B1937" i="6"/>
  <c r="C1936" i="6"/>
  <c r="B1936" i="6"/>
  <c r="C1935" i="6"/>
  <c r="B1935" i="6"/>
  <c r="C1934" i="6"/>
  <c r="B1934" i="6"/>
  <c r="C1933" i="6"/>
  <c r="B1933" i="6"/>
  <c r="C1932" i="6"/>
  <c r="B1932" i="6"/>
  <c r="C1931" i="6"/>
  <c r="B1931" i="6"/>
  <c r="C1930" i="6"/>
  <c r="B1930" i="6"/>
  <c r="C1929" i="6"/>
  <c r="B1929" i="6"/>
  <c r="C1928" i="6"/>
  <c r="B1928" i="6"/>
  <c r="C1927" i="6"/>
  <c r="B1927" i="6"/>
  <c r="C1926" i="6"/>
  <c r="B1926" i="6"/>
  <c r="C1925" i="6"/>
  <c r="B1925" i="6"/>
  <c r="C1924" i="6"/>
  <c r="B1924" i="6"/>
  <c r="C1923" i="6"/>
  <c r="B1923" i="6"/>
  <c r="C1922" i="6"/>
  <c r="B1922" i="6"/>
  <c r="C1921" i="6"/>
  <c r="B1921" i="6"/>
  <c r="C1920" i="6"/>
  <c r="B1920" i="6"/>
  <c r="C1919" i="6"/>
  <c r="B1919" i="6"/>
  <c r="C1918" i="6"/>
  <c r="B1918" i="6"/>
  <c r="C1917" i="6"/>
  <c r="B1917" i="6"/>
  <c r="C1916" i="6"/>
  <c r="B1916" i="6"/>
  <c r="C1915" i="6"/>
  <c r="B1915" i="6"/>
  <c r="C1914" i="6"/>
  <c r="B1914" i="6"/>
  <c r="C1913" i="6"/>
  <c r="B1913" i="6"/>
  <c r="C1912" i="6"/>
  <c r="B1912" i="6"/>
  <c r="C1911" i="6"/>
  <c r="B1911" i="6"/>
  <c r="C1910" i="6"/>
  <c r="B1910" i="6"/>
  <c r="C1909" i="6"/>
  <c r="B1909" i="6"/>
  <c r="C1908" i="6"/>
  <c r="B1908" i="6"/>
  <c r="C1907" i="6"/>
  <c r="B1907" i="6"/>
  <c r="C1906" i="6"/>
  <c r="B1906" i="6"/>
  <c r="C1905" i="6"/>
  <c r="B1905" i="6"/>
  <c r="C1904" i="6"/>
  <c r="B1904" i="6"/>
  <c r="C1903" i="6"/>
  <c r="B1903" i="6"/>
  <c r="C1902" i="6"/>
  <c r="B1902" i="6"/>
  <c r="C1901" i="6"/>
  <c r="B1901" i="6"/>
  <c r="C1900" i="6"/>
  <c r="B1900" i="6"/>
  <c r="C1899" i="6"/>
  <c r="B1899" i="6"/>
  <c r="C1898" i="6"/>
  <c r="B1898" i="6"/>
  <c r="C1897" i="6"/>
  <c r="B1897" i="6"/>
  <c r="C1896" i="6"/>
  <c r="B1896" i="6"/>
  <c r="C1895" i="6"/>
  <c r="B1895" i="6"/>
  <c r="C1894" i="6"/>
  <c r="B1894" i="6"/>
  <c r="C1893" i="6"/>
  <c r="B1893" i="6"/>
  <c r="C1892" i="6"/>
  <c r="B1892" i="6"/>
  <c r="C1891" i="6"/>
  <c r="B1891" i="6"/>
  <c r="C1890" i="6"/>
  <c r="B1890" i="6"/>
  <c r="C1889" i="6"/>
  <c r="B1889" i="6"/>
  <c r="C1888" i="6"/>
  <c r="B1888" i="6"/>
  <c r="C1887" i="6"/>
  <c r="B1887" i="6"/>
  <c r="C1886" i="6"/>
  <c r="B1886" i="6"/>
  <c r="C1885" i="6"/>
  <c r="B1885" i="6"/>
  <c r="C1884" i="6"/>
  <c r="B1884" i="6"/>
  <c r="C1883" i="6"/>
  <c r="B1883" i="6"/>
  <c r="C1882" i="6"/>
  <c r="B1882" i="6"/>
  <c r="C1881" i="6"/>
  <c r="B1881" i="6"/>
  <c r="C1880" i="6"/>
  <c r="B1880" i="6"/>
  <c r="C1879" i="6"/>
  <c r="B1879" i="6"/>
  <c r="C1878" i="6"/>
  <c r="B1878" i="6"/>
  <c r="C1877" i="6"/>
  <c r="B1877" i="6"/>
  <c r="C1876" i="6"/>
  <c r="B1876" i="6"/>
  <c r="C1875" i="6"/>
  <c r="B1875" i="6"/>
  <c r="C1874" i="6"/>
  <c r="B1874" i="6"/>
  <c r="C1873" i="6"/>
  <c r="B1873" i="6"/>
  <c r="C1872" i="6"/>
  <c r="B1872" i="6"/>
  <c r="C1871" i="6"/>
  <c r="B1871" i="6"/>
  <c r="C1870" i="6"/>
  <c r="B1870" i="6"/>
  <c r="C1869" i="6"/>
  <c r="B1869" i="6"/>
  <c r="C1868" i="6"/>
  <c r="B1868" i="6"/>
  <c r="C1867" i="6"/>
  <c r="B1867" i="6"/>
  <c r="C1866" i="6"/>
  <c r="B1866" i="6"/>
  <c r="C1865" i="6"/>
  <c r="B1865" i="6"/>
  <c r="C1864" i="6"/>
  <c r="B1864" i="6"/>
  <c r="C1863" i="6"/>
  <c r="B1863" i="6"/>
  <c r="C1862" i="6"/>
  <c r="B1862" i="6"/>
  <c r="C1861" i="6"/>
  <c r="B1861" i="6"/>
  <c r="C1860" i="6"/>
  <c r="B1860" i="6"/>
  <c r="C1859" i="6"/>
  <c r="B1859" i="6"/>
  <c r="C1858" i="6"/>
  <c r="B1858" i="6"/>
  <c r="C1857" i="6"/>
  <c r="B1857" i="6"/>
  <c r="C1856" i="6"/>
  <c r="B1856" i="6"/>
  <c r="C1855" i="6"/>
  <c r="B1855" i="6"/>
  <c r="C1854" i="6"/>
  <c r="B1854" i="6"/>
  <c r="C1853" i="6"/>
  <c r="B1853" i="6"/>
  <c r="C1852" i="6"/>
  <c r="B1852" i="6"/>
  <c r="C1851" i="6"/>
  <c r="B1851" i="6"/>
  <c r="C1850" i="6"/>
  <c r="B1850" i="6"/>
  <c r="C1849" i="6"/>
  <c r="B1849" i="6"/>
  <c r="C1848" i="6"/>
  <c r="B1848" i="6"/>
  <c r="C1847" i="6"/>
  <c r="B1847" i="6"/>
  <c r="C1846" i="6"/>
  <c r="B1846" i="6"/>
  <c r="C1845" i="6"/>
  <c r="B1845" i="6"/>
  <c r="C1844" i="6"/>
  <c r="B1844" i="6"/>
  <c r="C1843" i="6"/>
  <c r="B1843" i="6"/>
  <c r="C1842" i="6"/>
  <c r="B1842" i="6"/>
  <c r="C1841" i="6"/>
  <c r="B1841" i="6"/>
  <c r="C1840" i="6"/>
  <c r="B1840" i="6"/>
  <c r="C1839" i="6"/>
  <c r="B1839" i="6"/>
  <c r="C1838" i="6"/>
  <c r="B1838" i="6"/>
  <c r="C1837" i="6"/>
  <c r="B1837" i="6"/>
  <c r="C1836" i="6"/>
  <c r="B1836" i="6"/>
  <c r="C1835" i="6"/>
  <c r="B1835" i="6"/>
  <c r="C1834" i="6"/>
  <c r="B1834" i="6"/>
  <c r="C1833" i="6"/>
  <c r="B1833" i="6"/>
  <c r="C1832" i="6"/>
  <c r="B1832" i="6"/>
  <c r="C1831" i="6"/>
  <c r="B1831" i="6"/>
  <c r="C1830" i="6"/>
  <c r="B1830" i="6"/>
  <c r="C1829" i="6"/>
  <c r="B1829" i="6"/>
  <c r="C1828" i="6"/>
  <c r="B1828" i="6"/>
  <c r="C1827" i="6"/>
  <c r="B1827" i="6"/>
  <c r="C1826" i="6"/>
  <c r="B1826" i="6"/>
  <c r="C1825" i="6"/>
  <c r="B1825" i="6"/>
  <c r="C1824" i="6"/>
  <c r="B1824" i="6"/>
  <c r="C1823" i="6"/>
  <c r="B1823" i="6"/>
  <c r="C1822" i="6"/>
  <c r="B1822" i="6"/>
  <c r="C1821" i="6"/>
  <c r="B1821" i="6"/>
  <c r="C1820" i="6"/>
  <c r="B1820" i="6"/>
  <c r="C1819" i="6"/>
  <c r="B1819" i="6"/>
  <c r="C1818" i="6"/>
  <c r="B1818" i="6"/>
  <c r="C1817" i="6"/>
  <c r="B1817" i="6"/>
  <c r="C1816" i="6"/>
  <c r="B1816" i="6"/>
  <c r="C1815" i="6"/>
  <c r="B1815" i="6"/>
  <c r="C1814" i="6"/>
  <c r="B1814" i="6"/>
  <c r="C1813" i="6"/>
  <c r="B1813" i="6"/>
  <c r="C1812" i="6"/>
  <c r="B1812" i="6"/>
  <c r="C1811" i="6"/>
  <c r="B1811" i="6"/>
  <c r="C1810" i="6"/>
  <c r="B1810" i="6"/>
  <c r="C1809" i="6"/>
  <c r="B1809" i="6"/>
  <c r="C1808" i="6"/>
  <c r="B1808" i="6"/>
  <c r="C1807" i="6"/>
  <c r="B1807" i="6"/>
  <c r="C1806" i="6"/>
  <c r="B1806" i="6"/>
  <c r="C1805" i="6"/>
  <c r="B1805" i="6"/>
  <c r="C1804" i="6"/>
  <c r="B1804" i="6"/>
  <c r="C1803" i="6"/>
  <c r="B1803" i="6"/>
  <c r="C1802" i="6"/>
  <c r="B1802" i="6"/>
  <c r="C1801" i="6"/>
  <c r="B1801" i="6"/>
  <c r="C1800" i="6"/>
  <c r="B1800" i="6"/>
  <c r="C1799" i="6"/>
  <c r="B1799" i="6"/>
  <c r="C1798" i="6"/>
  <c r="B1798" i="6"/>
  <c r="C1797" i="6"/>
  <c r="B1797" i="6"/>
  <c r="C1796" i="6"/>
  <c r="B1796" i="6"/>
  <c r="C1795" i="6"/>
  <c r="B1795" i="6"/>
  <c r="C1794" i="6"/>
  <c r="B1794" i="6"/>
  <c r="C1793" i="6"/>
  <c r="B1793" i="6"/>
  <c r="C1792" i="6"/>
  <c r="B1792" i="6"/>
  <c r="C1791" i="6"/>
  <c r="B1791" i="6"/>
  <c r="C1790" i="6"/>
  <c r="B1790" i="6"/>
  <c r="C1789" i="6"/>
  <c r="B1789" i="6"/>
  <c r="C1788" i="6"/>
  <c r="B1788" i="6"/>
  <c r="C1787" i="6"/>
  <c r="B1787" i="6"/>
  <c r="C1786" i="6"/>
  <c r="B1786" i="6"/>
  <c r="C1785" i="6"/>
  <c r="B1785" i="6"/>
  <c r="C1784" i="6"/>
  <c r="B1784" i="6"/>
  <c r="C1783" i="6"/>
  <c r="B1783" i="6"/>
  <c r="C1782" i="6"/>
  <c r="B1782" i="6"/>
  <c r="C1781" i="6"/>
  <c r="B1781" i="6"/>
  <c r="C1780" i="6"/>
  <c r="B1780" i="6"/>
  <c r="C1779" i="6"/>
  <c r="B1779" i="6"/>
  <c r="C1778" i="6"/>
  <c r="B1778" i="6"/>
  <c r="C1777" i="6"/>
  <c r="B1777" i="6"/>
  <c r="C1776" i="6"/>
  <c r="B1776" i="6"/>
  <c r="C1775" i="6"/>
  <c r="B1775" i="6"/>
  <c r="C1774" i="6"/>
  <c r="B1774" i="6"/>
  <c r="C1773" i="6"/>
  <c r="B1773" i="6"/>
  <c r="C1772" i="6"/>
  <c r="B1772" i="6"/>
  <c r="C1771" i="6"/>
  <c r="B1771" i="6"/>
  <c r="C1770" i="6"/>
  <c r="B1770" i="6"/>
  <c r="C1769" i="6"/>
  <c r="B1769" i="6"/>
  <c r="C1768" i="6"/>
  <c r="B1768" i="6"/>
  <c r="C1767" i="6"/>
  <c r="B1767" i="6"/>
  <c r="C1766" i="6"/>
  <c r="B1766" i="6"/>
  <c r="C1765" i="6"/>
  <c r="B1765" i="6"/>
  <c r="C1764" i="6"/>
  <c r="B1764" i="6"/>
  <c r="C1763" i="6"/>
  <c r="B1763" i="6"/>
  <c r="C1762" i="6"/>
  <c r="B1762" i="6"/>
  <c r="C1761" i="6"/>
  <c r="B1761" i="6"/>
  <c r="C1760" i="6"/>
  <c r="B1760" i="6"/>
  <c r="C1759" i="6"/>
  <c r="B1759" i="6"/>
  <c r="C1758" i="6"/>
  <c r="B1758" i="6"/>
  <c r="C1757" i="6"/>
  <c r="B1757" i="6"/>
  <c r="C1756" i="6"/>
  <c r="B1756" i="6"/>
  <c r="C1755" i="6"/>
  <c r="B1755" i="6"/>
  <c r="C1754" i="6"/>
  <c r="B1754" i="6"/>
  <c r="C1753" i="6"/>
  <c r="B1753" i="6"/>
  <c r="C1752" i="6"/>
  <c r="B1752" i="6"/>
  <c r="C1751" i="6"/>
  <c r="B1751" i="6"/>
  <c r="C1750" i="6"/>
  <c r="B1750" i="6"/>
  <c r="C1749" i="6"/>
  <c r="B1749" i="6"/>
  <c r="C1748" i="6"/>
  <c r="B1748" i="6"/>
  <c r="C1747" i="6"/>
  <c r="B1747" i="6"/>
  <c r="C1746" i="6"/>
  <c r="B1746" i="6"/>
  <c r="C1745" i="6"/>
  <c r="B1745" i="6"/>
  <c r="C1744" i="6"/>
  <c r="B1744" i="6"/>
  <c r="C1743" i="6"/>
  <c r="B1743" i="6"/>
  <c r="C1742" i="6"/>
  <c r="B1742" i="6"/>
  <c r="C1741" i="6"/>
  <c r="B1741" i="6"/>
  <c r="C1740" i="6"/>
  <c r="B1740" i="6"/>
  <c r="C1739" i="6"/>
  <c r="B1739" i="6"/>
  <c r="C1738" i="6"/>
  <c r="B1738" i="6"/>
  <c r="C1737" i="6"/>
  <c r="B1737" i="6"/>
  <c r="C1736" i="6"/>
  <c r="B1736" i="6"/>
  <c r="C1735" i="6"/>
  <c r="B1735" i="6"/>
  <c r="C1734" i="6"/>
  <c r="B1734" i="6"/>
  <c r="C1733" i="6"/>
  <c r="B1733" i="6"/>
  <c r="C1732" i="6"/>
  <c r="B1732" i="6"/>
  <c r="C1731" i="6"/>
  <c r="B1731" i="6"/>
  <c r="C1730" i="6"/>
  <c r="B1730" i="6"/>
  <c r="C1729" i="6"/>
  <c r="B1729" i="6"/>
  <c r="C1728" i="6"/>
  <c r="B1728" i="6"/>
  <c r="C1727" i="6"/>
  <c r="B1727" i="6"/>
  <c r="C1726" i="6"/>
  <c r="B1726" i="6"/>
  <c r="C1725" i="6"/>
  <c r="B1725" i="6"/>
  <c r="C1724" i="6"/>
  <c r="B1724" i="6"/>
  <c r="C1723" i="6"/>
  <c r="B1723" i="6"/>
  <c r="C1722" i="6"/>
  <c r="B1722" i="6"/>
  <c r="C1721" i="6"/>
  <c r="B1721" i="6"/>
  <c r="C1720" i="6"/>
  <c r="B1720" i="6"/>
  <c r="C1719" i="6"/>
  <c r="B1719" i="6"/>
  <c r="C1718" i="6"/>
  <c r="B1718" i="6"/>
  <c r="C1717" i="6"/>
  <c r="B1717" i="6"/>
  <c r="C1716" i="6"/>
  <c r="B1716" i="6"/>
  <c r="C1715" i="6"/>
  <c r="B1715" i="6"/>
  <c r="C1714" i="6"/>
  <c r="B1714" i="6"/>
  <c r="C1713" i="6"/>
  <c r="B1713" i="6"/>
  <c r="C1712" i="6"/>
  <c r="B1712" i="6"/>
  <c r="C1711" i="6"/>
  <c r="B1711" i="6"/>
  <c r="C1710" i="6"/>
  <c r="B1710" i="6"/>
  <c r="C1709" i="6"/>
  <c r="B1709" i="6"/>
  <c r="C1708" i="6"/>
  <c r="B1708" i="6"/>
  <c r="C1707" i="6"/>
  <c r="B1707" i="6"/>
  <c r="C1706" i="6"/>
  <c r="B1706" i="6"/>
  <c r="C1705" i="6"/>
  <c r="B1705" i="6"/>
  <c r="C1704" i="6"/>
  <c r="B1704" i="6"/>
  <c r="C1703" i="6"/>
  <c r="B1703" i="6"/>
  <c r="C1702" i="6"/>
  <c r="B1702" i="6"/>
  <c r="C1701" i="6"/>
  <c r="B1701" i="6"/>
  <c r="C1700" i="6"/>
  <c r="B1700" i="6"/>
  <c r="C1699" i="6"/>
  <c r="B1699" i="6"/>
  <c r="C1698" i="6"/>
  <c r="B1698" i="6"/>
  <c r="C1697" i="6"/>
  <c r="B1697" i="6"/>
  <c r="C1696" i="6"/>
  <c r="B1696" i="6"/>
  <c r="C1695" i="6"/>
  <c r="B1695" i="6"/>
  <c r="C1694" i="6"/>
  <c r="B1694" i="6"/>
  <c r="C1693" i="6"/>
  <c r="B1693" i="6"/>
  <c r="C1692" i="6"/>
  <c r="B1692" i="6"/>
  <c r="C1691" i="6"/>
  <c r="B1691" i="6"/>
  <c r="C1690" i="6"/>
  <c r="B1690" i="6"/>
  <c r="C1689" i="6"/>
  <c r="B1689" i="6"/>
  <c r="C1688" i="6"/>
  <c r="B1688" i="6"/>
  <c r="C1687" i="6"/>
  <c r="B1687" i="6"/>
  <c r="C1686" i="6"/>
  <c r="B1686" i="6"/>
  <c r="C1685" i="6"/>
  <c r="B1685" i="6"/>
  <c r="C1684" i="6"/>
  <c r="B1684" i="6"/>
  <c r="C1683" i="6"/>
  <c r="B1683" i="6"/>
  <c r="C1682" i="6"/>
  <c r="B1682" i="6"/>
  <c r="C1681" i="6"/>
  <c r="B1681" i="6"/>
  <c r="C1680" i="6"/>
  <c r="B1680" i="6"/>
  <c r="C1679" i="6"/>
  <c r="B1679" i="6"/>
  <c r="C1678" i="6"/>
  <c r="B1678" i="6"/>
  <c r="C1677" i="6"/>
  <c r="B1677" i="6"/>
  <c r="C1676" i="6"/>
  <c r="B1676" i="6"/>
  <c r="C1675" i="6"/>
  <c r="B1675" i="6"/>
  <c r="C1674" i="6"/>
  <c r="B1674" i="6"/>
  <c r="C1673" i="6"/>
  <c r="B1673" i="6"/>
  <c r="C1672" i="6"/>
  <c r="B1672" i="6"/>
  <c r="C1671" i="6"/>
  <c r="B1671" i="6"/>
  <c r="C1670" i="6"/>
  <c r="B1670" i="6"/>
  <c r="C1669" i="6"/>
  <c r="B1669" i="6"/>
  <c r="C1668" i="6"/>
  <c r="B1668" i="6"/>
  <c r="C1667" i="6"/>
  <c r="B1667" i="6"/>
  <c r="C1666" i="6"/>
  <c r="B1666" i="6"/>
  <c r="C1665" i="6"/>
  <c r="B1665" i="6"/>
  <c r="C1664" i="6"/>
  <c r="B1664" i="6"/>
  <c r="C1663" i="6"/>
  <c r="B1663" i="6"/>
  <c r="C1662" i="6"/>
  <c r="B1662" i="6"/>
  <c r="C1661" i="6"/>
  <c r="B1661" i="6"/>
  <c r="C1660" i="6"/>
  <c r="B1660" i="6"/>
  <c r="C1659" i="6"/>
  <c r="B1659" i="6"/>
  <c r="C1658" i="6"/>
  <c r="B1658" i="6"/>
  <c r="C1657" i="6"/>
  <c r="B1657" i="6"/>
  <c r="C1656" i="6"/>
  <c r="B1656" i="6"/>
  <c r="C1655" i="6"/>
  <c r="B1655" i="6"/>
  <c r="C1654" i="6"/>
  <c r="B1654" i="6"/>
  <c r="C1653" i="6"/>
  <c r="B1653" i="6"/>
  <c r="C1652" i="6"/>
  <c r="B1652" i="6"/>
  <c r="C1651" i="6"/>
  <c r="B1651" i="6"/>
  <c r="C1650" i="6"/>
  <c r="B1650" i="6"/>
  <c r="C1649" i="6"/>
  <c r="B1649" i="6"/>
  <c r="C1648" i="6"/>
  <c r="B1648" i="6"/>
  <c r="C1647" i="6"/>
  <c r="B1647" i="6"/>
  <c r="C1646" i="6"/>
  <c r="B1646" i="6"/>
  <c r="C1645" i="6"/>
  <c r="B1645" i="6"/>
  <c r="C1644" i="6"/>
  <c r="B1644" i="6"/>
  <c r="C1643" i="6"/>
  <c r="B1643" i="6"/>
  <c r="C1642" i="6"/>
  <c r="B1642" i="6"/>
  <c r="C1641" i="6"/>
  <c r="B1641" i="6"/>
  <c r="C1640" i="6"/>
  <c r="B1640" i="6"/>
  <c r="C1639" i="6"/>
  <c r="B1639" i="6"/>
  <c r="C1638" i="6"/>
  <c r="B1638" i="6"/>
  <c r="C1637" i="6"/>
  <c r="B1637" i="6"/>
  <c r="C1636" i="6"/>
  <c r="B1636" i="6"/>
  <c r="C1635" i="6"/>
  <c r="B1635" i="6"/>
  <c r="C1634" i="6"/>
  <c r="B1634" i="6"/>
  <c r="C1633" i="6"/>
  <c r="B1633" i="6"/>
  <c r="C1632" i="6"/>
  <c r="B1632" i="6"/>
  <c r="C1631" i="6"/>
  <c r="B1631" i="6"/>
  <c r="C1630" i="6"/>
  <c r="B1630" i="6"/>
  <c r="C1629" i="6"/>
  <c r="B1629" i="6"/>
  <c r="C1628" i="6"/>
  <c r="B1628" i="6"/>
  <c r="C1627" i="6"/>
  <c r="B1627" i="6"/>
  <c r="C1626" i="6"/>
  <c r="B1626" i="6"/>
  <c r="C1625" i="6"/>
  <c r="B1625" i="6"/>
  <c r="C1624" i="6"/>
  <c r="B1624" i="6"/>
  <c r="C1623" i="6"/>
  <c r="B1623" i="6"/>
  <c r="C1622" i="6"/>
  <c r="B1622" i="6"/>
  <c r="C1621" i="6"/>
  <c r="B1621" i="6"/>
  <c r="C1620" i="6"/>
  <c r="B1620" i="6"/>
  <c r="C1619" i="6"/>
  <c r="B1619" i="6"/>
  <c r="C1618" i="6"/>
  <c r="B1618" i="6"/>
  <c r="C1617" i="6"/>
  <c r="B1617" i="6"/>
  <c r="C1616" i="6"/>
  <c r="B1616" i="6"/>
  <c r="C1615" i="6"/>
  <c r="B1615" i="6"/>
  <c r="C1614" i="6"/>
  <c r="B1614" i="6"/>
  <c r="C1613" i="6"/>
  <c r="B1613" i="6"/>
  <c r="C1612" i="6"/>
  <c r="B1612" i="6"/>
  <c r="C1611" i="6"/>
  <c r="B1611" i="6"/>
  <c r="C1610" i="6"/>
  <c r="B1610" i="6"/>
  <c r="C1609" i="6"/>
  <c r="B1609" i="6"/>
  <c r="C1608" i="6"/>
  <c r="B1608" i="6"/>
  <c r="C1607" i="6"/>
  <c r="B1607" i="6"/>
  <c r="C1606" i="6"/>
  <c r="B1606" i="6"/>
  <c r="C1605" i="6"/>
  <c r="B1605" i="6"/>
  <c r="C1604" i="6"/>
  <c r="B1604" i="6"/>
  <c r="C1603" i="6"/>
  <c r="B1603" i="6"/>
  <c r="C1602" i="6"/>
  <c r="B1602" i="6"/>
  <c r="C1601" i="6"/>
  <c r="B1601" i="6"/>
  <c r="C1600" i="6"/>
  <c r="B1600" i="6"/>
  <c r="C1599" i="6"/>
  <c r="B1599" i="6"/>
  <c r="C1598" i="6"/>
  <c r="B1598" i="6"/>
  <c r="C1597" i="6"/>
  <c r="B1597" i="6"/>
  <c r="C1596" i="6"/>
  <c r="B1596" i="6"/>
  <c r="C1595" i="6"/>
  <c r="B1595" i="6"/>
  <c r="C1594" i="6"/>
  <c r="B1594" i="6"/>
  <c r="C1593" i="6"/>
  <c r="B1593" i="6"/>
  <c r="C1592" i="6"/>
  <c r="B1592" i="6"/>
  <c r="C1591" i="6"/>
  <c r="B1591" i="6"/>
  <c r="C1590" i="6"/>
  <c r="B1590" i="6"/>
  <c r="C1589" i="6"/>
  <c r="B1589" i="6"/>
  <c r="C1588" i="6"/>
  <c r="B1588" i="6"/>
  <c r="C1587" i="6"/>
  <c r="B1587" i="6"/>
  <c r="C1586" i="6"/>
  <c r="B1586" i="6"/>
  <c r="C1585" i="6"/>
  <c r="B1585" i="6"/>
  <c r="C1584" i="6"/>
  <c r="B1584" i="6"/>
  <c r="C1583" i="6"/>
  <c r="B1583" i="6"/>
  <c r="C1582" i="6"/>
  <c r="B1582" i="6"/>
  <c r="C1581" i="6"/>
  <c r="B1581" i="6"/>
  <c r="C1580" i="6"/>
  <c r="B1580" i="6"/>
  <c r="C1579" i="6"/>
  <c r="B1579" i="6"/>
  <c r="C1578" i="6"/>
  <c r="B1578" i="6"/>
  <c r="C1577" i="6"/>
  <c r="B1577" i="6"/>
  <c r="C1576" i="6"/>
  <c r="B1576" i="6"/>
  <c r="C1575" i="6"/>
  <c r="B1575" i="6"/>
  <c r="C1574" i="6"/>
  <c r="B1574" i="6"/>
  <c r="C1573" i="6"/>
  <c r="B1573" i="6"/>
  <c r="C1572" i="6"/>
  <c r="B1572" i="6"/>
  <c r="C1571" i="6"/>
  <c r="B1571" i="6"/>
  <c r="C1570" i="6"/>
  <c r="B1570" i="6"/>
  <c r="C1569" i="6"/>
  <c r="B1569" i="6"/>
  <c r="C1568" i="6"/>
  <c r="B1568" i="6"/>
  <c r="C1567" i="6"/>
  <c r="B1567" i="6"/>
  <c r="C1566" i="6"/>
  <c r="B1566" i="6"/>
  <c r="C1565" i="6"/>
  <c r="B1565" i="6"/>
  <c r="C1564" i="6"/>
  <c r="B1564" i="6"/>
  <c r="C1563" i="6"/>
  <c r="B1563" i="6"/>
  <c r="C1562" i="6"/>
  <c r="B1562" i="6"/>
  <c r="C1561" i="6"/>
  <c r="B1561" i="6"/>
  <c r="C1560" i="6"/>
  <c r="B1560" i="6"/>
  <c r="C1559" i="6"/>
  <c r="B1559" i="6"/>
  <c r="C1558" i="6"/>
  <c r="B1558" i="6"/>
  <c r="C1557" i="6"/>
  <c r="B1557" i="6"/>
  <c r="C1556" i="6"/>
  <c r="B1556" i="6"/>
  <c r="C1555" i="6"/>
  <c r="B1555" i="6"/>
  <c r="C1554" i="6"/>
  <c r="B1554" i="6"/>
  <c r="C1553" i="6"/>
  <c r="B1553" i="6"/>
  <c r="C1552" i="6"/>
  <c r="B1552" i="6"/>
  <c r="C1551" i="6"/>
  <c r="B1551" i="6"/>
  <c r="C1550" i="6"/>
  <c r="B1550" i="6"/>
  <c r="C1549" i="6"/>
  <c r="B1549" i="6"/>
  <c r="C1548" i="6"/>
  <c r="B1548" i="6"/>
  <c r="C1547" i="6"/>
  <c r="B1547" i="6"/>
  <c r="C1546" i="6"/>
  <c r="B1546" i="6"/>
  <c r="C1545" i="6"/>
  <c r="B1545" i="6"/>
  <c r="C1544" i="6"/>
  <c r="B1544" i="6"/>
  <c r="C1543" i="6"/>
  <c r="B1543" i="6"/>
  <c r="C1542" i="6"/>
  <c r="B1542" i="6"/>
  <c r="C1541" i="6"/>
  <c r="B1541" i="6"/>
  <c r="C1540" i="6"/>
  <c r="B1540" i="6"/>
  <c r="C1539" i="6"/>
  <c r="B1539" i="6"/>
  <c r="C1538" i="6"/>
  <c r="B1538" i="6"/>
  <c r="C1537" i="6"/>
  <c r="B1537" i="6"/>
  <c r="C1536" i="6"/>
  <c r="B1536" i="6"/>
  <c r="C1535" i="6"/>
  <c r="B1535" i="6"/>
  <c r="C1534" i="6"/>
  <c r="B1534" i="6"/>
  <c r="C1533" i="6"/>
  <c r="B1533" i="6"/>
  <c r="C1532" i="6"/>
  <c r="B1532" i="6"/>
  <c r="C1531" i="6"/>
  <c r="B1531" i="6"/>
  <c r="C1530" i="6"/>
  <c r="B1530" i="6"/>
  <c r="C1529" i="6"/>
  <c r="B1529" i="6"/>
  <c r="C1528" i="6"/>
  <c r="B1528" i="6"/>
  <c r="C1527" i="6"/>
  <c r="B1527" i="6"/>
  <c r="C1526" i="6"/>
  <c r="B1526" i="6"/>
  <c r="C1525" i="6"/>
  <c r="B1525" i="6"/>
  <c r="C1524" i="6"/>
  <c r="B1524" i="6"/>
  <c r="C1523" i="6"/>
  <c r="B1523" i="6"/>
  <c r="C1522" i="6"/>
  <c r="B1522" i="6"/>
  <c r="C1521" i="6"/>
  <c r="B1521" i="6"/>
  <c r="C1520" i="6"/>
  <c r="B1520" i="6"/>
  <c r="C1519" i="6"/>
  <c r="B1519" i="6"/>
  <c r="C1518" i="6"/>
  <c r="B1518" i="6"/>
  <c r="C1517" i="6"/>
  <c r="B1517" i="6"/>
  <c r="C1516" i="6"/>
  <c r="B1516" i="6"/>
  <c r="C1515" i="6"/>
  <c r="B1515" i="6"/>
  <c r="C1514" i="6"/>
  <c r="B1514" i="6"/>
  <c r="C1513" i="6"/>
  <c r="B1513" i="6"/>
  <c r="C1512" i="6"/>
  <c r="B1512" i="6"/>
  <c r="C1511" i="6"/>
  <c r="B1511" i="6"/>
  <c r="C1510" i="6"/>
  <c r="B1510" i="6"/>
  <c r="C1509" i="6"/>
  <c r="B1509" i="6"/>
  <c r="C1508" i="6"/>
  <c r="B1508" i="6"/>
  <c r="C1507" i="6"/>
  <c r="B1507" i="6"/>
  <c r="C1506" i="6"/>
  <c r="B1506" i="6"/>
  <c r="C1505" i="6"/>
  <c r="B1505" i="6"/>
  <c r="C1504" i="6"/>
  <c r="B1504" i="6"/>
  <c r="C1503" i="6"/>
  <c r="B1503" i="6"/>
  <c r="C1502" i="6"/>
  <c r="B1502" i="6"/>
  <c r="C1501" i="6"/>
  <c r="B1501" i="6"/>
  <c r="C1500" i="6"/>
  <c r="B1500" i="6"/>
  <c r="C1499" i="6"/>
  <c r="B1499" i="6"/>
  <c r="C1498" i="6"/>
  <c r="B1498" i="6"/>
  <c r="C1497" i="6"/>
  <c r="B1497" i="6"/>
  <c r="C1496" i="6"/>
  <c r="B1496" i="6"/>
  <c r="C1495" i="6"/>
  <c r="B1495" i="6"/>
  <c r="C1494" i="6"/>
  <c r="B1494" i="6"/>
  <c r="C1493" i="6"/>
  <c r="B1493" i="6"/>
  <c r="C1492" i="6"/>
  <c r="B1492" i="6"/>
  <c r="C1491" i="6"/>
  <c r="B1491" i="6"/>
  <c r="C1490" i="6"/>
  <c r="B1490" i="6"/>
  <c r="C1489" i="6"/>
  <c r="B1489" i="6"/>
  <c r="C1488" i="6"/>
  <c r="B1488" i="6"/>
  <c r="C1487" i="6"/>
  <c r="B1487" i="6"/>
  <c r="C1486" i="6"/>
  <c r="B1486" i="6"/>
  <c r="C1485" i="6"/>
  <c r="B1485" i="6"/>
  <c r="C1484" i="6"/>
  <c r="B1484" i="6"/>
  <c r="C1483" i="6"/>
  <c r="B1483" i="6"/>
  <c r="C1482" i="6"/>
  <c r="B1482" i="6"/>
  <c r="C1481" i="6"/>
  <c r="B1481" i="6"/>
  <c r="C1480" i="6"/>
  <c r="B1480" i="6"/>
  <c r="C1479" i="6"/>
  <c r="B1479" i="6"/>
  <c r="C1478" i="6"/>
  <c r="B1478" i="6"/>
  <c r="C1477" i="6"/>
  <c r="B1477" i="6"/>
  <c r="C1476" i="6"/>
  <c r="B1476" i="6"/>
  <c r="C1475" i="6"/>
  <c r="B1475" i="6"/>
  <c r="C1474" i="6"/>
  <c r="B1474" i="6"/>
  <c r="C1473" i="6"/>
  <c r="B1473" i="6"/>
  <c r="C1472" i="6"/>
  <c r="B1472" i="6"/>
  <c r="C1471" i="6"/>
  <c r="B1471" i="6"/>
  <c r="C1470" i="6"/>
  <c r="B1470" i="6"/>
  <c r="C1469" i="6"/>
  <c r="B1469" i="6"/>
  <c r="C1468" i="6"/>
  <c r="B1468" i="6"/>
  <c r="C1467" i="6"/>
  <c r="B1467" i="6"/>
  <c r="C1466" i="6"/>
  <c r="B1466" i="6"/>
  <c r="C1465" i="6"/>
  <c r="B1465" i="6"/>
  <c r="C1464" i="6"/>
  <c r="B1464" i="6"/>
  <c r="C1463" i="6"/>
  <c r="B1463" i="6"/>
  <c r="C1462" i="6"/>
  <c r="B1462" i="6"/>
  <c r="C1461" i="6"/>
  <c r="B1461" i="6"/>
  <c r="C1460" i="6"/>
  <c r="B1460" i="6"/>
  <c r="C1459" i="6"/>
  <c r="B1459" i="6"/>
  <c r="C1458" i="6"/>
  <c r="B1458" i="6"/>
  <c r="C1457" i="6"/>
  <c r="B1457" i="6"/>
  <c r="C1456" i="6"/>
  <c r="B1456" i="6"/>
  <c r="C1455" i="6"/>
  <c r="B1455" i="6"/>
  <c r="C1454" i="6"/>
  <c r="B1454" i="6"/>
  <c r="C1453" i="6"/>
  <c r="B1453" i="6"/>
  <c r="C1452" i="6"/>
  <c r="B1452" i="6"/>
  <c r="C1451" i="6"/>
  <c r="B1451" i="6"/>
  <c r="C1450" i="6"/>
  <c r="B1450" i="6"/>
  <c r="C1449" i="6"/>
  <c r="B1449" i="6"/>
  <c r="C1448" i="6"/>
  <c r="B1448" i="6"/>
  <c r="C1447" i="6"/>
  <c r="B1447" i="6"/>
  <c r="C1446" i="6"/>
  <c r="B1446" i="6"/>
  <c r="C1445" i="6"/>
  <c r="B1445" i="6"/>
  <c r="C1444" i="6"/>
  <c r="B1444" i="6"/>
  <c r="C1443" i="6"/>
  <c r="B1443" i="6"/>
  <c r="C1442" i="6"/>
  <c r="B1442" i="6"/>
  <c r="C1441" i="6"/>
  <c r="B1441" i="6"/>
  <c r="C1440" i="6"/>
  <c r="B1440" i="6"/>
  <c r="C1439" i="6"/>
  <c r="B1439" i="6"/>
  <c r="C1438" i="6"/>
  <c r="B1438" i="6"/>
  <c r="C1437" i="6"/>
  <c r="B1437" i="6"/>
  <c r="C1436" i="6"/>
  <c r="B1436" i="6"/>
  <c r="C1435" i="6"/>
  <c r="B1435" i="6"/>
  <c r="C1434" i="6"/>
  <c r="B1434" i="6"/>
  <c r="C1433" i="6"/>
  <c r="B1433" i="6"/>
  <c r="C1432" i="6"/>
  <c r="B1432" i="6"/>
  <c r="C1431" i="6"/>
  <c r="B1431" i="6"/>
  <c r="C1430" i="6"/>
  <c r="B1430" i="6"/>
  <c r="C1429" i="6"/>
  <c r="B1429" i="6"/>
  <c r="C1428" i="6"/>
  <c r="B1428" i="6"/>
  <c r="C1427" i="6"/>
  <c r="B1427" i="6"/>
  <c r="C1426" i="6"/>
  <c r="B1426" i="6"/>
  <c r="C1425" i="6"/>
  <c r="B1425" i="6"/>
  <c r="C1424" i="6"/>
  <c r="B1424" i="6"/>
  <c r="C1423" i="6"/>
  <c r="B1423" i="6"/>
  <c r="C1422" i="6"/>
  <c r="B1422" i="6"/>
  <c r="C1421" i="6"/>
  <c r="B1421" i="6"/>
  <c r="C1420" i="6"/>
  <c r="B1420" i="6"/>
  <c r="C1419" i="6"/>
  <c r="B1419" i="6"/>
  <c r="C1418" i="6"/>
  <c r="B1418" i="6"/>
  <c r="C1417" i="6"/>
  <c r="B1417" i="6"/>
  <c r="C1416" i="6"/>
  <c r="B1416" i="6"/>
  <c r="C1415" i="6"/>
  <c r="B1415" i="6"/>
  <c r="C1414" i="6"/>
  <c r="B1414" i="6"/>
  <c r="C1413" i="6"/>
  <c r="B1413" i="6"/>
  <c r="C1412" i="6"/>
  <c r="B1412" i="6"/>
  <c r="C1411" i="6"/>
  <c r="B1411" i="6"/>
  <c r="C1410" i="6"/>
  <c r="B1410" i="6"/>
  <c r="C1409" i="6"/>
  <c r="B1409" i="6"/>
  <c r="C1408" i="6"/>
  <c r="B1408" i="6"/>
  <c r="C1407" i="6"/>
  <c r="B1407" i="6"/>
  <c r="C1406" i="6"/>
  <c r="B1406" i="6"/>
  <c r="C1405" i="6"/>
  <c r="B1405" i="6"/>
  <c r="C1404" i="6"/>
  <c r="B1404" i="6"/>
  <c r="C1403" i="6"/>
  <c r="B1403" i="6"/>
  <c r="C1402" i="6"/>
  <c r="B1402" i="6"/>
  <c r="C1401" i="6"/>
  <c r="B1401" i="6"/>
  <c r="C1400" i="6"/>
  <c r="B1400" i="6"/>
  <c r="C1399" i="6"/>
  <c r="B1399" i="6"/>
  <c r="C1398" i="6"/>
  <c r="B1398" i="6"/>
  <c r="C1397" i="6"/>
  <c r="B1397" i="6"/>
  <c r="C1396" i="6"/>
  <c r="B1396" i="6"/>
  <c r="C1395" i="6"/>
  <c r="B1395" i="6"/>
  <c r="C1394" i="6"/>
  <c r="B1394" i="6"/>
  <c r="C1393" i="6"/>
  <c r="B1393" i="6"/>
  <c r="C1392" i="6"/>
  <c r="B1392" i="6"/>
  <c r="C1391" i="6"/>
  <c r="B1391" i="6"/>
  <c r="C1390" i="6"/>
  <c r="B1390" i="6"/>
  <c r="C1389" i="6"/>
  <c r="B1389" i="6"/>
  <c r="C1388" i="6"/>
  <c r="B1388" i="6"/>
  <c r="C1387" i="6"/>
  <c r="B1387" i="6"/>
  <c r="C1386" i="6"/>
  <c r="B1386" i="6"/>
  <c r="C1385" i="6"/>
  <c r="B1385" i="6"/>
  <c r="C1384" i="6"/>
  <c r="B1384" i="6"/>
  <c r="C1383" i="6"/>
  <c r="B1383" i="6"/>
  <c r="C1382" i="6"/>
  <c r="B1382" i="6"/>
  <c r="C1381" i="6"/>
  <c r="B1381" i="6"/>
  <c r="C1380" i="6"/>
  <c r="B1380" i="6"/>
  <c r="C1379" i="6"/>
  <c r="B1379" i="6"/>
  <c r="C1378" i="6"/>
  <c r="B1378" i="6"/>
  <c r="C1377" i="6"/>
  <c r="B1377" i="6"/>
  <c r="C1376" i="6"/>
  <c r="B1376" i="6"/>
  <c r="C1375" i="6"/>
  <c r="B1375" i="6"/>
  <c r="C1374" i="6"/>
  <c r="B1374" i="6"/>
  <c r="C1373" i="6"/>
  <c r="B1373" i="6"/>
  <c r="C1372" i="6"/>
  <c r="B1372" i="6"/>
  <c r="C1371" i="6"/>
  <c r="B1371" i="6"/>
  <c r="C1370" i="6"/>
  <c r="B1370" i="6"/>
  <c r="C1369" i="6"/>
  <c r="B1369" i="6"/>
  <c r="C1368" i="6"/>
  <c r="B1368" i="6"/>
  <c r="C1367" i="6"/>
  <c r="B1367" i="6"/>
  <c r="C1366" i="6"/>
  <c r="B1366" i="6"/>
  <c r="C1365" i="6"/>
  <c r="B1365" i="6"/>
  <c r="C1364" i="6"/>
  <c r="B1364" i="6"/>
  <c r="C1363" i="6"/>
  <c r="B1363" i="6"/>
  <c r="C1362" i="6"/>
  <c r="B1362" i="6"/>
  <c r="C1361" i="6"/>
  <c r="B1361" i="6"/>
  <c r="C1360" i="6"/>
  <c r="B1360" i="6"/>
  <c r="C1359" i="6"/>
  <c r="B1359" i="6"/>
  <c r="C1358" i="6"/>
  <c r="B1358" i="6"/>
  <c r="C1357" i="6"/>
  <c r="B1357" i="6"/>
  <c r="C1356" i="6"/>
  <c r="B1356" i="6"/>
  <c r="C1355" i="6"/>
  <c r="B1355" i="6"/>
  <c r="C1354" i="6"/>
  <c r="B1354" i="6"/>
  <c r="C1353" i="6"/>
  <c r="B1353" i="6"/>
  <c r="C1352" i="6"/>
  <c r="B1352" i="6"/>
  <c r="C1351" i="6"/>
  <c r="B1351" i="6"/>
  <c r="C1350" i="6"/>
  <c r="B1350" i="6"/>
  <c r="C1349" i="6"/>
  <c r="B1349" i="6"/>
  <c r="C1348" i="6"/>
  <c r="B1348" i="6"/>
  <c r="C1347" i="6"/>
  <c r="B1347" i="6"/>
  <c r="C1346" i="6"/>
  <c r="B1346" i="6"/>
  <c r="C1345" i="6"/>
  <c r="B1345" i="6"/>
  <c r="C1344" i="6"/>
  <c r="B1344" i="6"/>
  <c r="C1343" i="6"/>
  <c r="B1343" i="6"/>
  <c r="C1342" i="6"/>
  <c r="B1342" i="6"/>
  <c r="C1341" i="6"/>
  <c r="B1341" i="6"/>
  <c r="C1340" i="6"/>
  <c r="B1340" i="6"/>
  <c r="C1339" i="6"/>
  <c r="B1339" i="6"/>
  <c r="C1338" i="6"/>
  <c r="B1338" i="6"/>
  <c r="C1337" i="6"/>
  <c r="B1337" i="6"/>
  <c r="C1336" i="6"/>
  <c r="B1336" i="6"/>
  <c r="C1335" i="6"/>
  <c r="B1335" i="6"/>
  <c r="C1334" i="6"/>
  <c r="B1334" i="6"/>
  <c r="C1333" i="6"/>
  <c r="B1333" i="6"/>
  <c r="C1332" i="6"/>
  <c r="B1332" i="6"/>
  <c r="C1331" i="6"/>
  <c r="B1331" i="6"/>
  <c r="C1330" i="6"/>
  <c r="B1330" i="6"/>
  <c r="C1329" i="6"/>
  <c r="B1329" i="6"/>
  <c r="C1328" i="6"/>
  <c r="B1328" i="6"/>
  <c r="C1327" i="6"/>
  <c r="B1327" i="6"/>
  <c r="C1326" i="6"/>
  <c r="B1326" i="6"/>
  <c r="C1325" i="6"/>
  <c r="B1325" i="6"/>
  <c r="C1324" i="6"/>
  <c r="B1324" i="6"/>
  <c r="C1323" i="6"/>
  <c r="B1323" i="6"/>
  <c r="C1322" i="6"/>
  <c r="B1322" i="6"/>
  <c r="C1321" i="6"/>
  <c r="B1321" i="6"/>
  <c r="C1320" i="6"/>
  <c r="B1320" i="6"/>
  <c r="C1319" i="6"/>
  <c r="B1319" i="6"/>
  <c r="C1318" i="6"/>
  <c r="B1318" i="6"/>
  <c r="C1317" i="6"/>
  <c r="B1317" i="6"/>
  <c r="C1316" i="6"/>
  <c r="B1316" i="6"/>
  <c r="C1315" i="6"/>
  <c r="B1315" i="6"/>
  <c r="C1314" i="6"/>
  <c r="B1314" i="6"/>
  <c r="C1313" i="6"/>
  <c r="B1313" i="6"/>
  <c r="C1312" i="6"/>
  <c r="B1312" i="6"/>
  <c r="C1311" i="6"/>
  <c r="B1311" i="6"/>
  <c r="C1310" i="6"/>
  <c r="B1310" i="6"/>
  <c r="C1309" i="6"/>
  <c r="B1309" i="6"/>
  <c r="C1308" i="6"/>
  <c r="B1308" i="6"/>
  <c r="C1307" i="6"/>
  <c r="B1307" i="6"/>
  <c r="C1306" i="6"/>
  <c r="B1306" i="6"/>
  <c r="C1305" i="6"/>
  <c r="B1305" i="6"/>
  <c r="C1304" i="6"/>
  <c r="B1304" i="6"/>
  <c r="C1303" i="6"/>
  <c r="B1303" i="6"/>
  <c r="C1302" i="6"/>
  <c r="B1302" i="6"/>
  <c r="C1301" i="6"/>
  <c r="B1301" i="6"/>
  <c r="C1300" i="6"/>
  <c r="B1300" i="6"/>
  <c r="C1299" i="6"/>
  <c r="B1299" i="6"/>
  <c r="C1298" i="6"/>
  <c r="B1298" i="6"/>
  <c r="C1297" i="6"/>
  <c r="B1297" i="6"/>
  <c r="C1296" i="6"/>
  <c r="B1296" i="6"/>
  <c r="C1295" i="6"/>
  <c r="B1295" i="6"/>
  <c r="C1294" i="6"/>
  <c r="B1294" i="6"/>
  <c r="C1293" i="6"/>
  <c r="B1293" i="6"/>
  <c r="C1292" i="6"/>
  <c r="B1292" i="6"/>
  <c r="C1291" i="6"/>
  <c r="B1291" i="6"/>
  <c r="C1290" i="6"/>
  <c r="B1290" i="6"/>
  <c r="C1289" i="6"/>
  <c r="B1289" i="6"/>
  <c r="C1288" i="6"/>
  <c r="B1288" i="6"/>
  <c r="C1287" i="6"/>
  <c r="B1287" i="6"/>
  <c r="C1286" i="6"/>
  <c r="B1286" i="6"/>
  <c r="C1285" i="6"/>
  <c r="B1285" i="6"/>
  <c r="C1284" i="6"/>
  <c r="B1284" i="6"/>
  <c r="C1283" i="6"/>
  <c r="B1283" i="6"/>
  <c r="C1282" i="6"/>
  <c r="B1282" i="6"/>
  <c r="C1281" i="6"/>
  <c r="B1281" i="6"/>
  <c r="C1280" i="6"/>
  <c r="B1280" i="6"/>
  <c r="C1279" i="6"/>
  <c r="B1279" i="6"/>
  <c r="C1278" i="6"/>
  <c r="B1278" i="6"/>
  <c r="C1277" i="6"/>
  <c r="B1277" i="6"/>
  <c r="C1276" i="6"/>
  <c r="B1276" i="6"/>
  <c r="C1275" i="6"/>
  <c r="B1275" i="6"/>
  <c r="C1274" i="6"/>
  <c r="B1274" i="6"/>
  <c r="C1273" i="6"/>
  <c r="B1273" i="6"/>
  <c r="C1272" i="6"/>
  <c r="B1272" i="6"/>
  <c r="C1271" i="6"/>
  <c r="B1271" i="6"/>
  <c r="C1270" i="6"/>
  <c r="B1270" i="6"/>
  <c r="C1269" i="6"/>
  <c r="B1269" i="6"/>
  <c r="C1268" i="6"/>
  <c r="B1268" i="6"/>
  <c r="C1267" i="6"/>
  <c r="B1267" i="6"/>
  <c r="C1266" i="6"/>
  <c r="B1266" i="6"/>
  <c r="C1265" i="6"/>
  <c r="B1265" i="6"/>
  <c r="C1264" i="6"/>
  <c r="B1264" i="6"/>
  <c r="C1263" i="6"/>
  <c r="B1263" i="6"/>
  <c r="C1262" i="6"/>
  <c r="B1262" i="6"/>
  <c r="C1261" i="6"/>
  <c r="B1261" i="6"/>
  <c r="C1260" i="6"/>
  <c r="B1260" i="6"/>
  <c r="C1259" i="6"/>
  <c r="B1259" i="6"/>
  <c r="C1258" i="6"/>
  <c r="B1258" i="6"/>
  <c r="C1257" i="6"/>
  <c r="B1257" i="6"/>
  <c r="C1256" i="6"/>
  <c r="B1256" i="6"/>
  <c r="C1255" i="6"/>
  <c r="B1255" i="6"/>
  <c r="C1254" i="6"/>
  <c r="B1254" i="6"/>
  <c r="C1253" i="6"/>
  <c r="B1253" i="6"/>
  <c r="C1252" i="6"/>
  <c r="B1252" i="6"/>
  <c r="C1251" i="6"/>
  <c r="B1251" i="6"/>
  <c r="C1250" i="6"/>
  <c r="B1250" i="6"/>
  <c r="C1249" i="6"/>
  <c r="B1249" i="6"/>
  <c r="C1248" i="6"/>
  <c r="B1248" i="6"/>
  <c r="C1247" i="6"/>
  <c r="B1247" i="6"/>
  <c r="C1246" i="6"/>
  <c r="B1246" i="6"/>
  <c r="C1245" i="6"/>
  <c r="B1245" i="6"/>
  <c r="C1244" i="6"/>
  <c r="B1244" i="6"/>
  <c r="C1243" i="6"/>
  <c r="B1243" i="6"/>
  <c r="C1242" i="6"/>
  <c r="B1242" i="6"/>
  <c r="C1241" i="6"/>
  <c r="B1241" i="6"/>
  <c r="C1240" i="6"/>
  <c r="B1240" i="6"/>
  <c r="C1239" i="6"/>
  <c r="B1239" i="6"/>
  <c r="C1238" i="6"/>
  <c r="B1238" i="6"/>
  <c r="C1237" i="6"/>
  <c r="B1237" i="6"/>
  <c r="C1236" i="6"/>
  <c r="B1236" i="6"/>
  <c r="C1235" i="6"/>
  <c r="B1235" i="6"/>
  <c r="C1234" i="6"/>
  <c r="B1234" i="6"/>
  <c r="C1233" i="6"/>
  <c r="B1233" i="6"/>
  <c r="C1232" i="6"/>
  <c r="B1232" i="6"/>
  <c r="C1231" i="6"/>
  <c r="B1231" i="6"/>
  <c r="C1230" i="6"/>
  <c r="B1230" i="6"/>
  <c r="C1229" i="6"/>
  <c r="B1229" i="6"/>
  <c r="C1228" i="6"/>
  <c r="B1228" i="6"/>
  <c r="C1227" i="6"/>
  <c r="B1227" i="6"/>
  <c r="C1226" i="6"/>
  <c r="B1226" i="6"/>
  <c r="C1225" i="6"/>
  <c r="B1225" i="6"/>
  <c r="C1224" i="6"/>
  <c r="B1224" i="6"/>
  <c r="C1223" i="6"/>
  <c r="B1223" i="6"/>
  <c r="C1222" i="6"/>
  <c r="B1222" i="6"/>
  <c r="C1221" i="6"/>
  <c r="B1221" i="6"/>
  <c r="C1220" i="6"/>
  <c r="B1220" i="6"/>
  <c r="C1219" i="6"/>
  <c r="B1219" i="6"/>
  <c r="C1218" i="6"/>
  <c r="B1218" i="6"/>
  <c r="C1217" i="6"/>
  <c r="B1217" i="6"/>
  <c r="C1216" i="6"/>
  <c r="B1216" i="6"/>
  <c r="C1215" i="6"/>
  <c r="B1215" i="6"/>
  <c r="C1214" i="6"/>
  <c r="B1214" i="6"/>
  <c r="C1213" i="6"/>
  <c r="B1213" i="6"/>
  <c r="C1212" i="6"/>
  <c r="B1212" i="6"/>
  <c r="C1211" i="6"/>
  <c r="B1211" i="6"/>
  <c r="C1210" i="6"/>
  <c r="B1210" i="6"/>
  <c r="C1209" i="6"/>
  <c r="B1209" i="6"/>
  <c r="C1208" i="6"/>
  <c r="B1208" i="6"/>
  <c r="C1207" i="6"/>
  <c r="B1207" i="6"/>
  <c r="C1206" i="6"/>
  <c r="B1206" i="6"/>
  <c r="C1205" i="6"/>
  <c r="B1205" i="6"/>
  <c r="C1204" i="6"/>
  <c r="B1204" i="6"/>
  <c r="C1203" i="6"/>
  <c r="B1203" i="6"/>
  <c r="C1202" i="6"/>
  <c r="B1202" i="6"/>
  <c r="C1201" i="6"/>
  <c r="B1201" i="6"/>
  <c r="C1200" i="6"/>
  <c r="B1200" i="6"/>
  <c r="C1199" i="6"/>
  <c r="B1199" i="6"/>
  <c r="C1198" i="6"/>
  <c r="B1198" i="6"/>
  <c r="C1197" i="6"/>
  <c r="B1197" i="6"/>
  <c r="C1196" i="6"/>
  <c r="B1196" i="6"/>
  <c r="C1195" i="6"/>
  <c r="B1195" i="6"/>
  <c r="C1194" i="6"/>
  <c r="B1194" i="6"/>
  <c r="C1193" i="6"/>
  <c r="B1193" i="6"/>
  <c r="C1192" i="6"/>
  <c r="B1192" i="6"/>
  <c r="C1191" i="6"/>
  <c r="B1191" i="6"/>
  <c r="C1190" i="6"/>
  <c r="B1190" i="6"/>
  <c r="C1189" i="6"/>
  <c r="B1189" i="6"/>
  <c r="C1188" i="6"/>
  <c r="B1188" i="6"/>
  <c r="C1187" i="6"/>
  <c r="B1187" i="6"/>
  <c r="C1186" i="6"/>
  <c r="B1186" i="6"/>
  <c r="C1185" i="6"/>
  <c r="B1185" i="6"/>
  <c r="C1184" i="6"/>
  <c r="B1184" i="6"/>
  <c r="C1183" i="6"/>
  <c r="B1183" i="6"/>
  <c r="C1182" i="6"/>
  <c r="B1182" i="6"/>
  <c r="C1181" i="6"/>
  <c r="B1181" i="6"/>
  <c r="C1180" i="6"/>
  <c r="B1180" i="6"/>
  <c r="C1179" i="6"/>
  <c r="B1179" i="6"/>
  <c r="C1178" i="6"/>
  <c r="B1178" i="6"/>
  <c r="C1177" i="6"/>
  <c r="B1177" i="6"/>
  <c r="C1176" i="6"/>
  <c r="B1176" i="6"/>
  <c r="C1175" i="6"/>
  <c r="B1175" i="6"/>
  <c r="C1174" i="6"/>
  <c r="B1174" i="6"/>
  <c r="C1173" i="6"/>
  <c r="B1173" i="6"/>
  <c r="C1172" i="6"/>
  <c r="B1172" i="6"/>
  <c r="C1171" i="6"/>
  <c r="B1171" i="6"/>
  <c r="C1170" i="6"/>
  <c r="B1170" i="6"/>
  <c r="C1169" i="6"/>
  <c r="B1169" i="6"/>
  <c r="C1168" i="6"/>
  <c r="B1168" i="6"/>
  <c r="C1167" i="6"/>
  <c r="B1167" i="6"/>
  <c r="C1166" i="6"/>
  <c r="B1166" i="6"/>
  <c r="C1165" i="6"/>
  <c r="B1165" i="6"/>
  <c r="C1164" i="6"/>
  <c r="B1164" i="6"/>
  <c r="C1163" i="6"/>
  <c r="B1163" i="6"/>
  <c r="C1162" i="6"/>
  <c r="B1162" i="6"/>
  <c r="C1161" i="6"/>
  <c r="B1161" i="6"/>
  <c r="C1160" i="6"/>
  <c r="B1160" i="6"/>
  <c r="C1159" i="6"/>
  <c r="B1159" i="6"/>
  <c r="C1158" i="6"/>
  <c r="B1158" i="6"/>
  <c r="C1157" i="6"/>
  <c r="B1157" i="6"/>
  <c r="C1156" i="6"/>
  <c r="B1156" i="6"/>
  <c r="C1155" i="6"/>
  <c r="B1155" i="6"/>
  <c r="C1154" i="6"/>
  <c r="B1154" i="6"/>
  <c r="C1153" i="6"/>
  <c r="B1153" i="6"/>
  <c r="C1152" i="6"/>
  <c r="B1152" i="6"/>
  <c r="C1151" i="6"/>
  <c r="B1151" i="6"/>
  <c r="C1150" i="6"/>
  <c r="B1150" i="6"/>
  <c r="C1149" i="6"/>
  <c r="B1149" i="6"/>
  <c r="C1148" i="6"/>
  <c r="B1148" i="6"/>
  <c r="C1147" i="6"/>
  <c r="B1147" i="6"/>
  <c r="C1146" i="6"/>
  <c r="B1146" i="6"/>
  <c r="C1145" i="6"/>
  <c r="B1145" i="6"/>
  <c r="C1144" i="6"/>
  <c r="B1144" i="6"/>
  <c r="C1143" i="6"/>
  <c r="B1143" i="6"/>
  <c r="C1142" i="6"/>
  <c r="B1142" i="6"/>
  <c r="C1141" i="6"/>
  <c r="B1141" i="6"/>
  <c r="C1140" i="6"/>
  <c r="B1140" i="6"/>
  <c r="C1139" i="6"/>
  <c r="B1139" i="6"/>
  <c r="C1138" i="6"/>
  <c r="B1138" i="6"/>
  <c r="C1137" i="6"/>
  <c r="B1137" i="6"/>
  <c r="C1136" i="6"/>
  <c r="B1136" i="6"/>
  <c r="C1135" i="6"/>
  <c r="B1135" i="6"/>
  <c r="C1134" i="6"/>
  <c r="B1134" i="6"/>
  <c r="C1133" i="6"/>
  <c r="B1133" i="6"/>
  <c r="C1132" i="6"/>
  <c r="B1132" i="6"/>
  <c r="C1131" i="6"/>
  <c r="B1131" i="6"/>
  <c r="C1130" i="6"/>
  <c r="B1130" i="6"/>
  <c r="C1129" i="6"/>
  <c r="B1129" i="6"/>
  <c r="C1128" i="6"/>
  <c r="B1128" i="6"/>
  <c r="C1127" i="6"/>
  <c r="B1127" i="6"/>
  <c r="C1126" i="6"/>
  <c r="B1126" i="6"/>
  <c r="C1125" i="6"/>
  <c r="B1125" i="6"/>
  <c r="C1124" i="6"/>
  <c r="B1124" i="6"/>
  <c r="C1123" i="6"/>
  <c r="B1123" i="6"/>
  <c r="C1122" i="6"/>
  <c r="B1122" i="6"/>
  <c r="C1121" i="6"/>
  <c r="B1121" i="6"/>
  <c r="C1120" i="6"/>
  <c r="B1120" i="6"/>
  <c r="C1119" i="6"/>
  <c r="B1119" i="6"/>
  <c r="C1118" i="6"/>
  <c r="B1118" i="6"/>
  <c r="C1117" i="6"/>
  <c r="B1117" i="6"/>
  <c r="C1116" i="6"/>
  <c r="B1116" i="6"/>
  <c r="C1115" i="6"/>
  <c r="B1115" i="6"/>
  <c r="C1114" i="6"/>
  <c r="B1114" i="6"/>
  <c r="C1113" i="6"/>
  <c r="B1113" i="6"/>
  <c r="C1112" i="6"/>
  <c r="B1112" i="6"/>
  <c r="C1111" i="6"/>
  <c r="B1111" i="6"/>
  <c r="C1110" i="6"/>
  <c r="B1110" i="6"/>
  <c r="C1109" i="6"/>
  <c r="B1109" i="6"/>
  <c r="C1108" i="6"/>
  <c r="B1108" i="6"/>
  <c r="C1107" i="6"/>
  <c r="B1107" i="6"/>
  <c r="C1106" i="6"/>
  <c r="B1106" i="6"/>
  <c r="C1105" i="6"/>
  <c r="B1105" i="6"/>
  <c r="C1104" i="6"/>
  <c r="B1104" i="6"/>
  <c r="C1103" i="6"/>
  <c r="B1103" i="6"/>
  <c r="C1102" i="6"/>
  <c r="B1102" i="6"/>
  <c r="C1101" i="6"/>
  <c r="B1101" i="6"/>
  <c r="C1100" i="6"/>
  <c r="B1100" i="6"/>
  <c r="C1099" i="6"/>
  <c r="B1099" i="6"/>
  <c r="C1098" i="6"/>
  <c r="B1098" i="6"/>
  <c r="C1097" i="6"/>
  <c r="B1097" i="6"/>
  <c r="C1096" i="6"/>
  <c r="B1096" i="6"/>
  <c r="C1095" i="6"/>
  <c r="B1095" i="6"/>
  <c r="C1094" i="6"/>
  <c r="B1094" i="6"/>
  <c r="C1093" i="6"/>
  <c r="B1093" i="6"/>
  <c r="C1092" i="6"/>
  <c r="B1092" i="6"/>
  <c r="C1091" i="6"/>
  <c r="B1091" i="6"/>
  <c r="C1090" i="6"/>
  <c r="B1090" i="6"/>
  <c r="C1089" i="6"/>
  <c r="B1089" i="6"/>
  <c r="C1088" i="6"/>
  <c r="B1088" i="6"/>
  <c r="C1087" i="6"/>
  <c r="B1087" i="6"/>
  <c r="C1086" i="6"/>
  <c r="B1086" i="6"/>
  <c r="C1085" i="6"/>
  <c r="B1085" i="6"/>
  <c r="C1084" i="6"/>
  <c r="B1084" i="6"/>
  <c r="C1083" i="6"/>
  <c r="B1083" i="6"/>
  <c r="C1082" i="6"/>
  <c r="B1082" i="6"/>
  <c r="C1081" i="6"/>
  <c r="B1081" i="6"/>
  <c r="C1080" i="6"/>
  <c r="B1080" i="6"/>
  <c r="C1079" i="6"/>
  <c r="B1079" i="6"/>
  <c r="C1078" i="6"/>
  <c r="B1078" i="6"/>
  <c r="C1077" i="6"/>
  <c r="B1077" i="6"/>
  <c r="C1076" i="6"/>
  <c r="B1076" i="6"/>
  <c r="C1075" i="6"/>
  <c r="B1075" i="6"/>
  <c r="C1074" i="6"/>
  <c r="B1074" i="6"/>
  <c r="C1073" i="6"/>
  <c r="B1073" i="6"/>
  <c r="C1072" i="6"/>
  <c r="B1072" i="6"/>
  <c r="C1071" i="6"/>
  <c r="B1071" i="6"/>
  <c r="C1070" i="6"/>
  <c r="B1070" i="6"/>
  <c r="C1069" i="6"/>
  <c r="B1069" i="6"/>
  <c r="C1068" i="6"/>
  <c r="B1068" i="6"/>
  <c r="C1067" i="6"/>
  <c r="B1067" i="6"/>
  <c r="C1066" i="6"/>
  <c r="B1066" i="6"/>
  <c r="C1065" i="6"/>
  <c r="B1065" i="6"/>
  <c r="C1064" i="6"/>
  <c r="B1064" i="6"/>
  <c r="C1063" i="6"/>
  <c r="B1063" i="6"/>
  <c r="C1062" i="6"/>
  <c r="B1062" i="6"/>
  <c r="C1061" i="6"/>
  <c r="B1061" i="6"/>
  <c r="C1060" i="6"/>
  <c r="B1060" i="6"/>
  <c r="C1059" i="6"/>
  <c r="B1059" i="6"/>
  <c r="C1058" i="6"/>
  <c r="B1058" i="6"/>
  <c r="C1057" i="6"/>
  <c r="B1057" i="6"/>
  <c r="C1056" i="6"/>
  <c r="B1056" i="6"/>
  <c r="C1055" i="6"/>
  <c r="B1055" i="6"/>
  <c r="C1054" i="6"/>
  <c r="B1054" i="6"/>
  <c r="C1053" i="6"/>
  <c r="B1053" i="6"/>
  <c r="C1052" i="6"/>
  <c r="B1052" i="6"/>
  <c r="C1051" i="6"/>
  <c r="B1051" i="6"/>
  <c r="C1050" i="6"/>
  <c r="B1050" i="6"/>
  <c r="C1049" i="6"/>
  <c r="B1049" i="6"/>
  <c r="C1048" i="6"/>
  <c r="B1048" i="6"/>
  <c r="C1047" i="6"/>
  <c r="B1047" i="6"/>
  <c r="C1046" i="6"/>
  <c r="B1046" i="6"/>
  <c r="C1045" i="6"/>
  <c r="B1045" i="6"/>
  <c r="C1044" i="6"/>
  <c r="B1044" i="6"/>
  <c r="C1043" i="6"/>
  <c r="B1043" i="6"/>
  <c r="C1042" i="6"/>
  <c r="B1042" i="6"/>
  <c r="C1041" i="6"/>
  <c r="B1041" i="6"/>
  <c r="C1040" i="6"/>
  <c r="B1040" i="6"/>
  <c r="C1039" i="6"/>
  <c r="B1039" i="6"/>
  <c r="C1038" i="6"/>
  <c r="B1038" i="6"/>
  <c r="C1037" i="6"/>
  <c r="B1037" i="6"/>
  <c r="C1036" i="6"/>
  <c r="B1036" i="6"/>
  <c r="C1035" i="6"/>
  <c r="B1035" i="6"/>
  <c r="C1034" i="6"/>
  <c r="B1034" i="6"/>
  <c r="C1033" i="6"/>
  <c r="B1033" i="6"/>
  <c r="C1032" i="6"/>
  <c r="B1032" i="6"/>
  <c r="C1031" i="6"/>
  <c r="B1031" i="6"/>
  <c r="C1030" i="6"/>
  <c r="B1030" i="6"/>
  <c r="C1029" i="6"/>
  <c r="B1029" i="6"/>
  <c r="C1028" i="6"/>
  <c r="B1028" i="6"/>
  <c r="C1027" i="6"/>
  <c r="B1027" i="6"/>
  <c r="C1026" i="6"/>
  <c r="B1026" i="6"/>
  <c r="C1025" i="6"/>
  <c r="B1025" i="6"/>
  <c r="C1024" i="6"/>
  <c r="B1024" i="6"/>
  <c r="C1023" i="6"/>
  <c r="B1023" i="6"/>
  <c r="C1022" i="6"/>
  <c r="B1022" i="6"/>
  <c r="C1021" i="6"/>
  <c r="B1021" i="6"/>
  <c r="C1020" i="6"/>
  <c r="B1020" i="6"/>
  <c r="C1019" i="6"/>
  <c r="B1019" i="6"/>
  <c r="C1018" i="6"/>
  <c r="B1018" i="6"/>
  <c r="C1017" i="6"/>
  <c r="B1017" i="6"/>
  <c r="C1016" i="6"/>
  <c r="B1016" i="6"/>
  <c r="C1015" i="6"/>
  <c r="B1015" i="6"/>
  <c r="C1014" i="6"/>
  <c r="B1014" i="6"/>
  <c r="C1013" i="6"/>
  <c r="B1013" i="6"/>
  <c r="C1012" i="6"/>
  <c r="B1012" i="6"/>
  <c r="C1011" i="6"/>
  <c r="B1011" i="6"/>
  <c r="C1010" i="6"/>
  <c r="B1010" i="6"/>
  <c r="C1009" i="6"/>
  <c r="B1009" i="6"/>
  <c r="C1008" i="6"/>
  <c r="B1008" i="6"/>
  <c r="C1007" i="6"/>
  <c r="B1007" i="6"/>
  <c r="C1006" i="6"/>
  <c r="B1006" i="6"/>
  <c r="C1005" i="6"/>
  <c r="B1005" i="6"/>
  <c r="C1004" i="6"/>
  <c r="B1004" i="6"/>
  <c r="C1003" i="6"/>
  <c r="B1003" i="6"/>
  <c r="C1002" i="6"/>
  <c r="B1002" i="6"/>
  <c r="C1001" i="6"/>
  <c r="B1001" i="6"/>
  <c r="C1000" i="6"/>
  <c r="B1000" i="6"/>
  <c r="C999" i="6"/>
  <c r="B999" i="6"/>
  <c r="C998" i="6"/>
  <c r="B998" i="6"/>
  <c r="C997" i="6"/>
  <c r="B997" i="6"/>
  <c r="C996" i="6"/>
  <c r="B996" i="6"/>
  <c r="C995" i="6"/>
  <c r="B995" i="6"/>
  <c r="C994" i="6"/>
  <c r="B994" i="6"/>
  <c r="C993" i="6"/>
  <c r="B993" i="6"/>
  <c r="C992" i="6"/>
  <c r="B992" i="6"/>
  <c r="C991" i="6"/>
  <c r="B991" i="6"/>
  <c r="C990" i="6"/>
  <c r="B990" i="6"/>
  <c r="C989" i="6"/>
  <c r="B989" i="6"/>
  <c r="C988" i="6"/>
  <c r="B988" i="6"/>
  <c r="C987" i="6"/>
  <c r="B987" i="6"/>
  <c r="C986" i="6"/>
  <c r="B986" i="6"/>
  <c r="C985" i="6"/>
  <c r="B985" i="6"/>
  <c r="C984" i="6"/>
  <c r="B984" i="6"/>
  <c r="C983" i="6"/>
  <c r="B983" i="6"/>
  <c r="C982" i="6"/>
  <c r="B982" i="6"/>
  <c r="C981" i="6"/>
  <c r="B981" i="6"/>
  <c r="C980" i="6"/>
  <c r="B980" i="6"/>
  <c r="C979" i="6"/>
  <c r="B979" i="6"/>
  <c r="C978" i="6"/>
  <c r="B978" i="6"/>
  <c r="C977" i="6"/>
  <c r="B977" i="6"/>
  <c r="C976" i="6"/>
  <c r="B976" i="6"/>
  <c r="C975" i="6"/>
  <c r="B975" i="6"/>
  <c r="C974" i="6"/>
  <c r="B974" i="6"/>
  <c r="C973" i="6"/>
  <c r="B973" i="6"/>
  <c r="C972" i="6"/>
  <c r="B972" i="6"/>
  <c r="C971" i="6"/>
  <c r="B971" i="6"/>
  <c r="C970" i="6"/>
  <c r="B970" i="6"/>
  <c r="C969" i="6"/>
  <c r="B969" i="6"/>
  <c r="C968" i="6"/>
  <c r="B968" i="6"/>
  <c r="C967" i="6"/>
  <c r="B967" i="6"/>
  <c r="C966" i="6"/>
  <c r="B966" i="6"/>
  <c r="C965" i="6"/>
  <c r="B965" i="6"/>
  <c r="C964" i="6"/>
  <c r="B964" i="6"/>
  <c r="C963" i="6"/>
  <c r="B963" i="6"/>
  <c r="C962" i="6"/>
  <c r="B962" i="6"/>
  <c r="C961" i="6"/>
  <c r="B961" i="6"/>
  <c r="C960" i="6"/>
  <c r="B960" i="6"/>
  <c r="C959" i="6"/>
  <c r="B959" i="6"/>
  <c r="C958" i="6"/>
  <c r="B958" i="6"/>
  <c r="C957" i="6"/>
  <c r="B957" i="6"/>
  <c r="C956" i="6"/>
  <c r="B956" i="6"/>
  <c r="C955" i="6"/>
  <c r="B955" i="6"/>
  <c r="C954" i="6"/>
  <c r="B954" i="6"/>
  <c r="C953" i="6"/>
  <c r="B953" i="6"/>
  <c r="C952" i="6"/>
  <c r="B952" i="6"/>
  <c r="C951" i="6"/>
  <c r="B951" i="6"/>
  <c r="C950" i="6"/>
  <c r="B950" i="6"/>
  <c r="C949" i="6"/>
  <c r="B949" i="6"/>
  <c r="C948" i="6"/>
  <c r="B948" i="6"/>
  <c r="C947" i="6"/>
  <c r="B947" i="6"/>
  <c r="C946" i="6"/>
  <c r="B946" i="6"/>
  <c r="C945" i="6"/>
  <c r="B945" i="6"/>
  <c r="C944" i="6"/>
  <c r="B944" i="6"/>
  <c r="C943" i="6"/>
  <c r="B943" i="6"/>
  <c r="C942" i="6"/>
  <c r="B942" i="6"/>
  <c r="C941" i="6"/>
  <c r="B941" i="6"/>
  <c r="C940" i="6"/>
  <c r="B940" i="6"/>
  <c r="C939" i="6"/>
  <c r="B939" i="6"/>
  <c r="C938" i="6"/>
  <c r="B938" i="6"/>
  <c r="C937" i="6"/>
  <c r="B937" i="6"/>
  <c r="C936" i="6"/>
  <c r="B936" i="6"/>
  <c r="C935" i="6"/>
  <c r="B935" i="6"/>
  <c r="C934" i="6"/>
  <c r="B934" i="6"/>
  <c r="C933" i="6"/>
  <c r="B933" i="6"/>
  <c r="C932" i="6"/>
  <c r="B932" i="6"/>
  <c r="C931" i="6"/>
  <c r="B931" i="6"/>
  <c r="C930" i="6"/>
  <c r="B930" i="6"/>
  <c r="C929" i="6"/>
  <c r="B929" i="6"/>
  <c r="C928" i="6"/>
  <c r="B928" i="6"/>
  <c r="C927" i="6"/>
  <c r="B927" i="6"/>
  <c r="C926" i="6"/>
  <c r="B926" i="6"/>
  <c r="C925" i="6"/>
  <c r="B925" i="6"/>
  <c r="C924" i="6"/>
  <c r="B924" i="6"/>
  <c r="C923" i="6"/>
  <c r="B923" i="6"/>
  <c r="C922" i="6"/>
  <c r="B922" i="6"/>
  <c r="C921" i="6"/>
  <c r="B921" i="6"/>
  <c r="C920" i="6"/>
  <c r="B920" i="6"/>
  <c r="C919" i="6"/>
  <c r="B919" i="6"/>
  <c r="C918" i="6"/>
  <c r="B918" i="6"/>
  <c r="C917" i="6"/>
  <c r="B917" i="6"/>
  <c r="C916" i="6"/>
  <c r="B916" i="6"/>
  <c r="C915" i="6"/>
  <c r="B915" i="6"/>
  <c r="C914" i="6"/>
  <c r="B914" i="6"/>
  <c r="C913" i="6"/>
  <c r="B913" i="6"/>
  <c r="C912" i="6"/>
  <c r="B912" i="6"/>
  <c r="C911" i="6"/>
  <c r="B911" i="6"/>
  <c r="C910" i="6"/>
  <c r="B910" i="6"/>
  <c r="C909" i="6"/>
  <c r="B909" i="6"/>
  <c r="C908" i="6"/>
  <c r="B908" i="6"/>
  <c r="C907" i="6"/>
  <c r="B907" i="6"/>
  <c r="C906" i="6"/>
  <c r="B906" i="6"/>
  <c r="C905" i="6"/>
  <c r="B905" i="6"/>
  <c r="C904" i="6"/>
  <c r="B904" i="6"/>
  <c r="C903" i="6"/>
  <c r="B903" i="6"/>
  <c r="C902" i="6"/>
  <c r="B902" i="6"/>
  <c r="C901" i="6"/>
  <c r="B901" i="6"/>
  <c r="C900" i="6"/>
  <c r="B900" i="6"/>
  <c r="C899" i="6"/>
  <c r="B899" i="6"/>
  <c r="C898" i="6"/>
  <c r="B898" i="6"/>
  <c r="C897" i="6"/>
  <c r="B897" i="6"/>
  <c r="C896" i="6"/>
  <c r="B896" i="6"/>
  <c r="C895" i="6"/>
  <c r="B895" i="6"/>
  <c r="C894" i="6"/>
  <c r="B894" i="6"/>
  <c r="C893" i="6"/>
  <c r="B893" i="6"/>
  <c r="C892" i="6"/>
  <c r="B892" i="6"/>
  <c r="C891" i="6"/>
  <c r="B891" i="6"/>
  <c r="C890" i="6"/>
  <c r="B890" i="6"/>
  <c r="C889" i="6"/>
  <c r="B889" i="6"/>
  <c r="C888" i="6"/>
  <c r="B888" i="6"/>
  <c r="C887" i="6"/>
  <c r="B887" i="6"/>
  <c r="C886" i="6"/>
  <c r="B886" i="6"/>
  <c r="C885" i="6"/>
  <c r="B885" i="6"/>
  <c r="C884" i="6"/>
  <c r="B884" i="6"/>
  <c r="C883" i="6"/>
  <c r="B883" i="6"/>
  <c r="C882" i="6"/>
  <c r="B882" i="6"/>
  <c r="C881" i="6"/>
  <c r="B881" i="6"/>
  <c r="C880" i="6"/>
  <c r="B880" i="6"/>
  <c r="C879" i="6"/>
  <c r="B879" i="6"/>
  <c r="C878" i="6"/>
  <c r="B878" i="6"/>
  <c r="C877" i="6"/>
  <c r="B877" i="6"/>
  <c r="C876" i="6"/>
  <c r="B876" i="6"/>
  <c r="C875" i="6"/>
  <c r="B875" i="6"/>
  <c r="C874" i="6"/>
  <c r="B874" i="6"/>
  <c r="C873" i="6"/>
  <c r="B873" i="6"/>
  <c r="C872" i="6"/>
  <c r="B872" i="6"/>
  <c r="C871" i="6"/>
  <c r="B871" i="6"/>
  <c r="C870" i="6"/>
  <c r="B870" i="6"/>
  <c r="C869" i="6"/>
  <c r="B869" i="6"/>
  <c r="C868" i="6"/>
  <c r="B868" i="6"/>
  <c r="C867" i="6"/>
  <c r="B867" i="6"/>
  <c r="C866" i="6"/>
  <c r="B866" i="6"/>
  <c r="C865" i="6"/>
  <c r="B865" i="6"/>
  <c r="C864" i="6"/>
  <c r="B864" i="6"/>
  <c r="C863" i="6"/>
  <c r="B863" i="6"/>
  <c r="C862" i="6"/>
  <c r="B862" i="6"/>
  <c r="C861" i="6"/>
  <c r="B861" i="6"/>
  <c r="C860" i="6"/>
  <c r="B860" i="6"/>
  <c r="C859" i="6"/>
  <c r="B859" i="6"/>
  <c r="C858" i="6"/>
  <c r="B858" i="6"/>
  <c r="C857" i="6"/>
  <c r="B857" i="6"/>
  <c r="C856" i="6"/>
  <c r="B856" i="6"/>
  <c r="C855" i="6"/>
  <c r="B855" i="6"/>
  <c r="C854" i="6"/>
  <c r="B854" i="6"/>
  <c r="C853" i="6"/>
  <c r="B853" i="6"/>
  <c r="C852" i="6"/>
  <c r="B852" i="6"/>
  <c r="C851" i="6"/>
  <c r="B851" i="6"/>
  <c r="C850" i="6"/>
  <c r="B850" i="6"/>
  <c r="C849" i="6"/>
  <c r="B849" i="6"/>
  <c r="C848" i="6"/>
  <c r="B848" i="6"/>
  <c r="C847" i="6"/>
  <c r="B847" i="6"/>
  <c r="C846" i="6"/>
  <c r="B846" i="6"/>
  <c r="C845" i="6"/>
  <c r="B845" i="6"/>
  <c r="C844" i="6"/>
  <c r="B844" i="6"/>
  <c r="C843" i="6"/>
  <c r="B843" i="6"/>
  <c r="C842" i="6"/>
  <c r="B842" i="6"/>
  <c r="C841" i="6"/>
  <c r="B841" i="6"/>
  <c r="C840" i="6"/>
  <c r="B840" i="6"/>
  <c r="C839" i="6"/>
  <c r="B839" i="6"/>
  <c r="C838" i="6"/>
  <c r="B838" i="6"/>
  <c r="C837" i="6"/>
  <c r="B837" i="6"/>
  <c r="C836" i="6"/>
  <c r="B836" i="6"/>
  <c r="C835" i="6"/>
  <c r="B835" i="6"/>
  <c r="C834" i="6"/>
  <c r="B834" i="6"/>
  <c r="C833" i="6"/>
  <c r="B833" i="6"/>
  <c r="C832" i="6"/>
  <c r="B832" i="6"/>
  <c r="C831" i="6"/>
  <c r="B831" i="6"/>
  <c r="C830" i="6"/>
  <c r="B830" i="6"/>
  <c r="C829" i="6"/>
  <c r="B829" i="6"/>
  <c r="C828" i="6"/>
  <c r="B828" i="6"/>
  <c r="C827" i="6"/>
  <c r="B827" i="6"/>
  <c r="C826" i="6"/>
  <c r="B826" i="6"/>
  <c r="C825" i="6"/>
  <c r="B825" i="6"/>
  <c r="C824" i="6"/>
  <c r="B824" i="6"/>
  <c r="C823" i="6"/>
  <c r="B823" i="6"/>
  <c r="C822" i="6"/>
  <c r="B822" i="6"/>
  <c r="C821" i="6"/>
  <c r="B821" i="6"/>
  <c r="C820" i="6"/>
  <c r="B820" i="6"/>
  <c r="C819" i="6"/>
  <c r="B819" i="6"/>
  <c r="C818" i="6"/>
  <c r="B818" i="6"/>
  <c r="C817" i="6"/>
  <c r="B817" i="6"/>
  <c r="C816" i="6"/>
  <c r="B816" i="6"/>
  <c r="C815" i="6"/>
  <c r="B815" i="6"/>
  <c r="C814" i="6"/>
  <c r="B814" i="6"/>
  <c r="C813" i="6"/>
  <c r="B813" i="6"/>
  <c r="C812" i="6"/>
  <c r="B812" i="6"/>
  <c r="C811" i="6"/>
  <c r="B811" i="6"/>
  <c r="C810" i="6"/>
  <c r="B810" i="6"/>
  <c r="C809" i="6"/>
  <c r="B809" i="6"/>
  <c r="C808" i="6"/>
  <c r="B808" i="6"/>
  <c r="C807" i="6"/>
  <c r="B807" i="6"/>
  <c r="C806" i="6"/>
  <c r="B806" i="6"/>
  <c r="C805" i="6"/>
  <c r="B805" i="6"/>
  <c r="C804" i="6"/>
  <c r="B804" i="6"/>
  <c r="C803" i="6"/>
  <c r="B803" i="6"/>
  <c r="C802" i="6"/>
  <c r="B802" i="6"/>
  <c r="C801" i="6"/>
  <c r="B801" i="6"/>
  <c r="C800" i="6"/>
  <c r="B800" i="6"/>
  <c r="C799" i="6"/>
  <c r="B799" i="6"/>
  <c r="C798" i="6"/>
  <c r="B798" i="6"/>
  <c r="C797" i="6"/>
  <c r="B797" i="6"/>
  <c r="C796" i="6"/>
  <c r="B796" i="6"/>
  <c r="C795" i="6"/>
  <c r="B795" i="6"/>
  <c r="C794" i="6"/>
  <c r="B794" i="6"/>
  <c r="C793" i="6"/>
  <c r="B793" i="6"/>
  <c r="C792" i="6"/>
  <c r="B792" i="6"/>
  <c r="C791" i="6"/>
  <c r="B791" i="6"/>
  <c r="C790" i="6"/>
  <c r="B790" i="6"/>
  <c r="C789" i="6"/>
  <c r="B789" i="6"/>
  <c r="C788" i="6"/>
  <c r="B788" i="6"/>
  <c r="C787" i="6"/>
  <c r="B787" i="6"/>
  <c r="C786" i="6"/>
  <c r="B786" i="6"/>
  <c r="C785" i="6"/>
  <c r="B785" i="6"/>
  <c r="C784" i="6"/>
  <c r="B784" i="6"/>
  <c r="C783" i="6"/>
  <c r="B783" i="6"/>
  <c r="C782" i="6"/>
  <c r="B782" i="6"/>
  <c r="C781" i="6"/>
  <c r="B781" i="6"/>
  <c r="C780" i="6"/>
  <c r="B780" i="6"/>
  <c r="C779" i="6"/>
  <c r="B779" i="6"/>
  <c r="C778" i="6"/>
  <c r="B778" i="6"/>
  <c r="C777" i="6"/>
  <c r="B777" i="6"/>
  <c r="C776" i="6"/>
  <c r="B776" i="6"/>
  <c r="C775" i="6"/>
  <c r="B775" i="6"/>
  <c r="C774" i="6"/>
  <c r="B774" i="6"/>
  <c r="C773" i="6"/>
  <c r="B773" i="6"/>
  <c r="C772" i="6"/>
  <c r="B772" i="6"/>
  <c r="C771" i="6"/>
  <c r="B771" i="6"/>
  <c r="C770" i="6"/>
  <c r="B770" i="6"/>
  <c r="C769" i="6"/>
  <c r="B769" i="6"/>
  <c r="C768" i="6"/>
  <c r="B768" i="6"/>
  <c r="C767" i="6"/>
  <c r="B767" i="6"/>
  <c r="C766" i="6"/>
  <c r="B766" i="6"/>
  <c r="C765" i="6"/>
  <c r="B765" i="6"/>
  <c r="C764" i="6"/>
  <c r="B764" i="6"/>
  <c r="C763" i="6"/>
  <c r="B763" i="6"/>
  <c r="C762" i="6"/>
  <c r="B762" i="6"/>
  <c r="C761" i="6"/>
  <c r="B761" i="6"/>
  <c r="C760" i="6"/>
  <c r="B760" i="6"/>
  <c r="C759" i="6"/>
  <c r="B759" i="6"/>
  <c r="C758" i="6"/>
  <c r="B758" i="6"/>
  <c r="C757" i="6"/>
  <c r="B757" i="6"/>
  <c r="C756" i="6"/>
  <c r="B756" i="6"/>
  <c r="C755" i="6"/>
  <c r="B755" i="6"/>
  <c r="C754" i="6"/>
  <c r="B754" i="6"/>
  <c r="C753" i="6"/>
  <c r="B753" i="6"/>
  <c r="C752" i="6"/>
  <c r="B752" i="6"/>
  <c r="C751" i="6"/>
  <c r="B751" i="6"/>
  <c r="C750" i="6"/>
  <c r="B750" i="6"/>
  <c r="C749" i="6"/>
  <c r="B749" i="6"/>
  <c r="C748" i="6"/>
  <c r="B748" i="6"/>
  <c r="C747" i="6"/>
  <c r="B747" i="6"/>
  <c r="C746" i="6"/>
  <c r="B746" i="6"/>
  <c r="C745" i="6"/>
  <c r="B745" i="6"/>
  <c r="C744" i="6"/>
  <c r="B744" i="6"/>
  <c r="C743" i="6"/>
  <c r="B743" i="6"/>
  <c r="C742" i="6"/>
  <c r="B742" i="6"/>
  <c r="C741" i="6"/>
  <c r="B741" i="6"/>
  <c r="C740" i="6"/>
  <c r="B740" i="6"/>
  <c r="C739" i="6"/>
  <c r="B739" i="6"/>
  <c r="C738" i="6"/>
  <c r="B738" i="6"/>
  <c r="C737" i="6"/>
  <c r="B737" i="6"/>
  <c r="C736" i="6"/>
  <c r="B736" i="6"/>
  <c r="C735" i="6"/>
  <c r="B735" i="6"/>
  <c r="C734" i="6"/>
  <c r="B734" i="6"/>
  <c r="C733" i="6"/>
  <c r="B733" i="6"/>
  <c r="C732" i="6"/>
  <c r="B732" i="6"/>
  <c r="C731" i="6"/>
  <c r="B731" i="6"/>
  <c r="C730" i="6"/>
  <c r="B730" i="6"/>
  <c r="C729" i="6"/>
  <c r="B729" i="6"/>
  <c r="C728" i="6"/>
  <c r="B728" i="6"/>
  <c r="C727" i="6"/>
  <c r="B727" i="6"/>
  <c r="C726" i="6"/>
  <c r="B726" i="6"/>
  <c r="C725" i="6"/>
  <c r="B725" i="6"/>
  <c r="C724" i="6"/>
  <c r="B724" i="6"/>
  <c r="C723" i="6"/>
  <c r="B723" i="6"/>
  <c r="C722" i="6"/>
  <c r="B722" i="6"/>
  <c r="C721" i="6"/>
  <c r="B721" i="6"/>
  <c r="C720" i="6"/>
  <c r="B720" i="6"/>
  <c r="C719" i="6"/>
  <c r="B719" i="6"/>
  <c r="C718" i="6"/>
  <c r="B718" i="6"/>
  <c r="C717" i="6"/>
  <c r="B717" i="6"/>
  <c r="C716" i="6"/>
  <c r="B716" i="6"/>
  <c r="C715" i="6"/>
  <c r="B715" i="6"/>
  <c r="C714" i="6"/>
  <c r="B714" i="6"/>
  <c r="C713" i="6"/>
  <c r="B713" i="6"/>
  <c r="C712" i="6"/>
  <c r="B712" i="6"/>
  <c r="C711" i="6"/>
  <c r="B711" i="6"/>
  <c r="C710" i="6"/>
  <c r="B710" i="6"/>
  <c r="C709" i="6"/>
  <c r="B709" i="6"/>
  <c r="C708" i="6"/>
  <c r="B708" i="6"/>
  <c r="C707" i="6"/>
  <c r="B707" i="6"/>
  <c r="C706" i="6"/>
  <c r="B706" i="6"/>
  <c r="C705" i="6"/>
  <c r="B705" i="6"/>
  <c r="C704" i="6"/>
  <c r="B704" i="6"/>
  <c r="C703" i="6"/>
  <c r="B703" i="6"/>
  <c r="C702" i="6"/>
  <c r="B702" i="6"/>
  <c r="C701" i="6"/>
  <c r="B701" i="6"/>
  <c r="C700" i="6"/>
  <c r="B700" i="6"/>
  <c r="C699" i="6"/>
  <c r="B699" i="6"/>
  <c r="C698" i="6"/>
  <c r="B698" i="6"/>
  <c r="C697" i="6"/>
  <c r="B697" i="6"/>
  <c r="C696" i="6"/>
  <c r="B696" i="6"/>
  <c r="C695" i="6"/>
  <c r="B695" i="6"/>
  <c r="C694" i="6"/>
  <c r="B694" i="6"/>
  <c r="C693" i="6"/>
  <c r="B693" i="6"/>
  <c r="C692" i="6"/>
  <c r="B692" i="6"/>
  <c r="C691" i="6"/>
  <c r="B691" i="6"/>
  <c r="C690" i="6"/>
  <c r="B690" i="6"/>
  <c r="C689" i="6"/>
  <c r="B689" i="6"/>
  <c r="C688" i="6"/>
  <c r="B688" i="6"/>
  <c r="C687" i="6"/>
  <c r="B687" i="6"/>
  <c r="C686" i="6"/>
  <c r="B686" i="6"/>
  <c r="C685" i="6"/>
  <c r="B685" i="6"/>
  <c r="C684" i="6"/>
  <c r="B684" i="6"/>
  <c r="C683" i="6"/>
  <c r="B683" i="6"/>
  <c r="C682" i="6"/>
  <c r="B682" i="6"/>
  <c r="C681" i="6"/>
  <c r="B681" i="6"/>
  <c r="C680" i="6"/>
  <c r="B680" i="6"/>
  <c r="C679" i="6"/>
  <c r="B679" i="6"/>
  <c r="C678" i="6"/>
  <c r="B678" i="6"/>
  <c r="C677" i="6"/>
  <c r="B677" i="6"/>
  <c r="C676" i="6"/>
  <c r="B676" i="6"/>
  <c r="C675" i="6"/>
  <c r="B675" i="6"/>
  <c r="C674" i="6"/>
  <c r="B674" i="6"/>
  <c r="C673" i="6"/>
  <c r="B673" i="6"/>
  <c r="C672" i="6"/>
  <c r="B672" i="6"/>
  <c r="C671" i="6"/>
  <c r="B671" i="6"/>
  <c r="C670" i="6"/>
  <c r="B670" i="6"/>
  <c r="C669" i="6"/>
  <c r="B669" i="6"/>
  <c r="C668" i="6"/>
  <c r="B668" i="6"/>
  <c r="C667" i="6"/>
  <c r="B667" i="6"/>
  <c r="C666" i="6"/>
  <c r="B666" i="6"/>
  <c r="C665" i="6"/>
  <c r="B665" i="6"/>
  <c r="C664" i="6"/>
  <c r="B664" i="6"/>
  <c r="C663" i="6"/>
  <c r="B663" i="6"/>
  <c r="C662" i="6"/>
  <c r="B662" i="6"/>
  <c r="C661" i="6"/>
  <c r="B661" i="6"/>
  <c r="C660" i="6"/>
  <c r="B660" i="6"/>
  <c r="C659" i="6"/>
  <c r="B659" i="6"/>
  <c r="C658" i="6"/>
  <c r="B658" i="6"/>
  <c r="C657" i="6"/>
  <c r="B657" i="6"/>
  <c r="C656" i="6"/>
  <c r="B656" i="6"/>
  <c r="C655" i="6"/>
  <c r="B655" i="6"/>
  <c r="C654" i="6"/>
  <c r="B654" i="6"/>
  <c r="C653" i="6"/>
  <c r="B653" i="6"/>
  <c r="C652" i="6"/>
  <c r="B652" i="6"/>
  <c r="C651" i="6"/>
  <c r="B651" i="6"/>
  <c r="C650" i="6"/>
  <c r="B650" i="6"/>
  <c r="C649" i="6"/>
  <c r="B649" i="6"/>
  <c r="C648" i="6"/>
  <c r="B648" i="6"/>
  <c r="C647" i="6"/>
  <c r="B647" i="6"/>
  <c r="C646" i="6"/>
  <c r="B646" i="6"/>
  <c r="C645" i="6"/>
  <c r="B645" i="6"/>
  <c r="C644" i="6"/>
  <c r="B644" i="6"/>
  <c r="C643" i="6"/>
  <c r="B643" i="6"/>
  <c r="C642" i="6"/>
  <c r="B642" i="6"/>
  <c r="C641" i="6"/>
  <c r="B641" i="6"/>
  <c r="C640" i="6"/>
  <c r="B640" i="6"/>
  <c r="C639" i="6"/>
  <c r="B639" i="6"/>
  <c r="C638" i="6"/>
  <c r="B638" i="6"/>
  <c r="C637" i="6"/>
  <c r="B637" i="6"/>
  <c r="C636" i="6"/>
  <c r="B636" i="6"/>
  <c r="C635" i="6"/>
  <c r="B635" i="6"/>
  <c r="C634" i="6"/>
  <c r="B634" i="6"/>
  <c r="C633" i="6"/>
  <c r="B633" i="6"/>
  <c r="C632" i="6"/>
  <c r="B632" i="6"/>
  <c r="C631" i="6"/>
  <c r="B631" i="6"/>
  <c r="C630" i="6"/>
  <c r="B630" i="6"/>
  <c r="C629" i="6"/>
  <c r="B629" i="6"/>
  <c r="C628" i="6"/>
  <c r="B628" i="6"/>
  <c r="C627" i="6"/>
  <c r="B627" i="6"/>
  <c r="C626" i="6"/>
  <c r="B626" i="6"/>
  <c r="C625" i="6"/>
  <c r="B625" i="6"/>
  <c r="C624" i="6"/>
  <c r="B624" i="6"/>
  <c r="C623" i="6"/>
  <c r="B623" i="6"/>
  <c r="C622" i="6"/>
  <c r="B622" i="6"/>
  <c r="C621" i="6"/>
  <c r="B621" i="6"/>
  <c r="C620" i="6"/>
  <c r="B620" i="6"/>
  <c r="C619" i="6"/>
  <c r="B619" i="6"/>
  <c r="C618" i="6"/>
  <c r="B618" i="6"/>
  <c r="C617" i="6"/>
  <c r="B617" i="6"/>
  <c r="C616" i="6"/>
  <c r="B616" i="6"/>
  <c r="C615" i="6"/>
  <c r="B615" i="6"/>
  <c r="C614" i="6"/>
  <c r="B614" i="6"/>
  <c r="C613" i="6"/>
  <c r="B613" i="6"/>
  <c r="C612" i="6"/>
  <c r="B612" i="6"/>
  <c r="C611" i="6"/>
  <c r="B611" i="6"/>
  <c r="C610" i="6"/>
  <c r="B610" i="6"/>
  <c r="C609" i="6"/>
  <c r="B609" i="6"/>
  <c r="C608" i="6"/>
  <c r="B608" i="6"/>
  <c r="C607" i="6"/>
  <c r="B607" i="6"/>
  <c r="C606" i="6"/>
  <c r="B606" i="6"/>
  <c r="C605" i="6"/>
  <c r="B605" i="6"/>
  <c r="C604" i="6"/>
  <c r="B604" i="6"/>
  <c r="C603" i="6"/>
  <c r="B603" i="6"/>
  <c r="C602" i="6"/>
  <c r="B602" i="6"/>
  <c r="C601" i="6"/>
  <c r="B601" i="6"/>
  <c r="C600" i="6"/>
  <c r="B600" i="6"/>
  <c r="C599" i="6"/>
  <c r="B599" i="6"/>
  <c r="C598" i="6"/>
  <c r="B598" i="6"/>
  <c r="C597" i="6"/>
  <c r="B597" i="6"/>
  <c r="C596" i="6"/>
  <c r="B596" i="6"/>
  <c r="C595" i="6"/>
  <c r="B595" i="6"/>
  <c r="C594" i="6"/>
  <c r="B594" i="6"/>
  <c r="C593" i="6"/>
  <c r="B593" i="6"/>
  <c r="C592" i="6"/>
  <c r="B592" i="6"/>
  <c r="C591" i="6"/>
  <c r="B591" i="6"/>
  <c r="C590" i="6"/>
  <c r="B590" i="6"/>
  <c r="C589" i="6"/>
  <c r="B589" i="6"/>
  <c r="C588" i="6"/>
  <c r="B588" i="6"/>
  <c r="C587" i="6"/>
  <c r="B587" i="6"/>
  <c r="C586" i="6"/>
  <c r="B586" i="6"/>
  <c r="C585" i="6"/>
  <c r="B585" i="6"/>
  <c r="C584" i="6"/>
  <c r="B584" i="6"/>
  <c r="C583" i="6"/>
  <c r="B583" i="6"/>
  <c r="C582" i="6"/>
  <c r="B582" i="6"/>
  <c r="C581" i="6"/>
  <c r="B581" i="6"/>
  <c r="C580" i="6"/>
  <c r="B580" i="6"/>
  <c r="C579" i="6"/>
  <c r="B579" i="6"/>
  <c r="C578" i="6"/>
  <c r="B578" i="6"/>
  <c r="C577" i="6"/>
  <c r="B577" i="6"/>
  <c r="C576" i="6"/>
  <c r="B576" i="6"/>
  <c r="C575" i="6"/>
  <c r="B575" i="6"/>
  <c r="C574" i="6"/>
  <c r="B574" i="6"/>
  <c r="C573" i="6"/>
  <c r="B573" i="6"/>
  <c r="C572" i="6"/>
  <c r="B572" i="6"/>
  <c r="C571" i="6"/>
  <c r="B571" i="6"/>
  <c r="C570" i="6"/>
  <c r="B570" i="6"/>
  <c r="C569" i="6"/>
  <c r="B569" i="6"/>
  <c r="C568" i="6"/>
  <c r="B568" i="6"/>
  <c r="C567" i="6"/>
  <c r="B567" i="6"/>
  <c r="C566" i="6"/>
  <c r="B566" i="6"/>
  <c r="C565" i="6"/>
  <c r="B565" i="6"/>
  <c r="C564" i="6"/>
  <c r="B564" i="6"/>
  <c r="C563" i="6"/>
  <c r="B563" i="6"/>
  <c r="C562" i="6"/>
  <c r="B562" i="6"/>
  <c r="C561" i="6"/>
  <c r="B561" i="6"/>
  <c r="C560" i="6"/>
  <c r="B560" i="6"/>
  <c r="C559" i="6"/>
  <c r="B559" i="6"/>
  <c r="C558" i="6"/>
  <c r="B558" i="6"/>
  <c r="C557" i="6"/>
  <c r="B557" i="6"/>
  <c r="C556" i="6"/>
  <c r="B556" i="6"/>
  <c r="C555" i="6"/>
  <c r="B555" i="6"/>
  <c r="C554" i="6"/>
  <c r="B554" i="6"/>
  <c r="C553" i="6"/>
  <c r="B553" i="6"/>
  <c r="C552" i="6"/>
  <c r="B552" i="6"/>
  <c r="C551" i="6"/>
  <c r="B551" i="6"/>
  <c r="C550" i="6"/>
  <c r="B550" i="6"/>
  <c r="C549" i="6"/>
  <c r="B549" i="6"/>
  <c r="C548" i="6"/>
  <c r="B548" i="6"/>
  <c r="C547" i="6"/>
  <c r="B547" i="6"/>
  <c r="C546" i="6"/>
  <c r="B546" i="6"/>
  <c r="C545" i="6"/>
  <c r="B545" i="6"/>
  <c r="C544" i="6"/>
  <c r="B544" i="6"/>
  <c r="C543" i="6"/>
  <c r="B543" i="6"/>
  <c r="C542" i="6"/>
  <c r="B542" i="6"/>
  <c r="C541" i="6"/>
  <c r="B541" i="6"/>
  <c r="C540" i="6"/>
  <c r="B540" i="6"/>
  <c r="C539" i="6"/>
  <c r="B539" i="6"/>
  <c r="C538" i="6"/>
  <c r="B538" i="6"/>
  <c r="C537" i="6"/>
  <c r="B537" i="6"/>
  <c r="C536" i="6"/>
  <c r="B536" i="6"/>
  <c r="C535" i="6"/>
  <c r="B535" i="6"/>
  <c r="C534" i="6"/>
  <c r="B534" i="6"/>
  <c r="C533" i="6"/>
  <c r="B533" i="6"/>
  <c r="C532" i="6"/>
  <c r="B532" i="6"/>
  <c r="C531" i="6"/>
  <c r="B531" i="6"/>
  <c r="C530" i="6"/>
  <c r="B530" i="6"/>
  <c r="C529" i="6"/>
  <c r="B529" i="6"/>
  <c r="C528" i="6"/>
  <c r="B528" i="6"/>
  <c r="C527" i="6"/>
  <c r="B527" i="6"/>
  <c r="C526" i="6"/>
  <c r="B526" i="6"/>
  <c r="C525" i="6"/>
  <c r="B525" i="6"/>
  <c r="C524" i="6"/>
  <c r="B524" i="6"/>
  <c r="C523" i="6"/>
  <c r="B523" i="6"/>
  <c r="C522" i="6"/>
  <c r="B522" i="6"/>
  <c r="C521" i="6"/>
  <c r="B521" i="6"/>
  <c r="C520" i="6"/>
  <c r="B520" i="6"/>
  <c r="C519" i="6"/>
  <c r="B519" i="6"/>
  <c r="C518" i="6"/>
  <c r="B518" i="6"/>
  <c r="C517" i="6"/>
  <c r="B517" i="6"/>
  <c r="C516" i="6"/>
  <c r="B516" i="6"/>
  <c r="C515" i="6"/>
  <c r="B515" i="6"/>
  <c r="C514" i="6"/>
  <c r="B514" i="6"/>
  <c r="C513" i="6"/>
  <c r="B513" i="6"/>
  <c r="C512" i="6"/>
  <c r="B512" i="6"/>
  <c r="C511" i="6"/>
  <c r="B511" i="6"/>
  <c r="C510" i="6"/>
  <c r="B510" i="6"/>
  <c r="C509" i="6"/>
  <c r="B509" i="6"/>
  <c r="C508" i="6"/>
  <c r="B508" i="6"/>
  <c r="C507" i="6"/>
  <c r="B507" i="6"/>
  <c r="C506" i="6"/>
  <c r="B506" i="6"/>
  <c r="C505" i="6"/>
  <c r="B505" i="6"/>
  <c r="C504" i="6"/>
  <c r="B504" i="6"/>
  <c r="C503" i="6"/>
  <c r="B503" i="6"/>
  <c r="C502" i="6"/>
  <c r="B502" i="6"/>
  <c r="C501" i="6"/>
  <c r="B501" i="6"/>
  <c r="C500" i="6"/>
  <c r="B500" i="6"/>
  <c r="C499" i="6"/>
  <c r="B499" i="6"/>
  <c r="C498" i="6"/>
  <c r="B498" i="6"/>
  <c r="C497" i="6"/>
  <c r="B497" i="6"/>
  <c r="C496" i="6"/>
  <c r="B496" i="6"/>
  <c r="C495" i="6"/>
  <c r="B495" i="6"/>
  <c r="C494" i="6"/>
  <c r="B494" i="6"/>
  <c r="C493" i="6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6" i="6"/>
  <c r="B486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C439" i="6"/>
  <c r="B439" i="6"/>
  <c r="C438" i="6"/>
  <c r="B438" i="6"/>
  <c r="C437" i="6"/>
  <c r="B437" i="6"/>
  <c r="C436" i="6"/>
  <c r="B436" i="6"/>
  <c r="C435" i="6"/>
  <c r="B435" i="6"/>
  <c r="C434" i="6"/>
  <c r="B434" i="6"/>
  <c r="C433" i="6"/>
  <c r="B433" i="6"/>
  <c r="C432" i="6"/>
  <c r="B432" i="6"/>
  <c r="C431" i="6"/>
  <c r="B431" i="6"/>
  <c r="C430" i="6"/>
  <c r="B430" i="6"/>
  <c r="C429" i="6"/>
  <c r="B429" i="6"/>
  <c r="C428" i="6"/>
  <c r="B428" i="6"/>
  <c r="C427" i="6"/>
  <c r="B427" i="6"/>
  <c r="C426" i="6"/>
  <c r="B426" i="6"/>
  <c r="C425" i="6"/>
  <c r="B425" i="6"/>
  <c r="C424" i="6"/>
  <c r="B424" i="6"/>
  <c r="C423" i="6"/>
  <c r="B423" i="6"/>
  <c r="C422" i="6"/>
  <c r="B422" i="6"/>
  <c r="C421" i="6"/>
  <c r="B421" i="6"/>
  <c r="C420" i="6"/>
  <c r="B420" i="6"/>
  <c r="C419" i="6"/>
  <c r="B419" i="6"/>
  <c r="C418" i="6"/>
  <c r="B418" i="6"/>
  <c r="C417" i="6"/>
  <c r="B417" i="6"/>
  <c r="C416" i="6"/>
  <c r="B416" i="6"/>
  <c r="C415" i="6"/>
  <c r="B415" i="6"/>
  <c r="C414" i="6"/>
  <c r="B414" i="6"/>
  <c r="C413" i="6"/>
  <c r="B413" i="6"/>
  <c r="C412" i="6"/>
  <c r="B412" i="6"/>
  <c r="C411" i="6"/>
  <c r="B411" i="6"/>
  <c r="C410" i="6"/>
  <c r="B410" i="6"/>
  <c r="C409" i="6"/>
  <c r="B409" i="6"/>
  <c r="C408" i="6"/>
  <c r="B408" i="6"/>
  <c r="C407" i="6"/>
  <c r="B407" i="6"/>
  <c r="C406" i="6"/>
  <c r="B406" i="6"/>
  <c r="C405" i="6"/>
  <c r="B405" i="6"/>
  <c r="C404" i="6"/>
  <c r="B404" i="6"/>
  <c r="C403" i="6"/>
  <c r="B403" i="6"/>
  <c r="C402" i="6"/>
  <c r="B402" i="6"/>
  <c r="C401" i="6"/>
  <c r="B401" i="6"/>
  <c r="C400" i="6"/>
  <c r="B400" i="6"/>
  <c r="C399" i="6"/>
  <c r="B399" i="6"/>
  <c r="C398" i="6"/>
  <c r="B398" i="6"/>
  <c r="C397" i="6"/>
  <c r="B397" i="6"/>
  <c r="C396" i="6"/>
  <c r="B396" i="6"/>
  <c r="C395" i="6"/>
  <c r="B395" i="6"/>
  <c r="C394" i="6"/>
  <c r="B394" i="6"/>
  <c r="C393" i="6"/>
  <c r="B393" i="6"/>
  <c r="C392" i="6"/>
  <c r="B392" i="6"/>
  <c r="C391" i="6"/>
  <c r="B391" i="6"/>
  <c r="C390" i="6"/>
  <c r="B390" i="6"/>
  <c r="C389" i="6"/>
  <c r="B389" i="6"/>
  <c r="C388" i="6"/>
  <c r="B388" i="6"/>
  <c r="C387" i="6"/>
  <c r="B387" i="6"/>
  <c r="C386" i="6"/>
  <c r="B386" i="6"/>
  <c r="C385" i="6"/>
  <c r="B385" i="6"/>
  <c r="C384" i="6"/>
  <c r="B384" i="6"/>
  <c r="C383" i="6"/>
  <c r="B383" i="6"/>
  <c r="C382" i="6"/>
  <c r="B382" i="6"/>
  <c r="C381" i="6"/>
  <c r="B381" i="6"/>
  <c r="C380" i="6"/>
  <c r="B380" i="6"/>
  <c r="C379" i="6"/>
  <c r="B379" i="6"/>
  <c r="C378" i="6"/>
  <c r="B378" i="6"/>
  <c r="C377" i="6"/>
  <c r="B377" i="6"/>
  <c r="C376" i="6"/>
  <c r="B376" i="6"/>
  <c r="C375" i="6"/>
  <c r="B375" i="6"/>
  <c r="C374" i="6"/>
  <c r="B374" i="6"/>
  <c r="C373" i="6"/>
  <c r="B373" i="6"/>
  <c r="C372" i="6"/>
  <c r="B372" i="6"/>
  <c r="C371" i="6"/>
  <c r="B371" i="6"/>
  <c r="C370" i="6"/>
  <c r="B370" i="6"/>
  <c r="C369" i="6"/>
  <c r="B369" i="6"/>
  <c r="C368" i="6"/>
  <c r="B368" i="6"/>
  <c r="C367" i="6"/>
  <c r="B367" i="6"/>
  <c r="C366" i="6"/>
  <c r="B366" i="6"/>
  <c r="C365" i="6"/>
  <c r="B365" i="6"/>
  <c r="C364" i="6"/>
  <c r="B364" i="6"/>
  <c r="C363" i="6"/>
  <c r="B363" i="6"/>
  <c r="C362" i="6"/>
  <c r="B362" i="6"/>
  <c r="C361" i="6"/>
  <c r="B361" i="6"/>
  <c r="C360" i="6"/>
  <c r="B360" i="6"/>
  <c r="C359" i="6"/>
  <c r="B359" i="6"/>
  <c r="C358" i="6"/>
  <c r="B358" i="6"/>
  <c r="C357" i="6"/>
  <c r="B357" i="6"/>
  <c r="C356" i="6"/>
  <c r="B356" i="6"/>
  <c r="C355" i="6"/>
  <c r="B355" i="6"/>
  <c r="C354" i="6"/>
  <c r="B354" i="6"/>
  <c r="C353" i="6"/>
  <c r="B353" i="6"/>
  <c r="C352" i="6"/>
  <c r="B352" i="6"/>
  <c r="C351" i="6"/>
  <c r="B351" i="6"/>
  <c r="C350" i="6"/>
  <c r="B350" i="6"/>
  <c r="C349" i="6"/>
  <c r="B349" i="6"/>
  <c r="C348" i="6"/>
  <c r="B348" i="6"/>
  <c r="C347" i="6"/>
  <c r="B347" i="6"/>
  <c r="C346" i="6"/>
  <c r="B346" i="6"/>
  <c r="C345" i="6"/>
  <c r="B345" i="6"/>
  <c r="C344" i="6"/>
  <c r="B344" i="6"/>
  <c r="C343" i="6"/>
  <c r="B343" i="6"/>
  <c r="C342" i="6"/>
  <c r="B342" i="6"/>
  <c r="C341" i="6"/>
  <c r="B341" i="6"/>
  <c r="C340" i="6"/>
  <c r="B340" i="6"/>
  <c r="C339" i="6"/>
  <c r="B339" i="6"/>
  <c r="C338" i="6"/>
  <c r="B338" i="6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1" i="6"/>
  <c r="C2" i="6" s="1"/>
  <c r="X4" i="5"/>
  <c r="C1" i="4"/>
  <c r="C2" i="4" s="1"/>
  <c r="Z3" i="5"/>
  <c r="AK5" i="5"/>
  <c r="AJ5" i="5"/>
  <c r="AK4" i="5"/>
  <c r="AJ4" i="5"/>
  <c r="Y3" i="5"/>
  <c r="AK3" i="5"/>
  <c r="AL3" i="5" s="1"/>
  <c r="AE3" i="5"/>
  <c r="AJ3" i="5"/>
  <c r="AB3" i="5"/>
  <c r="AJ6" i="5" l="1"/>
  <c r="AK6" i="5"/>
  <c r="AL6" i="5" s="1"/>
  <c r="AI7" i="5"/>
  <c r="AN6" i="5"/>
  <c r="AQ5" i="5"/>
  <c r="AQ4" i="5"/>
  <c r="AL4" i="5"/>
  <c r="AL5" i="5"/>
  <c r="AF3" i="5"/>
  <c r="X5" i="5"/>
  <c r="AC3" i="5"/>
  <c r="Z4" i="5"/>
  <c r="AB4" i="5"/>
  <c r="AE4" i="5"/>
  <c r="Y4" i="5"/>
  <c r="AK7" i="5" l="1"/>
  <c r="AL7" i="5" s="1"/>
  <c r="AJ7" i="5"/>
  <c r="AI8" i="5"/>
  <c r="AO6" i="5"/>
  <c r="AN7" i="5"/>
  <c r="AQ6" i="5"/>
  <c r="AC4" i="5"/>
  <c r="AF4" i="5"/>
  <c r="X6" i="5"/>
  <c r="Z5" i="5"/>
  <c r="AE5" i="5"/>
  <c r="Y5" i="5"/>
  <c r="AK8" i="5" l="1"/>
  <c r="AL8" i="5" s="1"/>
  <c r="AJ8" i="5"/>
  <c r="AI9" i="5"/>
  <c r="AQ7" i="5"/>
  <c r="AO7" i="5"/>
  <c r="AN8" i="5"/>
  <c r="X7" i="5"/>
  <c r="AB5" i="5"/>
  <c r="AE6" i="5"/>
  <c r="AJ9" i="5" l="1"/>
  <c r="AK9" i="5"/>
  <c r="AL9" i="5" s="1"/>
  <c r="AI10" i="5"/>
  <c r="AQ8" i="5"/>
  <c r="AO8" i="5"/>
  <c r="AN9" i="5"/>
  <c r="AF5" i="5"/>
  <c r="AC5" i="5"/>
  <c r="Z6" i="5"/>
  <c r="AB6" i="5"/>
  <c r="Y6" i="5"/>
  <c r="AJ10" i="5" l="1"/>
  <c r="AK10" i="5"/>
  <c r="AL10" i="5" s="1"/>
  <c r="AI11" i="5"/>
  <c r="AQ9" i="5"/>
  <c r="AO9" i="5"/>
  <c r="AN10" i="5"/>
  <c r="AC6" i="5"/>
  <c r="AF6" i="5"/>
  <c r="X8" i="5"/>
  <c r="Z7" i="5"/>
  <c r="AB7" i="5"/>
  <c r="AE7" i="5"/>
  <c r="Y7" i="5"/>
  <c r="AJ11" i="5" l="1"/>
  <c r="AK11" i="5"/>
  <c r="AL11" i="5" s="1"/>
  <c r="AI12" i="5"/>
  <c r="AQ10" i="5"/>
  <c r="AO10" i="5"/>
  <c r="AN11" i="5"/>
  <c r="AF7" i="5"/>
  <c r="AC7" i="5"/>
  <c r="X9" i="5"/>
  <c r="Z8" i="5"/>
  <c r="AB8" i="5"/>
  <c r="Y8" i="5"/>
  <c r="AE8" i="5"/>
  <c r="AJ12" i="5" l="1"/>
  <c r="AK12" i="5"/>
  <c r="AL12" i="5" s="1"/>
  <c r="AI13" i="5"/>
  <c r="AN12" i="5"/>
  <c r="AO11" i="5"/>
  <c r="AQ11" i="5"/>
  <c r="AC8" i="5"/>
  <c r="AF8" i="5"/>
  <c r="X10" i="5"/>
  <c r="Z9" i="5"/>
  <c r="Y9" i="5"/>
  <c r="AE9" i="5"/>
  <c r="AJ13" i="5" l="1"/>
  <c r="AK13" i="5"/>
  <c r="AL13" i="5" s="1"/>
  <c r="AI14" i="5"/>
  <c r="AN13" i="5"/>
  <c r="AQ12" i="5"/>
  <c r="AO12" i="5"/>
  <c r="X11" i="5"/>
  <c r="Z10" i="5"/>
  <c r="AB9" i="5"/>
  <c r="AE10" i="5"/>
  <c r="Y10" i="5"/>
  <c r="AK14" i="5" l="1"/>
  <c r="AL14" i="5" s="1"/>
  <c r="AJ14" i="5"/>
  <c r="AI15" i="5"/>
  <c r="AN14" i="5"/>
  <c r="AO13" i="5"/>
  <c r="AQ13" i="5"/>
  <c r="AF9" i="5"/>
  <c r="AC9" i="5"/>
  <c r="AB10" i="5"/>
  <c r="AK15" i="5" l="1"/>
  <c r="AL15" i="5" s="1"/>
  <c r="AJ15" i="5"/>
  <c r="AI16" i="5"/>
  <c r="AN15" i="5"/>
  <c r="AO14" i="5"/>
  <c r="AQ14" i="5"/>
  <c r="AF10" i="5"/>
  <c r="AC10" i="5"/>
  <c r="X12" i="5"/>
  <c r="X13" i="5" s="1"/>
  <c r="Z11" i="5"/>
  <c r="AB11" i="5"/>
  <c r="AE11" i="5"/>
  <c r="Y11" i="5"/>
  <c r="AJ16" i="5" l="1"/>
  <c r="AK16" i="5"/>
  <c r="AL16" i="5" s="1"/>
  <c r="AI17" i="5"/>
  <c r="AN16" i="5"/>
  <c r="AO15" i="5"/>
  <c r="AQ15" i="5"/>
  <c r="AE13" i="5"/>
  <c r="AF13" i="5" s="1"/>
  <c r="Y13" i="5"/>
  <c r="AB13" i="5"/>
  <c r="Z13" i="5"/>
  <c r="AC13" i="5" s="1"/>
  <c r="X14" i="5"/>
  <c r="AC11" i="5"/>
  <c r="AF11" i="5"/>
  <c r="Z12" i="5"/>
  <c r="AB12" i="5"/>
  <c r="Y12" i="5"/>
  <c r="AE12" i="5"/>
  <c r="AJ17" i="5" l="1"/>
  <c r="AK17" i="5"/>
  <c r="AL17" i="5" s="1"/>
  <c r="AI18" i="5"/>
  <c r="AN17" i="5"/>
  <c r="AO16" i="5"/>
  <c r="AQ16" i="5"/>
  <c r="X15" i="5"/>
  <c r="AE14" i="5"/>
  <c r="AF14" i="5" s="1"/>
  <c r="Y14" i="5"/>
  <c r="AB14" i="5"/>
  <c r="Z14" i="5"/>
  <c r="AC14" i="5" s="1"/>
  <c r="AC12" i="5"/>
  <c r="AF12" i="5"/>
  <c r="AJ18" i="5" l="1"/>
  <c r="AK18" i="5"/>
  <c r="AL18" i="5" s="1"/>
  <c r="AI19" i="5"/>
  <c r="AN18" i="5"/>
  <c r="AQ17" i="5"/>
  <c r="AO17" i="5"/>
  <c r="X16" i="5"/>
  <c r="AE15" i="5"/>
  <c r="AF15" i="5" s="1"/>
  <c r="Y15" i="5"/>
  <c r="AB15" i="5"/>
  <c r="Z15" i="5"/>
  <c r="AC15" i="5" s="1"/>
  <c r="AJ19" i="5" l="1"/>
  <c r="AK19" i="5"/>
  <c r="AL19" i="5" s="1"/>
  <c r="AI20" i="5"/>
  <c r="AN19" i="5"/>
  <c r="AO18" i="5"/>
  <c r="AQ18" i="5"/>
  <c r="X17" i="5"/>
  <c r="Y16" i="5"/>
  <c r="AE16" i="5"/>
  <c r="AF16" i="5" s="1"/>
  <c r="AB16" i="5"/>
  <c r="Z16" i="5"/>
  <c r="AC16" i="5" s="1"/>
  <c r="AK20" i="5" l="1"/>
  <c r="AL20" i="5" s="1"/>
  <c r="AJ20" i="5"/>
  <c r="AI21" i="5"/>
  <c r="AN20" i="5"/>
  <c r="AQ19" i="5"/>
  <c r="AO19" i="5"/>
  <c r="X18" i="5"/>
  <c r="Y17" i="5"/>
  <c r="AE17" i="5"/>
  <c r="AF17" i="5" s="1"/>
  <c r="AB17" i="5"/>
  <c r="Z17" i="5"/>
  <c r="AC17" i="5" s="1"/>
  <c r="AJ21" i="5" l="1"/>
  <c r="AK21" i="5"/>
  <c r="AL21" i="5" s="1"/>
  <c r="AI22" i="5"/>
  <c r="AN21" i="5"/>
  <c r="AQ20" i="5"/>
  <c r="AO20" i="5"/>
  <c r="X19" i="5"/>
  <c r="Y18" i="5"/>
  <c r="AE18" i="5"/>
  <c r="AF18" i="5" s="1"/>
  <c r="AB18" i="5"/>
  <c r="Z18" i="5"/>
  <c r="AC18" i="5" s="1"/>
  <c r="AJ22" i="5" l="1"/>
  <c r="AK22" i="5"/>
  <c r="AL22" i="5" s="1"/>
  <c r="AI23" i="5"/>
  <c r="AN22" i="5"/>
  <c r="AO21" i="5"/>
  <c r="AQ21" i="5"/>
  <c r="X20" i="5"/>
  <c r="AE19" i="5"/>
  <c r="AF19" i="5" s="1"/>
  <c r="Y19" i="5"/>
  <c r="AB19" i="5"/>
  <c r="Z19" i="5"/>
  <c r="AC19" i="5" s="1"/>
  <c r="AK23" i="5" l="1"/>
  <c r="AL23" i="5" s="1"/>
  <c r="AJ23" i="5"/>
  <c r="AI24" i="5"/>
  <c r="AN23" i="5"/>
  <c r="AO22" i="5"/>
  <c r="AQ22" i="5"/>
  <c r="X21" i="5"/>
  <c r="Y20" i="5"/>
  <c r="AE20" i="5"/>
  <c r="AF20" i="5" s="1"/>
  <c r="AB20" i="5"/>
  <c r="Z20" i="5"/>
  <c r="AC20" i="5" s="1"/>
  <c r="AJ24" i="5" l="1"/>
  <c r="AK24" i="5"/>
  <c r="AL24" i="5" s="1"/>
  <c r="AI25" i="5"/>
  <c r="AN24" i="5"/>
  <c r="AQ23" i="5"/>
  <c r="AO23" i="5"/>
  <c r="X22" i="5"/>
  <c r="AE21" i="5"/>
  <c r="AF21" i="5" s="1"/>
  <c r="Y21" i="5"/>
  <c r="AB21" i="5"/>
  <c r="Z21" i="5"/>
  <c r="AC21" i="5" s="1"/>
  <c r="AJ25" i="5" l="1"/>
  <c r="AK25" i="5"/>
  <c r="AL25" i="5" s="1"/>
  <c r="AI26" i="5"/>
  <c r="AN25" i="5"/>
  <c r="AQ24" i="5"/>
  <c r="AO24" i="5"/>
  <c r="X23" i="5"/>
  <c r="AE22" i="5"/>
  <c r="AF22" i="5" s="1"/>
  <c r="Y22" i="5"/>
  <c r="AB22" i="5"/>
  <c r="Z22" i="5"/>
  <c r="AC22" i="5" s="1"/>
  <c r="AJ26" i="5" l="1"/>
  <c r="AK26" i="5"/>
  <c r="AL26" i="5" s="1"/>
  <c r="AI27" i="5"/>
  <c r="AN26" i="5"/>
  <c r="AO25" i="5"/>
  <c r="AQ25" i="5"/>
  <c r="X24" i="5"/>
  <c r="Y23" i="5"/>
  <c r="AE23" i="5"/>
  <c r="AF23" i="5" s="1"/>
  <c r="AB23" i="5"/>
  <c r="Z23" i="5"/>
  <c r="AC23" i="5" s="1"/>
  <c r="AK27" i="5" l="1"/>
  <c r="AL27" i="5" s="1"/>
  <c r="AJ27" i="5"/>
  <c r="AI28" i="5"/>
  <c r="AN27" i="5"/>
  <c r="AO26" i="5"/>
  <c r="AQ26" i="5"/>
  <c r="X25" i="5"/>
  <c r="AE24" i="5"/>
  <c r="AF24" i="5" s="1"/>
  <c r="AB24" i="5"/>
  <c r="Z24" i="5"/>
  <c r="AC24" i="5" s="1"/>
  <c r="Y24" i="5"/>
  <c r="AJ28" i="5" l="1"/>
  <c r="AK28" i="5"/>
  <c r="AL28" i="5" s="1"/>
  <c r="AI29" i="5"/>
  <c r="AN28" i="5"/>
  <c r="AQ27" i="5"/>
  <c r="AO27" i="5"/>
  <c r="X26" i="5"/>
  <c r="AE25" i="5"/>
  <c r="AF25" i="5" s="1"/>
  <c r="Y25" i="5"/>
  <c r="AB25" i="5"/>
  <c r="Z25" i="5"/>
  <c r="AC25" i="5" s="1"/>
  <c r="AJ29" i="5" l="1"/>
  <c r="AK29" i="5"/>
  <c r="AL29" i="5" s="1"/>
  <c r="AI30" i="5"/>
  <c r="AN29" i="5"/>
  <c r="AQ28" i="5"/>
  <c r="AO28" i="5"/>
  <c r="X27" i="5"/>
  <c r="Y26" i="5"/>
  <c r="AE26" i="5"/>
  <c r="AF26" i="5" s="1"/>
  <c r="AB26" i="5"/>
  <c r="Z26" i="5"/>
  <c r="AC26" i="5" s="1"/>
  <c r="AJ30" i="5" l="1"/>
  <c r="AK30" i="5"/>
  <c r="AL30" i="5" s="1"/>
  <c r="AI31" i="5"/>
  <c r="AN30" i="5"/>
  <c r="AO29" i="5"/>
  <c r="AQ29" i="5"/>
  <c r="X28" i="5"/>
  <c r="AE27" i="5"/>
  <c r="AF27" i="5" s="1"/>
  <c r="Y27" i="5"/>
  <c r="AB27" i="5"/>
  <c r="Z27" i="5"/>
  <c r="AC27" i="5" s="1"/>
  <c r="AJ31" i="5" l="1"/>
  <c r="AK31" i="5"/>
  <c r="AL31" i="5" s="1"/>
  <c r="AI32" i="5"/>
  <c r="AN31" i="5"/>
  <c r="AQ30" i="5"/>
  <c r="AO30" i="5"/>
  <c r="X29" i="5"/>
  <c r="Y28" i="5"/>
  <c r="AE28" i="5"/>
  <c r="AF28" i="5" s="1"/>
  <c r="AB28" i="5"/>
  <c r="Z28" i="5"/>
  <c r="AC28" i="5" s="1"/>
  <c r="AJ32" i="5" l="1"/>
  <c r="AK32" i="5"/>
  <c r="AL32" i="5" s="1"/>
  <c r="AI33" i="5"/>
  <c r="AN32" i="5"/>
  <c r="AQ31" i="5"/>
  <c r="AO31" i="5"/>
  <c r="X30" i="5"/>
  <c r="Y29" i="5"/>
  <c r="AE29" i="5"/>
  <c r="AF29" i="5" s="1"/>
  <c r="AB29" i="5"/>
  <c r="Z29" i="5"/>
  <c r="AC29" i="5" s="1"/>
  <c r="AJ33" i="5" l="1"/>
  <c r="AK33" i="5"/>
  <c r="AL33" i="5" s="1"/>
  <c r="AI34" i="5"/>
  <c r="AN33" i="5"/>
  <c r="AQ32" i="5"/>
  <c r="AO32" i="5"/>
  <c r="X31" i="5"/>
  <c r="AE30" i="5"/>
  <c r="AF30" i="5" s="1"/>
  <c r="Y30" i="5"/>
  <c r="AB30" i="5"/>
  <c r="Z30" i="5"/>
  <c r="AC30" i="5" s="1"/>
  <c r="AK34" i="5" l="1"/>
  <c r="AL34" i="5" s="1"/>
  <c r="AJ34" i="5"/>
  <c r="AI35" i="5"/>
  <c r="AN34" i="5"/>
  <c r="AO33" i="5"/>
  <c r="AQ33" i="5"/>
  <c r="X32" i="5"/>
  <c r="AE31" i="5"/>
  <c r="AF31" i="5" s="1"/>
  <c r="Y31" i="5"/>
  <c r="AB31" i="5"/>
  <c r="Z31" i="5"/>
  <c r="AC31" i="5" s="1"/>
  <c r="AJ35" i="5" l="1"/>
  <c r="AK35" i="5"/>
  <c r="AL35" i="5" s="1"/>
  <c r="AI36" i="5"/>
  <c r="AN35" i="5"/>
  <c r="AQ34" i="5"/>
  <c r="AO34" i="5"/>
  <c r="X33" i="5"/>
  <c r="AE32" i="5"/>
  <c r="AF32" i="5" s="1"/>
  <c r="Y32" i="5"/>
  <c r="AB32" i="5"/>
  <c r="Z32" i="5"/>
  <c r="AC32" i="5" s="1"/>
  <c r="AJ36" i="5" l="1"/>
  <c r="AK36" i="5"/>
  <c r="AL36" i="5" s="1"/>
  <c r="AI37" i="5"/>
  <c r="AN36" i="5"/>
  <c r="AQ35" i="5"/>
  <c r="AO35" i="5"/>
  <c r="X34" i="5"/>
  <c r="Y33" i="5"/>
  <c r="Z33" i="5"/>
  <c r="AC33" i="5" s="1"/>
  <c r="AE33" i="5"/>
  <c r="AF33" i="5" s="1"/>
  <c r="AB33" i="5"/>
  <c r="AJ37" i="5" l="1"/>
  <c r="AK37" i="5"/>
  <c r="AL37" i="5" s="1"/>
  <c r="AI38" i="5"/>
  <c r="AN37" i="5"/>
  <c r="AQ36" i="5"/>
  <c r="AO36" i="5"/>
  <c r="X35" i="5"/>
  <c r="Y34" i="5"/>
  <c r="AE34" i="5"/>
  <c r="AF34" i="5" s="1"/>
  <c r="AB34" i="5"/>
  <c r="Z34" i="5"/>
  <c r="AC34" i="5" s="1"/>
  <c r="AJ38" i="5" l="1"/>
  <c r="AK38" i="5"/>
  <c r="AL38" i="5" s="1"/>
  <c r="AI39" i="5"/>
  <c r="AN38" i="5"/>
  <c r="AQ37" i="5"/>
  <c r="AO37" i="5"/>
  <c r="X36" i="5"/>
  <c r="AE35" i="5"/>
  <c r="AF35" i="5" s="1"/>
  <c r="Y35" i="5"/>
  <c r="AB35" i="5"/>
  <c r="Z35" i="5"/>
  <c r="AC35" i="5" s="1"/>
  <c r="AJ39" i="5" l="1"/>
  <c r="AK39" i="5"/>
  <c r="AL39" i="5" s="1"/>
  <c r="AI40" i="5"/>
  <c r="AN39" i="5"/>
  <c r="AQ38" i="5"/>
  <c r="AO38" i="5"/>
  <c r="X37" i="5"/>
  <c r="AE36" i="5"/>
  <c r="AF36" i="5" s="1"/>
  <c r="Y36" i="5"/>
  <c r="AB36" i="5"/>
  <c r="Z36" i="5"/>
  <c r="AC36" i="5" s="1"/>
  <c r="AJ40" i="5" l="1"/>
  <c r="AK40" i="5"/>
  <c r="AL40" i="5" s="1"/>
  <c r="AI41" i="5"/>
  <c r="AN40" i="5"/>
  <c r="AO39" i="5"/>
  <c r="AQ39" i="5"/>
  <c r="X38" i="5"/>
  <c r="AE37" i="5"/>
  <c r="AF37" i="5" s="1"/>
  <c r="Y37" i="5"/>
  <c r="AB37" i="5"/>
  <c r="Z37" i="5"/>
  <c r="AC37" i="5" s="1"/>
  <c r="AJ41" i="5" l="1"/>
  <c r="AK41" i="5"/>
  <c r="AL41" i="5" s="1"/>
  <c r="AI42" i="5"/>
  <c r="AN41" i="5"/>
  <c r="AQ40" i="5"/>
  <c r="AO40" i="5"/>
  <c r="X39" i="5"/>
  <c r="AE38" i="5"/>
  <c r="AF38" i="5" s="1"/>
  <c r="Y38" i="5"/>
  <c r="AB38" i="5"/>
  <c r="Z38" i="5"/>
  <c r="AC38" i="5" s="1"/>
  <c r="AJ42" i="5" l="1"/>
  <c r="AK42" i="5"/>
  <c r="AL42" i="5" s="1"/>
  <c r="AI43" i="5"/>
  <c r="AN42" i="5"/>
  <c r="AO41" i="5"/>
  <c r="AQ41" i="5"/>
  <c r="X40" i="5"/>
  <c r="AE39" i="5"/>
  <c r="AF39" i="5" s="1"/>
  <c r="Y39" i="5"/>
  <c r="AB39" i="5"/>
  <c r="Z39" i="5"/>
  <c r="AC39" i="5" s="1"/>
  <c r="AK43" i="5" l="1"/>
  <c r="AL43" i="5" s="1"/>
  <c r="AJ43" i="5"/>
  <c r="AI44" i="5"/>
  <c r="AN43" i="5"/>
  <c r="AQ42" i="5"/>
  <c r="AO42" i="5"/>
  <c r="X41" i="5"/>
  <c r="AE40" i="5"/>
  <c r="AF40" i="5" s="1"/>
  <c r="Y40" i="5"/>
  <c r="AB40" i="5"/>
  <c r="Z40" i="5"/>
  <c r="AC40" i="5" s="1"/>
  <c r="AJ44" i="5" l="1"/>
  <c r="AK44" i="5"/>
  <c r="AL44" i="5" s="1"/>
  <c r="AI45" i="5"/>
  <c r="AN44" i="5"/>
  <c r="AO43" i="5"/>
  <c r="AQ43" i="5"/>
  <c r="X42" i="5"/>
  <c r="AE41" i="5"/>
  <c r="AF41" i="5" s="1"/>
  <c r="Y41" i="5"/>
  <c r="AB41" i="5"/>
  <c r="Z41" i="5"/>
  <c r="AC41" i="5" s="1"/>
  <c r="AJ45" i="5" l="1"/>
  <c r="AK45" i="5"/>
  <c r="AL45" i="5" s="1"/>
  <c r="AI46" i="5"/>
  <c r="AN45" i="5"/>
  <c r="AQ44" i="5"/>
  <c r="AO44" i="5"/>
  <c r="X43" i="5"/>
  <c r="AE42" i="5"/>
  <c r="AF42" i="5" s="1"/>
  <c r="Y42" i="5"/>
  <c r="AB42" i="5"/>
  <c r="Z42" i="5"/>
  <c r="AC42" i="5" s="1"/>
  <c r="AJ46" i="5" l="1"/>
  <c r="AK46" i="5"/>
  <c r="AL46" i="5" s="1"/>
  <c r="AI47" i="5"/>
  <c r="AN46" i="5"/>
  <c r="AQ45" i="5"/>
  <c r="AO45" i="5"/>
  <c r="X44" i="5"/>
  <c r="AE43" i="5"/>
  <c r="AF43" i="5" s="1"/>
  <c r="Y43" i="5"/>
  <c r="AB43" i="5"/>
  <c r="Z43" i="5"/>
  <c r="AC43" i="5" s="1"/>
  <c r="AK47" i="5" l="1"/>
  <c r="AL47" i="5" s="1"/>
  <c r="AJ47" i="5"/>
  <c r="AI48" i="5"/>
  <c r="AN47" i="5"/>
  <c r="AO46" i="5"/>
  <c r="AQ46" i="5"/>
  <c r="X45" i="5"/>
  <c r="Y44" i="5"/>
  <c r="AE44" i="5"/>
  <c r="AF44" i="5" s="1"/>
  <c r="AB44" i="5"/>
  <c r="Z44" i="5"/>
  <c r="AC44" i="5" s="1"/>
  <c r="AJ48" i="5" l="1"/>
  <c r="AK48" i="5"/>
  <c r="AL48" i="5" s="1"/>
  <c r="AI49" i="5"/>
  <c r="AN48" i="5"/>
  <c r="AQ47" i="5"/>
  <c r="AO47" i="5"/>
  <c r="X46" i="5"/>
  <c r="AE45" i="5"/>
  <c r="AF45" i="5" s="1"/>
  <c r="Y45" i="5"/>
  <c r="AB45" i="5"/>
  <c r="Z45" i="5"/>
  <c r="AC45" i="5" s="1"/>
  <c r="AJ49" i="5" l="1"/>
  <c r="AK49" i="5"/>
  <c r="AL49" i="5" s="1"/>
  <c r="AI50" i="5"/>
  <c r="AN49" i="5"/>
  <c r="AO48" i="5"/>
  <c r="AQ48" i="5"/>
  <c r="X47" i="5"/>
  <c r="AE46" i="5"/>
  <c r="AF46" i="5" s="1"/>
  <c r="Y46" i="5"/>
  <c r="AB46" i="5"/>
  <c r="Z46" i="5"/>
  <c r="AC46" i="5" s="1"/>
  <c r="AJ50" i="5" l="1"/>
  <c r="AK50" i="5"/>
  <c r="AL50" i="5" s="1"/>
  <c r="AI51" i="5"/>
  <c r="AN50" i="5"/>
  <c r="AQ49" i="5"/>
  <c r="AO49" i="5"/>
  <c r="X48" i="5"/>
  <c r="AE47" i="5"/>
  <c r="AF47" i="5" s="1"/>
  <c r="Y47" i="5"/>
  <c r="AB47" i="5"/>
  <c r="Z47" i="5"/>
  <c r="AC47" i="5" s="1"/>
  <c r="AJ51" i="5" l="1"/>
  <c r="AK51" i="5"/>
  <c r="AL51" i="5" s="1"/>
  <c r="AI52" i="5"/>
  <c r="AN51" i="5"/>
  <c r="AQ50" i="5"/>
  <c r="AO50" i="5"/>
  <c r="X49" i="5"/>
  <c r="Z48" i="5"/>
  <c r="AC48" i="5" s="1"/>
  <c r="AE48" i="5"/>
  <c r="AF48" i="5" s="1"/>
  <c r="Y48" i="5"/>
  <c r="AB48" i="5"/>
  <c r="AJ52" i="5" l="1"/>
  <c r="AK52" i="5"/>
  <c r="AL52" i="5" s="1"/>
  <c r="AI53" i="5"/>
  <c r="AN52" i="5"/>
  <c r="AO51" i="5"/>
  <c r="AQ51" i="5"/>
  <c r="X50" i="5"/>
  <c r="Y49" i="5"/>
  <c r="AE49" i="5"/>
  <c r="AF49" i="5" s="1"/>
  <c r="AB49" i="5"/>
  <c r="Z49" i="5"/>
  <c r="AC49" i="5" s="1"/>
  <c r="AJ53" i="5" l="1"/>
  <c r="AK53" i="5"/>
  <c r="AL53" i="5" s="1"/>
  <c r="AI54" i="5"/>
  <c r="AN53" i="5"/>
  <c r="AQ52" i="5"/>
  <c r="AO52" i="5"/>
  <c r="X51" i="5"/>
  <c r="AE50" i="5"/>
  <c r="AF50" i="5" s="1"/>
  <c r="Y50" i="5"/>
  <c r="AB50" i="5"/>
  <c r="Z50" i="5"/>
  <c r="AC50" i="5" s="1"/>
  <c r="AJ54" i="5" l="1"/>
  <c r="AK54" i="5"/>
  <c r="AL54" i="5" s="1"/>
  <c r="AI55" i="5"/>
  <c r="AN54" i="5"/>
  <c r="AO53" i="5"/>
  <c r="AQ53" i="5"/>
  <c r="X52" i="5"/>
  <c r="AE51" i="5"/>
  <c r="AF51" i="5" s="1"/>
  <c r="Y51" i="5"/>
  <c r="AB51" i="5"/>
  <c r="Z51" i="5"/>
  <c r="AC51" i="5" s="1"/>
  <c r="AJ55" i="5" l="1"/>
  <c r="AK55" i="5"/>
  <c r="AL55" i="5" s="1"/>
  <c r="AI56" i="5"/>
  <c r="AN55" i="5"/>
  <c r="AO54" i="5"/>
  <c r="AQ54" i="5"/>
  <c r="X53" i="5"/>
  <c r="AE52" i="5"/>
  <c r="AF52" i="5" s="1"/>
  <c r="Y52" i="5"/>
  <c r="AB52" i="5"/>
  <c r="Z52" i="5"/>
  <c r="AC52" i="5" s="1"/>
  <c r="AJ56" i="5" l="1"/>
  <c r="AK56" i="5"/>
  <c r="AL56" i="5" s="1"/>
  <c r="AI57" i="5"/>
  <c r="AN56" i="5"/>
  <c r="AO55" i="5"/>
  <c r="AQ55" i="5"/>
  <c r="X54" i="5"/>
  <c r="Y53" i="5"/>
  <c r="AB53" i="5"/>
  <c r="Z53" i="5"/>
  <c r="AC53" i="5" s="1"/>
  <c r="AE53" i="5"/>
  <c r="AF53" i="5" s="1"/>
  <c r="AJ57" i="5" l="1"/>
  <c r="AK57" i="5"/>
  <c r="AL57" i="5" s="1"/>
  <c r="AI58" i="5"/>
  <c r="AN57" i="5"/>
  <c r="AO56" i="5"/>
  <c r="AQ56" i="5"/>
  <c r="X55" i="5"/>
  <c r="AE54" i="5"/>
  <c r="AF54" i="5" s="1"/>
  <c r="Y54" i="5"/>
  <c r="AB54" i="5"/>
  <c r="Z54" i="5"/>
  <c r="AC54" i="5" s="1"/>
  <c r="AJ58" i="5" l="1"/>
  <c r="AK58" i="5"/>
  <c r="AL58" i="5" s="1"/>
  <c r="AI59" i="5"/>
  <c r="AN58" i="5"/>
  <c r="AO57" i="5"/>
  <c r="AQ57" i="5"/>
  <c r="X56" i="5"/>
  <c r="AE55" i="5"/>
  <c r="AF55" i="5" s="1"/>
  <c r="Y55" i="5"/>
  <c r="AB55" i="5"/>
  <c r="Z55" i="5"/>
  <c r="AC55" i="5" s="1"/>
  <c r="AK59" i="5" l="1"/>
  <c r="AL59" i="5" s="1"/>
  <c r="AJ59" i="5"/>
  <c r="AI60" i="5"/>
  <c r="AN59" i="5"/>
  <c r="AQ58" i="5"/>
  <c r="AO58" i="5"/>
  <c r="X57" i="5"/>
  <c r="AE56" i="5"/>
  <c r="AF56" i="5" s="1"/>
  <c r="Y56" i="5"/>
  <c r="AB56" i="5"/>
  <c r="Z56" i="5"/>
  <c r="AC56" i="5" s="1"/>
  <c r="AJ60" i="5" l="1"/>
  <c r="AK60" i="5"/>
  <c r="AL60" i="5" s="1"/>
  <c r="AI61" i="5"/>
  <c r="AN60" i="5"/>
  <c r="AQ59" i="5"/>
  <c r="AO59" i="5"/>
  <c r="X58" i="5"/>
  <c r="AE57" i="5"/>
  <c r="AF57" i="5" s="1"/>
  <c r="Y57" i="5"/>
  <c r="AB57" i="5"/>
  <c r="Z57" i="5"/>
  <c r="AC57" i="5" s="1"/>
  <c r="AJ61" i="5" l="1"/>
  <c r="AK61" i="5"/>
  <c r="AL61" i="5" s="1"/>
  <c r="AI62" i="5"/>
  <c r="AN61" i="5"/>
  <c r="AO60" i="5"/>
  <c r="AQ60" i="5"/>
  <c r="X59" i="5"/>
  <c r="Y58" i="5"/>
  <c r="AE58" i="5"/>
  <c r="AF58" i="5" s="1"/>
  <c r="AB58" i="5"/>
  <c r="Z58" i="5"/>
  <c r="AC58" i="5" s="1"/>
  <c r="AK62" i="5" l="1"/>
  <c r="AL62" i="5" s="1"/>
  <c r="AJ62" i="5"/>
  <c r="AI63" i="5"/>
  <c r="AN62" i="5"/>
  <c r="AO61" i="5"/>
  <c r="AQ61" i="5"/>
  <c r="X60" i="5"/>
  <c r="AE59" i="5"/>
  <c r="AF59" i="5" s="1"/>
  <c r="AB59" i="5"/>
  <c r="Z59" i="5"/>
  <c r="AC59" i="5" s="1"/>
  <c r="Y59" i="5"/>
  <c r="AK63" i="5" l="1"/>
  <c r="AL63" i="5" s="1"/>
  <c r="AJ63" i="5"/>
  <c r="AI64" i="5"/>
  <c r="AN63" i="5"/>
  <c r="AO62" i="5"/>
  <c r="AQ62" i="5"/>
  <c r="X61" i="5"/>
  <c r="AE60" i="5"/>
  <c r="AF60" i="5" s="1"/>
  <c r="Y60" i="5"/>
  <c r="AB60" i="5"/>
  <c r="Z60" i="5"/>
  <c r="AC60" i="5" s="1"/>
  <c r="AJ64" i="5" l="1"/>
  <c r="AK64" i="5"/>
  <c r="AL64" i="5" s="1"/>
  <c r="AI65" i="5"/>
  <c r="AN64" i="5"/>
  <c r="AQ63" i="5"/>
  <c r="AO63" i="5"/>
  <c r="X62" i="5"/>
  <c r="AE61" i="5"/>
  <c r="AF61" i="5" s="1"/>
  <c r="Y61" i="5"/>
  <c r="AB61" i="5"/>
  <c r="Z61" i="5"/>
  <c r="AC61" i="5" s="1"/>
  <c r="AJ65" i="5" l="1"/>
  <c r="AK65" i="5"/>
  <c r="AL65" i="5" s="1"/>
  <c r="AI66" i="5"/>
  <c r="AN65" i="5"/>
  <c r="AQ64" i="5"/>
  <c r="AO64" i="5"/>
  <c r="X63" i="5"/>
  <c r="AE62" i="5"/>
  <c r="AF62" i="5" s="1"/>
  <c r="Y62" i="5"/>
  <c r="AB62" i="5"/>
  <c r="Z62" i="5"/>
  <c r="AC62" i="5" s="1"/>
  <c r="AJ66" i="5" l="1"/>
  <c r="AK66" i="5"/>
  <c r="AL66" i="5" s="1"/>
  <c r="AI67" i="5"/>
  <c r="AN66" i="5"/>
  <c r="AO65" i="5"/>
  <c r="AQ65" i="5"/>
  <c r="X64" i="5"/>
  <c r="AE63" i="5"/>
  <c r="AF63" i="5" s="1"/>
  <c r="Y63" i="5"/>
  <c r="AB63" i="5"/>
  <c r="Z63" i="5"/>
  <c r="AC63" i="5" s="1"/>
  <c r="AJ67" i="5" l="1"/>
  <c r="AK67" i="5"/>
  <c r="AL67" i="5" s="1"/>
  <c r="AI68" i="5"/>
  <c r="AO66" i="5"/>
  <c r="AQ66" i="5"/>
  <c r="X65" i="5"/>
  <c r="AE64" i="5"/>
  <c r="AF64" i="5" s="1"/>
  <c r="Y64" i="5"/>
  <c r="AB64" i="5"/>
  <c r="Z64" i="5"/>
  <c r="AC64" i="5" s="1"/>
  <c r="AJ68" i="5" l="1"/>
  <c r="AK68" i="5"/>
  <c r="AL68" i="5" s="1"/>
  <c r="AI69" i="5"/>
  <c r="AE65" i="5"/>
  <c r="AF65" i="5" s="1"/>
  <c r="Y65" i="5"/>
  <c r="AB65" i="5"/>
  <c r="Z65" i="5"/>
  <c r="AC65" i="5" s="1"/>
  <c r="X66" i="5"/>
  <c r="AJ69" i="5" l="1"/>
  <c r="AK69" i="5"/>
  <c r="AL69" i="5" s="1"/>
  <c r="AI70" i="5"/>
  <c r="AE66" i="5"/>
  <c r="AF66" i="5" s="1"/>
  <c r="AB66" i="5"/>
  <c r="Z66" i="5"/>
  <c r="AC66" i="5" s="1"/>
  <c r="Y66" i="5"/>
  <c r="AJ70" i="5" l="1"/>
  <c r="AK70" i="5"/>
  <c r="AL70" i="5" s="1"/>
  <c r="AI71" i="5"/>
  <c r="AJ71" i="5" l="1"/>
  <c r="AK71" i="5"/>
  <c r="AL71" i="5" s="1"/>
  <c r="AI72" i="5"/>
  <c r="AJ72" i="5" l="1"/>
  <c r="AK72" i="5"/>
  <c r="AL72" i="5" s="1"/>
  <c r="AI73" i="5"/>
  <c r="AJ73" i="5" l="1"/>
  <c r="AK73" i="5"/>
  <c r="AL73" i="5" s="1"/>
  <c r="AI74" i="5"/>
  <c r="AJ74" i="5" l="1"/>
  <c r="AK74" i="5"/>
  <c r="AL74" i="5" s="1"/>
  <c r="AI75" i="5"/>
  <c r="AK75" i="5" l="1"/>
  <c r="AL75" i="5" s="1"/>
  <c r="AJ75" i="5"/>
  <c r="AI76" i="5"/>
  <c r="AJ76" i="5" l="1"/>
  <c r="AK76" i="5"/>
  <c r="AL76" i="5" s="1"/>
  <c r="AI77" i="5"/>
  <c r="AJ77" i="5" l="1"/>
  <c r="AK77" i="5"/>
  <c r="AL77" i="5" s="1"/>
  <c r="AI78" i="5"/>
  <c r="AJ78" i="5" l="1"/>
  <c r="AK78" i="5"/>
  <c r="AL78" i="5" s="1"/>
  <c r="AI79" i="5"/>
  <c r="AJ79" i="5" l="1"/>
  <c r="AK79" i="5"/>
  <c r="AL79" i="5" s="1"/>
  <c r="AI80" i="5"/>
  <c r="AK80" i="5" l="1"/>
  <c r="AL80" i="5" s="1"/>
  <c r="AJ80" i="5"/>
  <c r="AI81" i="5"/>
  <c r="AJ81" i="5" l="1"/>
  <c r="AK81" i="5"/>
  <c r="AL81" i="5" s="1"/>
  <c r="AI82" i="5"/>
  <c r="AJ82" i="5" l="1"/>
  <c r="AK82" i="5"/>
  <c r="AL82" i="5" s="1"/>
  <c r="AI83" i="5"/>
  <c r="AJ83" i="5" l="1"/>
  <c r="AK83" i="5"/>
  <c r="AL83" i="5" s="1"/>
  <c r="AI84" i="5"/>
  <c r="AJ84" i="5" l="1"/>
  <c r="AK84" i="5"/>
  <c r="AL84" i="5" s="1"/>
  <c r="AI85" i="5"/>
  <c r="AJ85" i="5" l="1"/>
  <c r="AK85" i="5"/>
  <c r="AL85" i="5" s="1"/>
  <c r="AI86" i="5"/>
  <c r="AJ86" i="5" l="1"/>
  <c r="AK86" i="5"/>
  <c r="AL86" i="5" s="1"/>
  <c r="AI87" i="5"/>
  <c r="AK87" i="5" l="1"/>
  <c r="AL87" i="5" s="1"/>
  <c r="AJ87" i="5"/>
  <c r="AI88" i="5"/>
  <c r="AJ88" i="5" l="1"/>
  <c r="AK88" i="5"/>
  <c r="AL88" i="5" s="1"/>
  <c r="AI89" i="5"/>
  <c r="AJ89" i="5" l="1"/>
  <c r="AK89" i="5"/>
  <c r="AL89" i="5" s="1"/>
  <c r="AI90" i="5"/>
  <c r="AJ90" i="5" l="1"/>
  <c r="AK90" i="5"/>
  <c r="AL90" i="5" s="1"/>
  <c r="AI91" i="5"/>
  <c r="AJ91" i="5" l="1"/>
  <c r="AK91" i="5"/>
  <c r="AL91" i="5" s="1"/>
  <c r="AI92" i="5"/>
  <c r="AJ92" i="5" l="1"/>
  <c r="AK92" i="5"/>
  <c r="AL92" i="5" s="1"/>
  <c r="AI93" i="5"/>
  <c r="AJ93" i="5" l="1"/>
  <c r="AK93" i="5"/>
  <c r="AL93" i="5" s="1"/>
  <c r="AI94" i="5"/>
  <c r="AJ94" i="5" l="1"/>
  <c r="AK94" i="5"/>
  <c r="AL94" i="5" s="1"/>
  <c r="AI95" i="5"/>
  <c r="AJ95" i="5" l="1"/>
  <c r="AK95" i="5"/>
  <c r="AL95" i="5" s="1"/>
  <c r="AI96" i="5"/>
  <c r="AJ96" i="5" l="1"/>
  <c r="AK96" i="5"/>
  <c r="AL96" i="5" s="1"/>
  <c r="AI97" i="5"/>
  <c r="AJ97" i="5" l="1"/>
  <c r="AK97" i="5"/>
  <c r="AL97" i="5" s="1"/>
  <c r="AI98" i="5"/>
  <c r="AJ98" i="5" l="1"/>
  <c r="AK98" i="5"/>
  <c r="AL98" i="5" s="1"/>
  <c r="AI99" i="5"/>
  <c r="AJ99" i="5" l="1"/>
  <c r="AK99" i="5"/>
  <c r="AL99" i="5" s="1"/>
  <c r="AI100" i="5"/>
  <c r="AK100" i="5" l="1"/>
  <c r="AL100" i="5" s="1"/>
  <c r="AJ100" i="5"/>
  <c r="AI101" i="5"/>
  <c r="AJ101" i="5" l="1"/>
  <c r="AK101" i="5"/>
  <c r="AL101" i="5" s="1"/>
  <c r="AI102" i="5"/>
  <c r="AJ102" i="5" l="1"/>
  <c r="AK102" i="5"/>
  <c r="AL102" i="5" s="1"/>
  <c r="AI103" i="5"/>
  <c r="AK103" i="5" l="1"/>
  <c r="AL103" i="5" s="1"/>
  <c r="AJ103" i="5"/>
  <c r="AI104" i="5"/>
  <c r="AK104" i="5" l="1"/>
  <c r="AL104" i="5" s="1"/>
  <c r="AJ104" i="5"/>
  <c r="AI105" i="5"/>
  <c r="AJ105" i="5" l="1"/>
  <c r="AK105" i="5"/>
  <c r="AL105" i="5" s="1"/>
  <c r="AI106" i="5"/>
  <c r="AJ106" i="5" l="1"/>
  <c r="AK106" i="5"/>
  <c r="AL106" i="5" s="1"/>
  <c r="AI107" i="5"/>
  <c r="AK107" i="5" l="1"/>
  <c r="AL107" i="5" s="1"/>
  <c r="AJ107" i="5"/>
  <c r="AI108" i="5"/>
  <c r="AK108" i="5" l="1"/>
  <c r="AL108" i="5" s="1"/>
  <c r="AJ108" i="5"/>
  <c r="AI109" i="5"/>
  <c r="AJ109" i="5" l="1"/>
  <c r="AK109" i="5"/>
  <c r="AL109" i="5" s="1"/>
  <c r="AI110" i="5"/>
  <c r="AK110" i="5" l="1"/>
  <c r="AL110" i="5" s="1"/>
  <c r="AJ110" i="5"/>
  <c r="AI111" i="5"/>
  <c r="AJ111" i="5" l="1"/>
  <c r="AK111" i="5"/>
  <c r="AL111" i="5" s="1"/>
  <c r="AI112" i="5"/>
  <c r="AJ112" i="5" l="1"/>
  <c r="AK112" i="5"/>
  <c r="AL112" i="5" s="1"/>
  <c r="AI113" i="5"/>
  <c r="AJ113" i="5" l="1"/>
  <c r="AK113" i="5"/>
  <c r="AL113" i="5" s="1"/>
  <c r="AI114" i="5"/>
  <c r="AJ114" i="5" l="1"/>
  <c r="AK114" i="5"/>
  <c r="AL114" i="5" s="1"/>
</calcChain>
</file>

<file path=xl/sharedStrings.xml><?xml version="1.0" encoding="utf-8"?>
<sst xmlns="http://schemas.openxmlformats.org/spreadsheetml/2006/main" count="73" uniqueCount="32">
  <si>
    <t>INST_DESC</t>
  </si>
  <si>
    <t>Data Final</t>
  </si>
  <si>
    <t>BRL=</t>
  </si>
  <si>
    <t>NGc1</t>
  </si>
  <si>
    <t>RBc1</t>
  </si>
  <si>
    <t>HOc1</t>
  </si>
  <si>
    <t>CLc1</t>
  </si>
  <si>
    <t>LCOc1</t>
  </si>
  <si>
    <t>ANO</t>
  </si>
  <si>
    <t>MÊS</t>
  </si>
  <si>
    <t>Rótulos de Linha</t>
  </si>
  <si>
    <t>Total Geral</t>
  </si>
  <si>
    <t>Rótulos de Coluna</t>
  </si>
  <si>
    <t>Média de HOc1</t>
  </si>
  <si>
    <t>Média de BRL=</t>
  </si>
  <si>
    <t>HO</t>
  </si>
  <si>
    <t>BRL</t>
  </si>
  <si>
    <t>HO in BRL</t>
  </si>
  <si>
    <t>Média de LCOc1</t>
  </si>
  <si>
    <t>CLO</t>
  </si>
  <si>
    <t>Cc1</t>
  </si>
  <si>
    <t>Sc1</t>
  </si>
  <si>
    <t>SMc1</t>
  </si>
  <si>
    <t>Wc1</t>
  </si>
  <si>
    <t>BOc1</t>
  </si>
  <si>
    <t>Média de SMc1</t>
  </si>
  <si>
    <t>SM</t>
  </si>
  <si>
    <t>SM in BRL</t>
  </si>
  <si>
    <t>Média de BOc1</t>
  </si>
  <si>
    <t>BO</t>
  </si>
  <si>
    <t>BO in gal</t>
  </si>
  <si>
    <t>BOHO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</si>
</sst>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_-* #,##0.000_-;\-* #,##0.000_-;_-* &quot;-&quot;???_-;_-@_-"/>
    <numFmt numFmtId="166" formatCode="_-* #,##0_-;\-* #,##0_-;_-* &quot;-&quot;??_-;_-@_-"/>
    <numFmt numFmtId="167" formatCode="_-* #,##0_-;\-* #,##0_-;_-* &quot;-&quot;?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0" fillId="0" borderId="0" xfId="0" quotePrefix="1" applyNumberFormat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43" fontId="0" fillId="0" borderId="0" xfId="1" quotePrefix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7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43" fontId="0" fillId="0" borderId="0" xfId="1" applyFont="1"/>
    <xf numFmtId="14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2">
    <cellStyle name="Normal" xfId="0" builtinId="0"/>
    <cellStyle name="Vírgula" xfId="1" builtinId="3"/>
  </cellStyles>
  <dxfs count="9">
    <dxf>
      <numFmt numFmtId="166" formatCode="_-* #,##0_-;\-* #,##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6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mensal!$AN$3:$AN$66</c:f>
              <c:numCache>
                <c:formatCode>mmm\-yy</c:formatCode>
                <c:ptCount val="6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</c:numCache>
            </c:numRef>
          </c:cat>
          <c:val>
            <c:numRef>
              <c:f>mensal!$AR$3:$AR$66</c:f>
              <c:numCache>
                <c:formatCode>_-* #,##0.000_-;\-* #,##0.000_-;_-* "-"???_-;_-@_-</c:formatCode>
                <c:ptCount val="64"/>
                <c:pt idx="0">
                  <c:v>1.6760342105263155</c:v>
                </c:pt>
                <c:pt idx="1">
                  <c:v>1.7358631578947377</c:v>
                </c:pt>
                <c:pt idx="2">
                  <c:v>2.2001804347826095</c:v>
                </c:pt>
                <c:pt idx="3">
                  <c:v>2.5059452380952383</c:v>
                </c:pt>
                <c:pt idx="4">
                  <c:v>3.0016899999999995</c:v>
                </c:pt>
                <c:pt idx="5">
                  <c:v>2.7728159090909092</c:v>
                </c:pt>
                <c:pt idx="6">
                  <c:v>2.810019047619047</c:v>
                </c:pt>
                <c:pt idx="7">
                  <c:v>2.5940659090909084</c:v>
                </c:pt>
                <c:pt idx="8">
                  <c:v>2.0905357142857146</c:v>
                </c:pt>
                <c:pt idx="9">
                  <c:v>2.0688190476190473</c:v>
                </c:pt>
                <c:pt idx="10">
                  <c:v>2.0683214285714286</c:v>
                </c:pt>
                <c:pt idx="11">
                  <c:v>1.8872886363636363</c:v>
                </c:pt>
                <c:pt idx="12">
                  <c:v>1.9366275000000002</c:v>
                </c:pt>
                <c:pt idx="13">
                  <c:v>2.179105263157894</c:v>
                </c:pt>
                <c:pt idx="14">
                  <c:v>2.0372782608695643</c:v>
                </c:pt>
                <c:pt idx="15">
                  <c:v>2.0706700000000007</c:v>
                </c:pt>
                <c:pt idx="16">
                  <c:v>2.344638095238095</c:v>
                </c:pt>
                <c:pt idx="17">
                  <c:v>1.4218357142857156</c:v>
                </c:pt>
                <c:pt idx="18">
                  <c:v>1.0115150000000002</c:v>
                </c:pt>
                <c:pt idx="19">
                  <c:v>1.5739326086956518</c:v>
                </c:pt>
                <c:pt idx="20">
                  <c:v>1.7138595238095236</c:v>
                </c:pt>
                <c:pt idx="21">
                  <c:v>1.314723809523811</c:v>
                </c:pt>
                <c:pt idx="22">
                  <c:v>2.0778380952380942</c:v>
                </c:pt>
                <c:pt idx="23">
                  <c:v>1.7690428571428574</c:v>
                </c:pt>
                <c:pt idx="24">
                  <c:v>1.4620925000000007</c:v>
                </c:pt>
                <c:pt idx="25">
                  <c:v>1.7306157894736836</c:v>
                </c:pt>
                <c:pt idx="26">
                  <c:v>1.5152391304347836</c:v>
                </c:pt>
                <c:pt idx="27">
                  <c:v>1.4709111842105269</c:v>
                </c:pt>
                <c:pt idx="28">
                  <c:v>1.3798409090909098</c:v>
                </c:pt>
                <c:pt idx="29">
                  <c:v>1.7760809523809513</c:v>
                </c:pt>
                <c:pt idx="30">
                  <c:v>2.4359099999999994</c:v>
                </c:pt>
                <c:pt idx="31">
                  <c:v>1.8859608695652175</c:v>
                </c:pt>
                <c:pt idx="32">
                  <c:v>1.3475949999999983</c:v>
                </c:pt>
                <c:pt idx="33">
                  <c:v>1.0332477272727276</c:v>
                </c:pt>
                <c:pt idx="34">
                  <c:v>1.0208857142857148</c:v>
                </c:pt>
                <c:pt idx="35">
                  <c:v>1.1105650000000002</c:v>
                </c:pt>
                <c:pt idx="36">
                  <c:v>0.87037857142857167</c:v>
                </c:pt>
                <c:pt idx="37">
                  <c:v>0.64821500000000087</c:v>
                </c:pt>
                <c:pt idx="38">
                  <c:v>0.86844250000000045</c:v>
                </c:pt>
                <c:pt idx="39">
                  <c:v>0.82222272727272694</c:v>
                </c:pt>
                <c:pt idx="40">
                  <c:v>0.88231818181818111</c:v>
                </c:pt>
                <c:pt idx="41">
                  <c:v>0.83176052631578967</c:v>
                </c:pt>
                <c:pt idx="42">
                  <c:v>0.97876818181818148</c:v>
                </c:pt>
                <c:pt idx="43">
                  <c:v>0.78715681818181693</c:v>
                </c:pt>
                <c:pt idx="44">
                  <c:v>0.99628750000000021</c:v>
                </c:pt>
                <c:pt idx="45">
                  <c:v>1.0177152173913036</c:v>
                </c:pt>
                <c:pt idx="46">
                  <c:v>1.1117275000000002</c:v>
                </c:pt>
                <c:pt idx="47">
                  <c:v>0.85365952380952415</c:v>
                </c:pt>
                <c:pt idx="48">
                  <c:v>0.82366904761904669</c:v>
                </c:pt>
                <c:pt idx="49">
                  <c:v>1.0057947368421059</c:v>
                </c:pt>
                <c:pt idx="50">
                  <c:v>0.95037380952380879</c:v>
                </c:pt>
                <c:pt idx="51">
                  <c:v>1.4334785714285725</c:v>
                </c:pt>
                <c:pt idx="52">
                  <c:v>1.5946071428571433</c:v>
                </c:pt>
                <c:pt idx="53">
                  <c:v>1.5145975000000003</c:v>
                </c:pt>
                <c:pt idx="54">
                  <c:v>1.7253295454545459</c:v>
                </c:pt>
                <c:pt idx="55">
                  <c:v>1.7074166666666666</c:v>
                </c:pt>
                <c:pt idx="56">
                  <c:v>1.4423119047619055</c:v>
                </c:pt>
                <c:pt idx="57">
                  <c:v>1.4803782608695646</c:v>
                </c:pt>
                <c:pt idx="58">
                  <c:v>1.306644736842105</c:v>
                </c:pt>
                <c:pt idx="59">
                  <c:v>1.5207886363636356</c:v>
                </c:pt>
                <c:pt idx="60">
                  <c:v>1.5576349999999999</c:v>
                </c:pt>
                <c:pt idx="61">
                  <c:v>1.8283105263157884</c:v>
                </c:pt>
                <c:pt idx="62">
                  <c:v>1.0415477272727269</c:v>
                </c:pt>
                <c:pt idx="63">
                  <c:v>1.2973795454545467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F-4CA7-BE56-9E53C021C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92800"/>
        <c:axId val="1540893280"/>
      </c:lineChart>
      <c:dateAx>
        <c:axId val="1540892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893280"/>
        <c:crosses val="autoZero"/>
        <c:auto val="1"/>
        <c:lblOffset val="100"/>
        <c:baseTimeUnit val="months"/>
        <c:majorUnit val="6"/>
        <c:majorTimeUnit val="months"/>
      </c:dateAx>
      <c:valAx>
        <c:axId val="154089328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USD/gal</a:t>
                </a:r>
              </a:p>
            </c:rich>
          </c:tx>
          <c:layout>
            <c:manualLayout>
              <c:xMode val="edge"/>
              <c:yMode val="edge"/>
              <c:x val="0"/>
              <c:y val="0.27868037328667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8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8381452318459"/>
          <c:y val="5.0925925925925923E-2"/>
          <c:w val="0.81647944006999118"/>
          <c:h val="0.7819903762029746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mensal!$AN$3:$AN$66</c:f>
              <c:numCache>
                <c:formatCode>mmm\-yy</c:formatCode>
                <c:ptCount val="6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</c:numCache>
            </c:numRef>
          </c:cat>
          <c:val>
            <c:numRef>
              <c:f>mensal!$AQ$3:$AQ$66</c:f>
              <c:numCache>
                <c:formatCode>_-* #,##0.000_-;\-* #,##0.000_-;_-* "-"??_-;_-@_-</c:formatCode>
                <c:ptCount val="64"/>
                <c:pt idx="0">
                  <c:v>1.5782947368421052</c:v>
                </c:pt>
                <c:pt idx="1">
                  <c:v>1.7851105263157894</c:v>
                </c:pt>
                <c:pt idx="2">
                  <c:v>1.8560478260869571</c:v>
                </c:pt>
                <c:pt idx="3">
                  <c:v>1.8617333333333335</c:v>
                </c:pt>
                <c:pt idx="4">
                  <c:v>2.0209100000000002</c:v>
                </c:pt>
                <c:pt idx="5">
                  <c:v>2.1204227272727274</c:v>
                </c:pt>
                <c:pt idx="6">
                  <c:v>2.1285523809523808</c:v>
                </c:pt>
                <c:pt idx="7">
                  <c:v>2.0715136363636364</c:v>
                </c:pt>
                <c:pt idx="8">
                  <c:v>2.2006428571428569</c:v>
                </c:pt>
                <c:pt idx="9">
                  <c:v>2.515680952380952</c:v>
                </c:pt>
                <c:pt idx="10">
                  <c:v>2.3742857142857141</c:v>
                </c:pt>
                <c:pt idx="11">
                  <c:v>2.2497454545454545</c:v>
                </c:pt>
                <c:pt idx="12">
                  <c:v>2.6084849999999999</c:v>
                </c:pt>
                <c:pt idx="13">
                  <c:v>2.8468421052631583</c:v>
                </c:pt>
                <c:pt idx="14">
                  <c:v>3.6522217391304346</c:v>
                </c:pt>
                <c:pt idx="15">
                  <c:v>3.8694800000000003</c:v>
                </c:pt>
                <c:pt idx="16">
                  <c:v>3.9247904761904766</c:v>
                </c:pt>
                <c:pt idx="17">
                  <c:v>4.3029142857142846</c:v>
                </c:pt>
                <c:pt idx="18">
                  <c:v>3.6402100000000006</c:v>
                </c:pt>
                <c:pt idx="19">
                  <c:v>3.5926869565217392</c:v>
                </c:pt>
                <c:pt idx="20">
                  <c:v>3.4098190476190475</c:v>
                </c:pt>
                <c:pt idx="21">
                  <c:v>3.9515619047619039</c:v>
                </c:pt>
                <c:pt idx="22">
                  <c:v>3.5568761904761907</c:v>
                </c:pt>
                <c:pt idx="23">
                  <c:v>3.1236714285714293</c:v>
                </c:pt>
                <c:pt idx="24">
                  <c:v>3.2275449999999992</c:v>
                </c:pt>
                <c:pt idx="25">
                  <c:v>2.828121052631579</c:v>
                </c:pt>
                <c:pt idx="26">
                  <c:v>2.735630434782609</c:v>
                </c:pt>
                <c:pt idx="27">
                  <c:v>2.5752263157894735</c:v>
                </c:pt>
                <c:pt idx="28">
                  <c:v>2.345477272727273</c:v>
                </c:pt>
                <c:pt idx="29">
                  <c:v>2.4134904761904767</c:v>
                </c:pt>
                <c:pt idx="30">
                  <c:v>2.6663399999999995</c:v>
                </c:pt>
                <c:pt idx="31">
                  <c:v>3.1147130434782606</c:v>
                </c:pt>
                <c:pt idx="32">
                  <c:v>3.3081800000000001</c:v>
                </c:pt>
                <c:pt idx="33">
                  <c:v>3.0666272727272723</c:v>
                </c:pt>
                <c:pt idx="34">
                  <c:v>2.8544714285714283</c:v>
                </c:pt>
                <c:pt idx="35">
                  <c:v>2.6201599999999998</c:v>
                </c:pt>
                <c:pt idx="36">
                  <c:v>2.6820142857142852</c:v>
                </c:pt>
                <c:pt idx="37">
                  <c:v>2.7747849999999996</c:v>
                </c:pt>
                <c:pt idx="38">
                  <c:v>2.67137</c:v>
                </c:pt>
                <c:pt idx="39">
                  <c:v>2.628731818181818</c:v>
                </c:pt>
                <c:pt idx="40">
                  <c:v>2.4411363636363639</c:v>
                </c:pt>
                <c:pt idx="41">
                  <c:v>2.4462526315789472</c:v>
                </c:pt>
                <c:pt idx="42">
                  <c:v>2.4921636363636366</c:v>
                </c:pt>
                <c:pt idx="43">
                  <c:v>2.3173318181818185</c:v>
                </c:pt>
                <c:pt idx="44">
                  <c:v>2.1370250000000004</c:v>
                </c:pt>
                <c:pt idx="45">
                  <c:v>2.2332086956521739</c:v>
                </c:pt>
                <c:pt idx="46">
                  <c:v>2.2384100000000005</c:v>
                </c:pt>
                <c:pt idx="47">
                  <c:v>2.223090476190476</c:v>
                </c:pt>
                <c:pt idx="48">
                  <c:v>2.4722952380952385</c:v>
                </c:pt>
                <c:pt idx="49">
                  <c:v>2.4309421052631577</c:v>
                </c:pt>
                <c:pt idx="50">
                  <c:v>2.236447619047619</c:v>
                </c:pt>
                <c:pt idx="51">
                  <c:v>2.1285571428571424</c:v>
                </c:pt>
                <c:pt idx="52">
                  <c:v>2.0817857142857141</c:v>
                </c:pt>
                <c:pt idx="53">
                  <c:v>2.2703149999999996</c:v>
                </c:pt>
                <c:pt idx="54">
                  <c:v>2.4205681818181821</c:v>
                </c:pt>
                <c:pt idx="55">
                  <c:v>2.277047619047619</c:v>
                </c:pt>
                <c:pt idx="56">
                  <c:v>2.3405095238095237</c:v>
                </c:pt>
                <c:pt idx="57">
                  <c:v>2.2876217391304343</c:v>
                </c:pt>
                <c:pt idx="58">
                  <c:v>2.4797894736842103</c:v>
                </c:pt>
                <c:pt idx="59">
                  <c:v>2.2092000000000001</c:v>
                </c:pt>
                <c:pt idx="60">
                  <c:v>2.3269150000000001</c:v>
                </c:pt>
                <c:pt idx="61">
                  <c:v>2.5007684210526318</c:v>
                </c:pt>
                <c:pt idx="62">
                  <c:v>3.8997590909090913</c:v>
                </c:pt>
                <c:pt idx="63">
                  <c:v>3.9499954545454541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6-4A41-AFFA-794ADFB31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92800"/>
        <c:axId val="1540893280"/>
      </c:lineChart>
      <c:dateAx>
        <c:axId val="15408928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893280"/>
        <c:crosses val="autoZero"/>
        <c:auto val="1"/>
        <c:lblOffset val="100"/>
        <c:baseTimeUnit val="months"/>
        <c:majorUnit val="6"/>
        <c:majorTimeUnit val="months"/>
      </c:dateAx>
      <c:valAx>
        <c:axId val="154089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USD/gal</a:t>
                </a:r>
              </a:p>
            </c:rich>
          </c:tx>
          <c:layout>
            <c:manualLayout>
              <c:xMode val="edge"/>
              <c:yMode val="edge"/>
              <c:x val="2.7777777777777779E-3"/>
              <c:y val="0.3248144502770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89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30480</xdr:colOff>
      <xdr:row>3</xdr:row>
      <xdr:rowOff>45720</xdr:rowOff>
    </xdr:from>
    <xdr:to>
      <xdr:col>55</xdr:col>
      <xdr:colOff>335280</xdr:colOff>
      <xdr:row>18</xdr:row>
      <xdr:rowOff>45720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0FDA16-458B-4C1A-985D-FF32A539B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15240</xdr:colOff>
      <xdr:row>18</xdr:row>
      <xdr:rowOff>76200</xdr:rowOff>
    </xdr:from>
    <xdr:to>
      <xdr:col>55</xdr:col>
      <xdr:colOff>320040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0957181-9E83-4046-B29F-9173E91E1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runetti" refreshedDate="46146.60468611111" createdVersion="8" refreshedVersion="8" minRefreshableVersion="3" recordCount="1624" xr:uid="{CF713113-E520-4846-A8EB-5B9B3E71E21D}">
  <cacheSource type="worksheet">
    <worksheetSource ref="B4:J1628" sheet="ENERGIA"/>
  </cacheSource>
  <cacheFields count="9">
    <cacheField name="ANO" numFmtId="0">
      <sharedItems containsSemiMixedTypes="0" containsString="0" containsNumber="1" containsInteger="1" minValue="2020" maxValue="2026" count="7">
        <n v="2026"/>
        <n v="2025"/>
        <n v="2024"/>
        <n v="2023"/>
        <n v="2022"/>
        <n v="2021"/>
        <n v="2020"/>
      </sharedItems>
    </cacheField>
    <cacheField name="MÊS" numFmtId="0">
      <sharedItems containsSemiMixedTypes="0" containsString="0" containsNumber="1" containsInteger="1" minValue="1" maxValue="12" count="12">
        <n v="5"/>
        <n v="4"/>
        <n v="3"/>
        <n v="2"/>
        <n v="1"/>
        <n v="12"/>
        <n v="11"/>
        <n v="10"/>
        <n v="9"/>
        <n v="8"/>
        <n v="7"/>
        <n v="6"/>
      </sharedItems>
    </cacheField>
    <cacheField name="Campo3" caption="Campo3" numFmtId="14">
      <sharedItems containsSemiMixedTypes="0" containsNonDate="0" containsDate="1" containsString="0" minDate="2020-02-12T00:00:00" maxDate="2026-05-05T00:00:00"/>
    </cacheField>
    <cacheField name="LCOc1" numFmtId="0">
      <sharedItems containsString="0" containsBlank="1" containsNumber="1" minValue="19.329999999999998" maxValue="127.98"/>
    </cacheField>
    <cacheField name="CLc1" numFmtId="0">
      <sharedItems containsString="0" containsBlank="1" containsNumber="1" minValue="-37.630000000000003" maxValue="123.7"/>
    </cacheField>
    <cacheField name="HOc1" numFmtId="0">
      <sharedItems containsString="0" containsBlank="1" containsNumber="1" minValue="0.61040000000000005" maxValue="5.1353999999999997"/>
    </cacheField>
    <cacheField name="RBc1" numFmtId="0">
      <sharedItems containsString="0" containsBlank="1" containsNumber="1" minValue="0.4118" maxValue="4.2762000000000002"/>
    </cacheField>
    <cacheField name="NGc1" numFmtId="0">
      <sharedItems containsString="0" containsBlank="1" containsNumber="1" minValue="1.482" maxValue="9.68"/>
    </cacheField>
    <cacheField name="BRL=" numFmtId="0">
      <sharedItems containsSemiMixedTypes="0" containsString="0" containsNumber="1" minValue="4.2973999999999997" maxValue="6.2896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runetti" refreshedDate="46146.604751736108" createdVersion="8" refreshedVersion="8" minRefreshableVersion="3" recordCount="2984" xr:uid="{BE295524-9321-4E0F-95C1-F2DC22E4C521}">
  <cacheSource type="worksheet">
    <worksheetSource ref="B4:J2988" sheet="AGRO"/>
  </cacheSource>
  <cacheFields count="9">
    <cacheField name="ANO" numFmtId="0">
      <sharedItems containsSemiMixedTypes="0" containsString="0" containsNumber="1" containsInteger="1" minValue="1900" maxValue="2026" count="13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1900"/>
      </sharedItems>
    </cacheField>
    <cacheField name="MÊS" numFmtId="0">
      <sharedItems containsSemiMixedTypes="0" containsString="0" containsNumber="1" containsInteger="1" minValue="1" maxValue="12" count="12">
        <n v="5"/>
        <n v="4"/>
        <n v="3"/>
        <n v="2"/>
        <n v="1"/>
        <n v="12"/>
        <n v="11"/>
        <n v="10"/>
        <n v="9"/>
        <n v="8"/>
        <n v="7"/>
        <n v="6"/>
      </sharedItems>
    </cacheField>
    <cacheField name="Campo3" caption="Campo3" numFmtId="0">
      <sharedItems containsNonDate="0" containsDate="1" containsString="0" containsBlank="1" minDate="2015-01-01T00:00:00" maxDate="2026-05-05T00:00:00"/>
    </cacheField>
    <cacheField name="Cc1" numFmtId="0">
      <sharedItems containsString="0" containsBlank="1" containsNumber="1" minValue="301.5" maxValue="818.25"/>
    </cacheField>
    <cacheField name="Sc1" numFmtId="0">
      <sharedItems containsString="0" containsBlank="1" containsNumber="1" minValue="791" maxValue="1769"/>
    </cacheField>
    <cacheField name="SMc1" numFmtId="0">
      <sharedItems containsString="0" containsBlank="1" containsNumber="1" minValue="257.2" maxValue="521.9"/>
    </cacheField>
    <cacheField name="Wc1" numFmtId="0">
      <sharedItems containsString="0" containsBlank="1" containsNumber="1" minValue="361" maxValue="1425.25"/>
    </cacheField>
    <cacheField name="BOc1" numFmtId="0">
      <sharedItems containsString="0" containsBlank="1" containsNumber="1" minValue="24.99" maxValue="90.6"/>
    </cacheField>
    <cacheField name="BRL=" numFmtId="0">
      <sharedItems containsString="0" containsBlank="1" containsNumber="1" minValue="2.5722" maxValue="6.2896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4">
  <r>
    <x v="0"/>
    <x v="0"/>
    <d v="2026-05-04T00:00:00"/>
    <n v="113.85"/>
    <n v="105.12"/>
    <n v="4.0872999999999999"/>
    <n v="3.7313999999999998"/>
    <n v="2.8740000000000001"/>
    <n v="4.9710000000000001"/>
  </r>
  <r>
    <x v="0"/>
    <x v="0"/>
    <d v="2026-05-01T00:00:00"/>
    <n v="108.17"/>
    <n v="101.94"/>
    <n v="3.9464000000000001"/>
    <n v="3.5952000000000002"/>
    <n v="2.78"/>
    <n v="4.9550000000000001"/>
  </r>
  <r>
    <x v="0"/>
    <x v="1"/>
    <d v="2026-04-30T00:00:00"/>
    <n v="114.01"/>
    <n v="105.07"/>
    <n v="4.1383999999999999"/>
    <n v="3.7715000000000001"/>
    <n v="2.7669999999999999"/>
    <n v="4.9539"/>
  </r>
  <r>
    <x v="0"/>
    <x v="1"/>
    <d v="2026-04-29T00:00:00"/>
    <n v="118.03"/>
    <n v="106.88"/>
    <n v="4.1986999999999997"/>
    <n v="3.7410999999999999"/>
    <n v="2.6469999999999998"/>
    <n v="4.9960000000000004"/>
  </r>
  <r>
    <x v="0"/>
    <x v="1"/>
    <d v="2026-04-28T00:00:00"/>
    <n v="111.26"/>
    <n v="99.93"/>
    <n v="3.9712000000000001"/>
    <n v="3.5604"/>
    <n v="2.5590000000000002"/>
    <n v="4.9739000000000004"/>
  </r>
  <r>
    <x v="0"/>
    <x v="1"/>
    <d v="2026-04-27T00:00:00"/>
    <n v="108.23"/>
    <n v="96.37"/>
    <n v="3.9746999999999999"/>
    <n v="3.4910000000000001"/>
    <n v="2.5499999999999998"/>
    <n v="4.9828999999999999"/>
  </r>
  <r>
    <x v="0"/>
    <x v="1"/>
    <d v="2026-04-24T00:00:00"/>
    <n v="105.33"/>
    <n v="94.4"/>
    <n v="3.8874"/>
    <n v="3.4626000000000001"/>
    <n v="2.5230000000000001"/>
    <n v="4.9798"/>
  </r>
  <r>
    <x v="0"/>
    <x v="1"/>
    <d v="2026-04-23T00:00:00"/>
    <n v="105.07"/>
    <n v="95.85"/>
    <n v="3.9882"/>
    <n v="3.4621"/>
    <n v="2.6139999999999999"/>
    <n v="5.0202999999999998"/>
  </r>
  <r>
    <x v="0"/>
    <x v="1"/>
    <d v="2026-04-22T00:00:00"/>
    <n v="101.91"/>
    <n v="92.96"/>
    <n v="3.9379"/>
    <n v="3.3578999999999999"/>
    <n v="2.722"/>
    <n v="4.9625000000000004"/>
  </r>
  <r>
    <x v="0"/>
    <x v="1"/>
    <d v="2026-04-21T00:00:00"/>
    <n v="98.48"/>
    <n v="92.13"/>
    <n v="3.7288000000000001"/>
    <n v="3.2098"/>
    <n v="2.6970000000000001"/>
    <n v="4.9535"/>
  </r>
  <r>
    <x v="0"/>
    <x v="1"/>
    <d v="2026-04-20T00:00:00"/>
    <n v="95.48"/>
    <n v="89.61"/>
    <n v="3.5409000000000002"/>
    <n v="3.1168"/>
    <n v="2.6890000000000001"/>
    <n v="4.9660000000000002"/>
  </r>
  <r>
    <x v="0"/>
    <x v="1"/>
    <d v="2026-04-17T00:00:00"/>
    <n v="90.38"/>
    <n v="83.85"/>
    <n v="3.3974000000000002"/>
    <n v="3.0047999999999999"/>
    <n v="2.6739999999999999"/>
    <n v="4.9782000000000002"/>
  </r>
  <r>
    <x v="0"/>
    <x v="1"/>
    <d v="2026-04-16T00:00:00"/>
    <n v="99.39"/>
    <n v="94.69"/>
    <n v="3.8329"/>
    <n v="3.1637"/>
    <n v="2.6469999999999998"/>
    <n v="4.992"/>
  </r>
  <r>
    <x v="0"/>
    <x v="1"/>
    <d v="2026-04-15T00:00:00"/>
    <n v="94.93"/>
    <n v="91.29"/>
    <n v="3.7532000000000001"/>
    <n v="3.0691999999999999"/>
    <n v="2.61"/>
    <n v="4.9931000000000001"/>
  </r>
  <r>
    <x v="0"/>
    <x v="1"/>
    <d v="2026-04-14T00:00:00"/>
    <n v="94.79"/>
    <n v="91.28"/>
    <n v="3.6242999999999999"/>
    <n v="3.0394999999999999"/>
    <n v="2.5990000000000002"/>
    <n v="4.9874000000000001"/>
  </r>
  <r>
    <x v="0"/>
    <x v="1"/>
    <d v="2026-04-13T00:00:00"/>
    <n v="99.36"/>
    <n v="99.08"/>
    <n v="3.8340999999999998"/>
    <n v="3.1160000000000001"/>
    <n v="2.6269999999999998"/>
    <n v="4.9961000000000002"/>
  </r>
  <r>
    <x v="0"/>
    <x v="1"/>
    <d v="2026-04-10T00:00:00"/>
    <n v="95.2"/>
    <n v="96.57"/>
    <n v="3.7616000000000001"/>
    <n v="3.0373000000000001"/>
    <n v="2.6480000000000001"/>
    <n v="5.0034000000000001"/>
  </r>
  <r>
    <x v="0"/>
    <x v="1"/>
    <d v="2026-04-09T00:00:00"/>
    <n v="95.92"/>
    <n v="97.87"/>
    <n v="3.9369999999999998"/>
    <n v="3.0007000000000001"/>
    <n v="2.67"/>
    <n v="5.0572999999999997"/>
  </r>
  <r>
    <x v="0"/>
    <x v="1"/>
    <d v="2026-04-08T00:00:00"/>
    <n v="94.75"/>
    <n v="94.41"/>
    <n v="3.8083999999999998"/>
    <n v="3.0059"/>
    <n v="2.7240000000000002"/>
    <n v="5.0986000000000002"/>
  </r>
  <r>
    <x v="0"/>
    <x v="1"/>
    <d v="2026-04-07T00:00:00"/>
    <n v="109.27"/>
    <n v="112.95"/>
    <n v="4.4774000000000003"/>
    <n v="3.3052000000000001"/>
    <n v="2.87"/>
    <n v="5.1532999999999998"/>
  </r>
  <r>
    <x v="0"/>
    <x v="1"/>
    <d v="2026-04-06T00:00:00"/>
    <n v="109.77"/>
    <n v="112.41"/>
    <n v="4.3284000000000002"/>
    <n v="3.3081999999999998"/>
    <n v="2.8109999999999999"/>
    <n v="5.1393000000000004"/>
  </r>
  <r>
    <x v="0"/>
    <x v="1"/>
    <d v="2026-04-03T00:00:00"/>
    <m/>
    <n v="111.54"/>
    <n v="4.3611000000000004"/>
    <n v="3.2879999999999998"/>
    <n v="2.8"/>
    <n v="5.1567999999999996"/>
  </r>
  <r>
    <x v="0"/>
    <x v="1"/>
    <d v="2026-04-02T00:00:00"/>
    <n v="109.03"/>
    <n v="111.54"/>
    <n v="4.3611000000000004"/>
    <n v="3.2879999999999998"/>
    <n v="2.8"/>
    <n v="5.1571999999999996"/>
  </r>
  <r>
    <x v="0"/>
    <x v="1"/>
    <d v="2026-04-01T00:00:00"/>
    <n v="101.16"/>
    <n v="100.12"/>
    <n v="4.0568"/>
    <n v="3.0914000000000001"/>
    <n v="2.819"/>
    <n v="5.1546000000000003"/>
  </r>
  <r>
    <x v="0"/>
    <x v="2"/>
    <d v="2026-03-31T00:00:00"/>
    <n v="118.35"/>
    <n v="101.38"/>
    <n v="4.1634000000000002"/>
    <n v="3.3123"/>
    <n v="2.8839999999999999"/>
    <n v="5.1813000000000002"/>
  </r>
  <r>
    <x v="0"/>
    <x v="2"/>
    <d v="2026-03-30T00:00:00"/>
    <n v="112.78"/>
    <n v="102.88"/>
    <n v="4.3643000000000001"/>
    <n v="3.3515000000000001"/>
    <n v="2.887"/>
    <n v="5.2519999999999998"/>
  </r>
  <r>
    <x v="0"/>
    <x v="2"/>
    <d v="2026-03-27T00:00:00"/>
    <n v="112.57"/>
    <n v="99.64"/>
    <n v="4.4954999999999998"/>
    <n v="3.2501000000000002"/>
    <n v="3.0950000000000002"/>
    <n v="5.2374000000000001"/>
  </r>
  <r>
    <x v="0"/>
    <x v="2"/>
    <d v="2026-03-26T00:00:00"/>
    <n v="108.01"/>
    <n v="94.48"/>
    <n v="4.2733999999999996"/>
    <n v="3.1301999999999999"/>
    <n v="2.9990000000000001"/>
    <n v="5.2401"/>
  </r>
  <r>
    <x v="0"/>
    <x v="2"/>
    <d v="2026-03-25T00:00:00"/>
    <n v="102.22"/>
    <n v="90.32"/>
    <n v="4.0063000000000004"/>
    <n v="3.0124"/>
    <n v="2.952"/>
    <n v="5.2267999999999999"/>
  </r>
  <r>
    <x v="0"/>
    <x v="2"/>
    <d v="2026-03-24T00:00:00"/>
    <n v="104.49"/>
    <n v="92.35"/>
    <n v="4.2908999999999997"/>
    <n v="3.1480000000000001"/>
    <n v="2.9430000000000001"/>
    <n v="5.2331000000000003"/>
  </r>
  <r>
    <x v="0"/>
    <x v="2"/>
    <d v="2026-03-23T00:00:00"/>
    <n v="99.94"/>
    <n v="88.13"/>
    <n v="4.056"/>
    <n v="2.9748999999999999"/>
    <n v="2.891"/>
    <n v="5.2331000000000003"/>
  </r>
  <r>
    <x v="0"/>
    <x v="2"/>
    <d v="2026-03-20T00:00:00"/>
    <n v="112.19"/>
    <n v="98.32"/>
    <n v="4.6083999999999996"/>
    <n v="3.2862"/>
    <n v="3.0950000000000002"/>
    <n v="5.3136000000000001"/>
  </r>
  <r>
    <x v="0"/>
    <x v="2"/>
    <d v="2026-03-19T00:00:00"/>
    <n v="108.65"/>
    <n v="96.14"/>
    <n v="4.3419999999999996"/>
    <n v="3.1271"/>
    <n v="3.1659999999999999"/>
    <n v="5.2198000000000002"/>
  </r>
  <r>
    <x v="0"/>
    <x v="2"/>
    <d v="2026-03-18T00:00:00"/>
    <n v="107.38"/>
    <n v="96.32"/>
    <n v="4.1978"/>
    <n v="3.0985"/>
    <n v="3.0649999999999999"/>
    <n v="5.2672999999999996"/>
  </r>
  <r>
    <x v="0"/>
    <x v="2"/>
    <d v="2026-03-17T00:00:00"/>
    <n v="103.42"/>
    <n v="96.21"/>
    <n v="4.0157999999999996"/>
    <n v="3.1234000000000002"/>
    <n v="3.0329999999999999"/>
    <n v="5.1923000000000004"/>
  </r>
  <r>
    <x v="0"/>
    <x v="2"/>
    <d v="2026-03-16T00:00:00"/>
    <n v="100.21"/>
    <n v="93.5"/>
    <n v="3.8374999999999999"/>
    <n v="3.0003000000000002"/>
    <n v="3.0230000000000001"/>
    <n v="5.2309999999999999"/>
  </r>
  <r>
    <x v="0"/>
    <x v="2"/>
    <d v="2026-03-13T00:00:00"/>
    <n v="103.14"/>
    <n v="98.71"/>
    <n v="4.0147000000000004"/>
    <n v="3.0413999999999999"/>
    <n v="3.1309999999999998"/>
    <n v="5.3231999999999999"/>
  </r>
  <r>
    <x v="0"/>
    <x v="2"/>
    <d v="2026-03-12T00:00:00"/>
    <n v="100.46"/>
    <n v="95.73"/>
    <n v="3.8988999999999998"/>
    <n v="2.9645999999999999"/>
    <n v="3.2330000000000001"/>
    <n v="5.2438000000000002"/>
  </r>
  <r>
    <x v="0"/>
    <x v="2"/>
    <d v="2026-03-11T00:00:00"/>
    <n v="91.98"/>
    <n v="87.25"/>
    <n v="3.6787999999999998"/>
    <n v="2.7883"/>
    <n v="3.2090000000000001"/>
    <n v="5.1569000000000003"/>
  </r>
  <r>
    <x v="0"/>
    <x v="2"/>
    <d v="2026-03-10T00:00:00"/>
    <n v="87.8"/>
    <n v="83.45"/>
    <n v="3.3466"/>
    <n v="2.6402999999999999"/>
    <n v="3.02"/>
    <n v="5.1593999999999998"/>
  </r>
  <r>
    <x v="0"/>
    <x v="2"/>
    <d v="2026-03-09T00:00:00"/>
    <n v="98.96"/>
    <n v="94.77"/>
    <n v="3.5865999999999998"/>
    <n v="2.8083999999999998"/>
    <n v="3.12"/>
    <n v="5.1601999999999997"/>
  </r>
  <r>
    <x v="0"/>
    <x v="2"/>
    <d v="2026-03-06T00:00:00"/>
    <n v="92.69"/>
    <n v="90.9"/>
    <n v="3.6223999999999998"/>
    <n v="2.7465999999999999"/>
    <n v="3.1859999999999999"/>
    <n v="5.2439999999999998"/>
  </r>
  <r>
    <x v="0"/>
    <x v="2"/>
    <d v="2026-03-05T00:00:00"/>
    <n v="85.41"/>
    <n v="81.010000000000005"/>
    <n v="3.6143000000000001"/>
    <n v="2.6709000000000001"/>
    <n v="3.0030000000000001"/>
    <n v="5.2638999999999996"/>
  </r>
  <r>
    <x v="0"/>
    <x v="2"/>
    <d v="2026-03-04T00:00:00"/>
    <n v="81.400000000000006"/>
    <n v="74.66"/>
    <n v="3.2938000000000001"/>
    <n v="2.5148999999999999"/>
    <n v="2.9169999999999998"/>
    <n v="5.2312000000000003"/>
  </r>
  <r>
    <x v="0"/>
    <x v="2"/>
    <d v="2026-03-03T00:00:00"/>
    <n v="81.400000000000006"/>
    <n v="74.56"/>
    <n v="3.1869000000000001"/>
    <n v="2.4573999999999998"/>
    <n v="3.0539999999999998"/>
    <n v="5.2770000000000001"/>
  </r>
  <r>
    <x v="0"/>
    <x v="2"/>
    <d v="2026-03-02T00:00:00"/>
    <n v="77.739999999999995"/>
    <n v="71.23"/>
    <n v="2.9003999999999999"/>
    <n v="2.3706"/>
    <n v="2.96"/>
    <n v="5.1711999999999998"/>
  </r>
  <r>
    <x v="0"/>
    <x v="3"/>
    <d v="2026-02-27T00:00:00"/>
    <n v="72.48"/>
    <n v="67.02"/>
    <n v="2.6709000000000001"/>
    <n v="2.0779000000000001"/>
    <n v="2.859"/>
    <n v="5.13"/>
  </r>
  <r>
    <x v="0"/>
    <x v="3"/>
    <d v="2026-02-26T00:00:00"/>
    <n v="70.75"/>
    <n v="65.209999999999994"/>
    <n v="2.6124999999999998"/>
    <n v="2.0323000000000002"/>
    <n v="2.827"/>
    <n v="5.1369999999999996"/>
  </r>
  <r>
    <x v="0"/>
    <x v="3"/>
    <d v="2026-02-25T00:00:00"/>
    <n v="70.849999999999994"/>
    <n v="65.42"/>
    <n v="2.6739999999999999"/>
    <n v="1.9914000000000001"/>
    <n v="2.9689999999999999"/>
    <n v="5.1246"/>
  </r>
  <r>
    <x v="0"/>
    <x v="3"/>
    <d v="2026-02-24T00:00:00"/>
    <n v="70.77"/>
    <n v="65.63"/>
    <n v="2.6869000000000001"/>
    <n v="1.9714"/>
    <n v="2.915"/>
    <n v="5.1536999999999997"/>
  </r>
  <r>
    <x v="0"/>
    <x v="3"/>
    <d v="2026-02-23T00:00:00"/>
    <n v="71.489999999999995"/>
    <n v="66.31"/>
    <n v="2.6781999999999999"/>
    <n v="1.9892000000000001"/>
    <n v="2.9849999999999999"/>
    <n v="5.1718000000000002"/>
  </r>
  <r>
    <x v="0"/>
    <x v="3"/>
    <d v="2026-02-20T00:00:00"/>
    <n v="71.760000000000005"/>
    <n v="66.39"/>
    <n v="2.5857999999999999"/>
    <n v="1.9973000000000001"/>
    <n v="3.0470000000000002"/>
    <n v="5.1763000000000003"/>
  </r>
  <r>
    <x v="0"/>
    <x v="3"/>
    <d v="2026-02-19T00:00:00"/>
    <n v="71.66"/>
    <n v="66.430000000000007"/>
    <n v="2.6147"/>
    <n v="2.0066000000000002"/>
    <n v="2.996"/>
    <n v="5.2103999999999999"/>
  </r>
  <r>
    <x v="0"/>
    <x v="3"/>
    <d v="2026-02-18T00:00:00"/>
    <n v="70.349999999999994"/>
    <n v="65.19"/>
    <n v="2.5186999999999999"/>
    <n v="1.968"/>
    <n v="3.0110000000000001"/>
    <n v="5.2354000000000003"/>
  </r>
  <r>
    <x v="0"/>
    <x v="3"/>
    <d v="2026-02-17T00:00:00"/>
    <n v="67.42"/>
    <n v="62.33"/>
    <n v="2.3906000000000001"/>
    <n v="1.9144000000000001"/>
    <n v="3.0310000000000001"/>
    <n v="5.2228000000000003"/>
  </r>
  <r>
    <x v="0"/>
    <x v="3"/>
    <d v="2026-02-16T00:00:00"/>
    <n v="68.650000000000006"/>
    <m/>
    <m/>
    <m/>
    <m/>
    <n v="5.2240000000000002"/>
  </r>
  <r>
    <x v="0"/>
    <x v="3"/>
    <d v="2026-02-13T00:00:00"/>
    <n v="67.75"/>
    <n v="62.89"/>
    <n v="2.3879000000000001"/>
    <n v="1.911"/>
    <n v="3.2429999999999999"/>
    <n v="5.2191000000000001"/>
  </r>
  <r>
    <x v="0"/>
    <x v="3"/>
    <d v="2026-02-12T00:00:00"/>
    <n v="67.52"/>
    <n v="62.84"/>
    <n v="2.3927"/>
    <n v="1.9158999999999999"/>
    <n v="3.2170000000000001"/>
    <n v="5.2115"/>
  </r>
  <r>
    <x v="0"/>
    <x v="3"/>
    <d v="2026-02-11T00:00:00"/>
    <n v="69.400000000000006"/>
    <n v="64.63"/>
    <n v="2.4403999999999999"/>
    <n v="1.9789000000000001"/>
    <n v="3.1589999999999998"/>
    <n v="5.1832000000000003"/>
  </r>
  <r>
    <x v="0"/>
    <x v="3"/>
    <d v="2026-02-10T00:00:00"/>
    <n v="68.8"/>
    <n v="63.96"/>
    <n v="2.3988"/>
    <n v="1.9592000000000001"/>
    <n v="3.1150000000000002"/>
    <n v="5.1920000000000002"/>
  </r>
  <r>
    <x v="0"/>
    <x v="3"/>
    <d v="2026-02-09T00:00:00"/>
    <n v="69.040000000000006"/>
    <n v="64.36"/>
    <n v="2.4169"/>
    <n v="1.9855"/>
    <n v="3.1379999999999999"/>
    <n v="5.1929999999999996"/>
  </r>
  <r>
    <x v="0"/>
    <x v="3"/>
    <d v="2026-02-06T00:00:00"/>
    <n v="68.05"/>
    <n v="63.55"/>
    <n v="2.4133"/>
    <n v="1.9532"/>
    <n v="3.4220000000000002"/>
    <n v="5.2165999999999997"/>
  </r>
  <r>
    <x v="0"/>
    <x v="3"/>
    <d v="2026-02-05T00:00:00"/>
    <n v="67.55"/>
    <n v="63.29"/>
    <n v="2.3932000000000002"/>
    <n v="1.9266000000000001"/>
    <n v="3.5089999999999999"/>
    <n v="5.2723000000000004"/>
  </r>
  <r>
    <x v="0"/>
    <x v="3"/>
    <d v="2026-02-04T00:00:00"/>
    <n v="69.459999999999994"/>
    <n v="65.14"/>
    <n v="2.4700000000000002"/>
    <n v="1.9652000000000001"/>
    <n v="3.4649999999999999"/>
    <n v="5.2389999999999999"/>
  </r>
  <r>
    <x v="0"/>
    <x v="3"/>
    <d v="2026-02-03T00:00:00"/>
    <n v="67.33"/>
    <n v="63.21"/>
    <n v="2.4093"/>
    <n v="1.8978999999999999"/>
    <n v="3.3109999999999999"/>
    <n v="5.2386999999999997"/>
  </r>
  <r>
    <x v="0"/>
    <x v="3"/>
    <d v="2026-02-02T00:00:00"/>
    <n v="66.3"/>
    <n v="62.14"/>
    <n v="2.3597999999999999"/>
    <n v="1.8513999999999999"/>
    <n v="3.2370000000000001"/>
    <n v="5.2603999999999997"/>
  </r>
  <r>
    <x v="0"/>
    <x v="4"/>
    <d v="2026-01-30T00:00:00"/>
    <n v="70.69"/>
    <n v="65.209999999999994"/>
    <n v="2.7355999999999998"/>
    <n v="1.9228000000000001"/>
    <n v="4.3540000000000001"/>
    <n v="5.2571000000000003"/>
  </r>
  <r>
    <x v="0"/>
    <x v="4"/>
    <d v="2026-01-29T00:00:00"/>
    <n v="70.709999999999994"/>
    <n v="65.42"/>
    <n v="2.5853999999999999"/>
    <n v="1.92"/>
    <n v="3.9180000000000001"/>
    <n v="5.1898"/>
  </r>
  <r>
    <x v="0"/>
    <x v="4"/>
    <d v="2026-01-28T00:00:00"/>
    <n v="68.400000000000006"/>
    <n v="63.21"/>
    <n v="2.6661000000000001"/>
    <n v="1.8923000000000001"/>
    <n v="7.46"/>
    <n v="5.1939000000000002"/>
  </r>
  <r>
    <x v="0"/>
    <x v="4"/>
    <d v="2026-01-27T00:00:00"/>
    <n v="67.569999999999993"/>
    <n v="62.39"/>
    <n v="2.6461999999999999"/>
    <n v="1.8652"/>
    <n v="6.9539999999999997"/>
    <n v="5.1806000000000001"/>
  </r>
  <r>
    <x v="0"/>
    <x v="4"/>
    <d v="2026-01-26T00:00:00"/>
    <n v="65.59"/>
    <n v="60.63"/>
    <n v="2.5680000000000001"/>
    <n v="1.8201000000000001"/>
    <n v="6.8"/>
    <n v="5.2809999999999997"/>
  </r>
  <r>
    <x v="0"/>
    <x v="4"/>
    <d v="2026-01-23T00:00:00"/>
    <n v="65.88"/>
    <n v="61.07"/>
    <n v="2.4285000000000001"/>
    <n v="1.851"/>
    <n v="5.2750000000000004"/>
    <n v="5.2895000000000003"/>
  </r>
  <r>
    <x v="0"/>
    <x v="4"/>
    <d v="2026-01-22T00:00:00"/>
    <n v="64.06"/>
    <n v="59.36"/>
    <n v="2.3668"/>
    <n v="1.8171999999999999"/>
    <n v="5.0449999999999999"/>
    <n v="5.2843999999999998"/>
  </r>
  <r>
    <x v="0"/>
    <x v="4"/>
    <d v="2026-01-21T00:00:00"/>
    <n v="65.239999999999995"/>
    <n v="60.62"/>
    <n v="2.4304999999999999"/>
    <n v="1.8573999999999999"/>
    <n v="4.875"/>
    <n v="5.3196000000000003"/>
  </r>
  <r>
    <x v="0"/>
    <x v="4"/>
    <d v="2026-01-20T00:00:00"/>
    <n v="64.92"/>
    <n v="60.34"/>
    <n v="2.3384999999999998"/>
    <n v="1.8238000000000001"/>
    <n v="3.907"/>
    <n v="5.3764000000000003"/>
  </r>
  <r>
    <x v="0"/>
    <x v="4"/>
    <d v="2026-01-19T00:00:00"/>
    <n v="63.94"/>
    <m/>
    <m/>
    <m/>
    <m/>
    <n v="5.3696999999999999"/>
  </r>
  <r>
    <x v="0"/>
    <x v="4"/>
    <d v="2026-01-16T00:00:00"/>
    <n v="64.13"/>
    <n v="59.44"/>
    <n v="2.2376"/>
    <n v="1.7851999999999999"/>
    <n v="3.1030000000000002"/>
    <n v="5.3693999999999997"/>
  </r>
  <r>
    <x v="0"/>
    <x v="4"/>
    <d v="2026-01-15T00:00:00"/>
    <n v="63.76"/>
    <n v="59.19"/>
    <n v="2.2082999999999999"/>
    <n v="1.7838000000000001"/>
    <n v="3.1280000000000001"/>
    <n v="5.3677999999999999"/>
  </r>
  <r>
    <x v="0"/>
    <x v="4"/>
    <d v="2026-01-14T00:00:00"/>
    <n v="66.52"/>
    <n v="62.02"/>
    <n v="2.2818999999999998"/>
    <n v="1.8304"/>
    <n v="3.12"/>
    <n v="5.3967000000000001"/>
  </r>
  <r>
    <x v="0"/>
    <x v="4"/>
    <d v="2026-01-13T00:00:00"/>
    <n v="65.47"/>
    <n v="61.15"/>
    <n v="2.2383999999999999"/>
    <n v="1.8265"/>
    <n v="3.419"/>
    <n v="5.3723000000000001"/>
  </r>
  <r>
    <x v="0"/>
    <x v="4"/>
    <d v="2026-01-12T00:00:00"/>
    <n v="63.87"/>
    <n v="59.5"/>
    <n v="2.1543999999999999"/>
    <n v="1.7938000000000001"/>
    <n v="3.4089999999999998"/>
    <n v="5.3752000000000004"/>
  </r>
  <r>
    <x v="0"/>
    <x v="4"/>
    <d v="2026-01-09T00:00:00"/>
    <n v="63.34"/>
    <n v="59.12"/>
    <n v="2.1349999999999998"/>
    <n v="1.7806"/>
    <n v="3.169"/>
    <n v="5.3708"/>
  </r>
  <r>
    <x v="0"/>
    <x v="4"/>
    <d v="2026-01-08T00:00:00"/>
    <n v="61.99"/>
    <n v="57.76"/>
    <n v="2.1194999999999999"/>
    <n v="1.7603"/>
    <n v="3.407"/>
    <n v="5.3878000000000004"/>
  </r>
  <r>
    <x v="0"/>
    <x v="4"/>
    <d v="2026-01-07T00:00:00"/>
    <n v="59.96"/>
    <n v="55.99"/>
    <n v="2.0567000000000002"/>
    <n v="1.6944999999999999"/>
    <n v="3.5249999999999999"/>
    <n v="5.3848000000000003"/>
  </r>
  <r>
    <x v="0"/>
    <x v="4"/>
    <d v="2026-01-06T00:00:00"/>
    <n v="60.7"/>
    <n v="57.13"/>
    <n v="2.0830000000000002"/>
    <n v="1.7005999999999999"/>
    <n v="3.35"/>
    <n v="5.3718000000000004"/>
  </r>
  <r>
    <x v="0"/>
    <x v="4"/>
    <d v="2026-01-05T00:00:00"/>
    <n v="61.76"/>
    <n v="58.32"/>
    <n v="2.1427999999999998"/>
    <n v="1.72"/>
    <n v="3.5230000000000001"/>
    <n v="5.4093999999999998"/>
  </r>
  <r>
    <x v="0"/>
    <x v="4"/>
    <d v="2026-01-02T00:00:00"/>
    <n v="60.75"/>
    <n v="57.32"/>
    <n v="2.1151"/>
    <n v="1.6981999999999999"/>
    <n v="3.6179999999999999"/>
    <n v="5.4222999999999999"/>
  </r>
  <r>
    <x v="0"/>
    <x v="4"/>
    <d v="2026-01-01T00:00:00"/>
    <m/>
    <m/>
    <m/>
    <m/>
    <m/>
    <n v="5.4770000000000003"/>
  </r>
  <r>
    <x v="1"/>
    <x v="5"/>
    <d v="2025-12-31T00:00:00"/>
    <n v="60.85"/>
    <n v="57.42"/>
    <n v="2.1206"/>
    <n v="1.7054"/>
    <n v="3.6859999999999999"/>
    <n v="5.4770000000000003"/>
  </r>
  <r>
    <x v="1"/>
    <x v="5"/>
    <d v="2025-12-30T00:00:00"/>
    <n v="61.92"/>
    <n v="57.95"/>
    <n v="2.1505000000000001"/>
    <n v="1.7210000000000001"/>
    <n v="3.972"/>
    <n v="5.4770000000000003"/>
  </r>
  <r>
    <x v="1"/>
    <x v="5"/>
    <d v="2025-12-29T00:00:00"/>
    <n v="61.94"/>
    <n v="58.08"/>
    <n v="2.1274999999999999"/>
    <n v="1.7152000000000001"/>
    <n v="4.6870000000000003"/>
    <n v="5.5701999999999998"/>
  </r>
  <r>
    <x v="1"/>
    <x v="5"/>
    <d v="2025-12-26T00:00:00"/>
    <n v="60.64"/>
    <n v="56.74"/>
    <n v="2.1070000000000002"/>
    <n v="1.6971000000000001"/>
    <n v="4.3659999999999997"/>
    <n v="5.5434000000000001"/>
  </r>
  <r>
    <x v="1"/>
    <x v="5"/>
    <d v="2025-12-25T00:00:00"/>
    <m/>
    <m/>
    <m/>
    <m/>
    <m/>
    <n v="5.52"/>
  </r>
  <r>
    <x v="1"/>
    <x v="5"/>
    <d v="2025-12-24T00:00:00"/>
    <n v="62.24"/>
    <n v="58.35"/>
    <n v="2.1576"/>
    <n v="1.7471000000000001"/>
    <n v="4.242"/>
    <n v="5.52"/>
  </r>
  <r>
    <x v="1"/>
    <x v="5"/>
    <d v="2025-12-23T00:00:00"/>
    <n v="62.38"/>
    <n v="58.38"/>
    <n v="2.1905999999999999"/>
    <n v="1.7432000000000001"/>
    <n v="4.4080000000000004"/>
    <n v="5.5202999999999998"/>
  </r>
  <r>
    <x v="1"/>
    <x v="5"/>
    <d v="2025-12-22T00:00:00"/>
    <n v="62.07"/>
    <n v="58.01"/>
    <n v="2.1581000000000001"/>
    <n v="1.7422"/>
    <n v="3.9649999999999999"/>
    <n v="5.5895999999999999"/>
  </r>
  <r>
    <x v="1"/>
    <x v="5"/>
    <d v="2025-12-19T00:00:00"/>
    <n v="60.47"/>
    <n v="56.66"/>
    <n v="2.1219000000000001"/>
    <n v="1.7081999999999999"/>
    <n v="3.984"/>
    <n v="5.5425000000000004"/>
  </r>
  <r>
    <x v="1"/>
    <x v="5"/>
    <d v="2025-12-18T00:00:00"/>
    <n v="59.82"/>
    <n v="56.15"/>
    <n v="2.1316000000000002"/>
    <n v="1.7013"/>
    <n v="3.9079999999999999"/>
    <n v="5.5216000000000003"/>
  </r>
  <r>
    <x v="1"/>
    <x v="5"/>
    <d v="2025-12-17T00:00:00"/>
    <n v="59.68"/>
    <n v="55.94"/>
    <n v="2.1495000000000002"/>
    <n v="1.6942999999999999"/>
    <n v="4.024"/>
    <n v="5.52"/>
  </r>
  <r>
    <x v="1"/>
    <x v="5"/>
    <d v="2025-12-16T00:00:00"/>
    <n v="58.92"/>
    <n v="55.27"/>
    <n v="2.1286"/>
    <n v="1.6809000000000001"/>
    <n v="3.8860000000000001"/>
    <n v="5.5087999999999999"/>
  </r>
  <r>
    <x v="1"/>
    <x v="5"/>
    <d v="2025-12-15T00:00:00"/>
    <n v="60.56"/>
    <n v="56.82"/>
    <n v="2.1806000000000001"/>
    <n v="1.7323"/>
    <n v="4.0119999999999996"/>
    <n v="5.4142999999999999"/>
  </r>
  <r>
    <x v="1"/>
    <x v="5"/>
    <d v="2025-12-12T00:00:00"/>
    <n v="61.12"/>
    <n v="57.44"/>
    <n v="2.198"/>
    <n v="1.7521"/>
    <n v="4.1130000000000004"/>
    <n v="5.4185999999999996"/>
  </r>
  <r>
    <x v="1"/>
    <x v="5"/>
    <d v="2025-12-11T00:00:00"/>
    <n v="61.28"/>
    <n v="57.6"/>
    <n v="2.2288999999999999"/>
    <n v="1.7598"/>
    <n v="4.2309999999999999"/>
    <n v="5.4078999999999997"/>
  </r>
  <r>
    <x v="1"/>
    <x v="5"/>
    <d v="2025-12-10T00:00:00"/>
    <n v="62.21"/>
    <n v="58.46"/>
    <n v="2.2730000000000001"/>
    <n v="1.7815000000000001"/>
    <n v="4.5949999999999998"/>
    <n v="5.4725000000000001"/>
  </r>
  <r>
    <x v="1"/>
    <x v="5"/>
    <d v="2025-12-09T00:00:00"/>
    <n v="61.94"/>
    <n v="58.25"/>
    <n v="2.2601"/>
    <n v="1.7897000000000001"/>
    <n v="4.5739999999999998"/>
    <n v="5.4330999999999996"/>
  </r>
  <r>
    <x v="1"/>
    <x v="5"/>
    <d v="2025-12-08T00:00:00"/>
    <n v="62.49"/>
    <n v="58.88"/>
    <n v="2.2982"/>
    <n v="1.7981"/>
    <n v="4.9119999999999999"/>
    <n v="5.4298000000000002"/>
  </r>
  <r>
    <x v="1"/>
    <x v="5"/>
    <d v="2025-12-05T00:00:00"/>
    <n v="63.75"/>
    <n v="60.08"/>
    <n v="2.3628999999999998"/>
    <n v="1.8341000000000001"/>
    <n v="5.2889999999999997"/>
    <n v="5.4390000000000001"/>
  </r>
  <r>
    <x v="1"/>
    <x v="5"/>
    <d v="2025-12-04T00:00:00"/>
    <n v="63.26"/>
    <n v="59.67"/>
    <n v="2.3037000000000001"/>
    <n v="1.8270999999999999"/>
    <n v="5.0629999999999997"/>
    <n v="5.3091999999999997"/>
  </r>
  <r>
    <x v="1"/>
    <x v="5"/>
    <d v="2025-12-03T00:00:00"/>
    <n v="62.67"/>
    <n v="58.95"/>
    <n v="2.3008000000000002"/>
    <n v="1.8271999999999999"/>
    <n v="4.9950000000000001"/>
    <n v="5.3074000000000003"/>
  </r>
  <r>
    <x v="1"/>
    <x v="5"/>
    <d v="2025-12-02T00:00:00"/>
    <n v="62.45"/>
    <n v="58.64"/>
    <n v="2.3127"/>
    <n v="1.8303"/>
    <n v="4.84"/>
    <n v="5.3273999999999999"/>
  </r>
  <r>
    <x v="1"/>
    <x v="5"/>
    <d v="2025-12-01T00:00:00"/>
    <n v="63.17"/>
    <n v="59.32"/>
    <n v="2.34"/>
    <n v="1.8689"/>
    <n v="4.9210000000000003"/>
    <n v="5.3571"/>
  </r>
  <r>
    <x v="1"/>
    <x v="6"/>
    <d v="2025-11-28T00:00:00"/>
    <n v="63.2"/>
    <n v="58.55"/>
    <n v="2.3330000000000002"/>
    <n v="1.8958999999999999"/>
    <n v="4.8499999999999996"/>
    <n v="5.3362999999999996"/>
  </r>
  <r>
    <x v="1"/>
    <x v="6"/>
    <d v="2025-11-27T00:00:00"/>
    <n v="63.34"/>
    <m/>
    <m/>
    <m/>
    <m/>
    <n v="5.3562000000000003"/>
  </r>
  <r>
    <x v="1"/>
    <x v="6"/>
    <d v="2025-11-26T00:00:00"/>
    <n v="63.13"/>
    <n v="58.65"/>
    <n v="2.3254999999999999"/>
    <n v="1.889"/>
    <n v="4.5579999999999998"/>
    <n v="5.3319000000000001"/>
  </r>
  <r>
    <x v="1"/>
    <x v="6"/>
    <d v="2025-11-25T00:00:00"/>
    <n v="62.48"/>
    <n v="57.95"/>
    <n v="2.3538000000000001"/>
    <n v="1.8572"/>
    <n v="4.4240000000000004"/>
    <n v="5.3810000000000002"/>
  </r>
  <r>
    <x v="1"/>
    <x v="6"/>
    <d v="2025-11-24T00:00:00"/>
    <n v="63.37"/>
    <n v="58.84"/>
    <n v="2.4060999999999999"/>
    <n v="1.8966000000000001"/>
    <n v="4.5490000000000004"/>
    <n v="5.3883999999999999"/>
  </r>
  <r>
    <x v="1"/>
    <x v="6"/>
    <d v="2025-11-21T00:00:00"/>
    <n v="62.56"/>
    <n v="58.06"/>
    <n v="2.4563999999999999"/>
    <n v="1.8834"/>
    <n v="4.58"/>
    <n v="5.4028"/>
  </r>
  <r>
    <x v="1"/>
    <x v="6"/>
    <d v="2025-11-20T00:00:00"/>
    <n v="63.38"/>
    <n v="59.14"/>
    <n v="2.5333000000000001"/>
    <n v="1.9184000000000001"/>
    <n v="4.4740000000000002"/>
    <n v="5.3327999999999998"/>
  </r>
  <r>
    <x v="1"/>
    <x v="6"/>
    <d v="2025-11-19T00:00:00"/>
    <n v="63.51"/>
    <n v="59.44"/>
    <n v="2.6356999999999999"/>
    <n v="1.9320999999999999"/>
    <n v="4.55"/>
    <n v="5.3304"/>
  </r>
  <r>
    <x v="1"/>
    <x v="6"/>
    <d v="2025-11-18T00:00:00"/>
    <n v="64.89"/>
    <n v="60.74"/>
    <n v="2.7010999999999998"/>
    <n v="1.9993000000000001"/>
    <n v="4.3710000000000004"/>
    <n v="5.3217999999999996"/>
  </r>
  <r>
    <x v="1"/>
    <x v="6"/>
    <d v="2025-11-17T00:00:00"/>
    <n v="64.2"/>
    <n v="59.91"/>
    <n v="2.5470000000000002"/>
    <n v="1.9901"/>
    <n v="4.3609999999999998"/>
    <n v="5.3289999999999997"/>
  </r>
  <r>
    <x v="1"/>
    <x v="6"/>
    <d v="2025-11-14T00:00:00"/>
    <n v="64.39"/>
    <n v="60.09"/>
    <n v="2.5310999999999999"/>
    <n v="2.0116000000000001"/>
    <n v="4.5659999999999998"/>
    <n v="5.2964000000000002"/>
  </r>
  <r>
    <x v="1"/>
    <x v="6"/>
    <d v="2025-11-13T00:00:00"/>
    <n v="63.01"/>
    <n v="58.69"/>
    <n v="2.4647000000000001"/>
    <n v="1.9597"/>
    <n v="4.6459999999999999"/>
    <n v="5.2977999999999996"/>
  </r>
  <r>
    <x v="1"/>
    <x v="6"/>
    <d v="2025-11-12T00:00:00"/>
    <n v="62.71"/>
    <n v="58.49"/>
    <n v="2.4815999999999998"/>
    <n v="1.9554"/>
    <n v="4.5330000000000004"/>
    <n v="5.2925000000000004"/>
  </r>
  <r>
    <x v="1"/>
    <x v="6"/>
    <d v="2025-11-11T00:00:00"/>
    <n v="65.16"/>
    <n v="61.04"/>
    <n v="2.5756999999999999"/>
    <n v="2.012"/>
    <n v="4.5650000000000004"/>
    <n v="5.2717000000000001"/>
  </r>
  <r>
    <x v="1"/>
    <x v="6"/>
    <d v="2025-11-10T00:00:00"/>
    <n v="64.06"/>
    <n v="60.13"/>
    <n v="2.5104000000000002"/>
    <n v="1.9711000000000001"/>
    <n v="4.3380000000000001"/>
    <n v="5.2907000000000002"/>
  </r>
  <r>
    <x v="1"/>
    <x v="6"/>
    <d v="2025-11-07T00:00:00"/>
    <n v="63.63"/>
    <n v="59.75"/>
    <n v="2.4821"/>
    <n v="1.9402999999999999"/>
    <n v="4.3150000000000004"/>
    <n v="5.3320999999999996"/>
  </r>
  <r>
    <x v="1"/>
    <x v="6"/>
    <d v="2025-11-06T00:00:00"/>
    <n v="63.38"/>
    <n v="59.43"/>
    <n v="2.4961000000000002"/>
    <n v="1.9656"/>
    <n v="4.3570000000000002"/>
    <n v="5.3498000000000001"/>
  </r>
  <r>
    <x v="1"/>
    <x v="6"/>
    <d v="2025-11-05T00:00:00"/>
    <n v="63.52"/>
    <n v="59.6"/>
    <n v="2.4325000000000001"/>
    <n v="1.9093"/>
    <n v="4.2320000000000002"/>
    <n v="5.3594999999999997"/>
  </r>
  <r>
    <x v="1"/>
    <x v="6"/>
    <d v="2025-11-04T00:00:00"/>
    <n v="64.44"/>
    <n v="60.56"/>
    <n v="2.4445999999999999"/>
    <n v="1.9228000000000001"/>
    <n v="4.343"/>
    <n v="5.3971999999999998"/>
  </r>
  <r>
    <x v="1"/>
    <x v="6"/>
    <d v="2025-11-03T00:00:00"/>
    <n v="64.89"/>
    <n v="61.05"/>
    <n v="2.4053"/>
    <n v="1.9160999999999999"/>
    <n v="4.266"/>
    <n v="5.3567999999999998"/>
  </r>
  <r>
    <x v="1"/>
    <x v="7"/>
    <d v="2025-10-31T00:00:00"/>
    <n v="65.069999999999993"/>
    <n v="60.98"/>
    <n v="2.4312"/>
    <n v="1.9931000000000001"/>
    <n v="4.1239999999999997"/>
    <n v="5.3738999999999999"/>
  </r>
  <r>
    <x v="1"/>
    <x v="7"/>
    <d v="2025-10-30T00:00:00"/>
    <n v="65"/>
    <n v="60.57"/>
    <n v="2.46"/>
    <n v="2.0034000000000001"/>
    <n v="3.956"/>
    <n v="5.3807"/>
  </r>
  <r>
    <x v="1"/>
    <x v="7"/>
    <d v="2025-10-29T00:00:00"/>
    <n v="64.92"/>
    <n v="60.48"/>
    <n v="2.4243000000000001"/>
    <n v="1.9737"/>
    <n v="3.3759999999999999"/>
    <n v="5.3605"/>
  </r>
  <r>
    <x v="1"/>
    <x v="7"/>
    <d v="2025-10-28T00:00:00"/>
    <n v="64.400000000000006"/>
    <n v="60.15"/>
    <n v="2.3872"/>
    <n v="1.9252"/>
    <n v="3.3450000000000002"/>
    <n v="5.3578000000000001"/>
  </r>
  <r>
    <x v="1"/>
    <x v="7"/>
    <d v="2025-10-27T00:00:00"/>
    <n v="65.62"/>
    <n v="61.31"/>
    <n v="2.4361000000000002"/>
    <n v="1.9204000000000001"/>
    <n v="3.4420000000000002"/>
    <n v="5.3727999999999998"/>
  </r>
  <r>
    <x v="1"/>
    <x v="7"/>
    <d v="2025-10-24T00:00:00"/>
    <n v="65.94"/>
    <n v="61.5"/>
    <n v="2.4030999999999998"/>
    <n v="1.9227000000000001"/>
    <n v="3.3039999999999998"/>
    <n v="5.3887"/>
  </r>
  <r>
    <x v="1"/>
    <x v="7"/>
    <d v="2025-10-23T00:00:00"/>
    <n v="65.989999999999995"/>
    <n v="61.79"/>
    <n v="2.403"/>
    <n v="1.9269000000000001"/>
    <n v="3.3439999999999999"/>
    <n v="5.3821000000000003"/>
  </r>
  <r>
    <x v="1"/>
    <x v="7"/>
    <d v="2025-10-22T00:00:00"/>
    <n v="62.59"/>
    <n v="58.5"/>
    <n v="2.2496"/>
    <n v="1.865"/>
    <n v="3.45"/>
    <n v="5.3997000000000002"/>
  </r>
  <r>
    <x v="1"/>
    <x v="7"/>
    <d v="2025-10-21T00:00:00"/>
    <n v="61.32"/>
    <n v="57.82"/>
    <n v="2.2058"/>
    <n v="1.8252999999999999"/>
    <n v="3.4740000000000002"/>
    <n v="5.3875999999999999"/>
  </r>
  <r>
    <x v="1"/>
    <x v="7"/>
    <d v="2025-10-20T00:00:00"/>
    <n v="61.01"/>
    <n v="57.52"/>
    <n v="2.1920999999999999"/>
    <n v="1.8302"/>
    <n v="3.3969999999999998"/>
    <n v="5.3742999999999999"/>
  </r>
  <r>
    <x v="1"/>
    <x v="7"/>
    <d v="2025-10-17T00:00:00"/>
    <n v="61.29"/>
    <n v="57.54"/>
    <n v="2.1800000000000002"/>
    <n v="1.8376999999999999"/>
    <n v="3.008"/>
    <n v="5.4080000000000004"/>
  </r>
  <r>
    <x v="1"/>
    <x v="7"/>
    <d v="2025-10-16T00:00:00"/>
    <n v="61.06"/>
    <n v="57.46"/>
    <n v="2.1535000000000002"/>
    <n v="1.8117000000000001"/>
    <n v="2.9380000000000002"/>
    <n v="5.4451999999999998"/>
  </r>
  <r>
    <x v="1"/>
    <x v="7"/>
    <d v="2025-10-15T00:00:00"/>
    <n v="61.91"/>
    <n v="58.27"/>
    <n v="2.1747999999999998"/>
    <n v="1.8344"/>
    <n v="3.016"/>
    <n v="5.4546000000000001"/>
  </r>
  <r>
    <x v="1"/>
    <x v="7"/>
    <d v="2025-10-14T00:00:00"/>
    <n v="62.39"/>
    <n v="58.7"/>
    <n v="2.1976"/>
    <n v="1.8286"/>
    <n v="3.028"/>
    <n v="5.4817"/>
  </r>
  <r>
    <x v="1"/>
    <x v="7"/>
    <d v="2025-10-13T00:00:00"/>
    <n v="63.32"/>
    <n v="59.49"/>
    <n v="2.2496999999999998"/>
    <n v="1.8438000000000001"/>
    <n v="3.1179999999999999"/>
    <n v="5.4637000000000002"/>
  </r>
  <r>
    <x v="1"/>
    <x v="7"/>
    <d v="2025-10-10T00:00:00"/>
    <n v="62.73"/>
    <n v="58.9"/>
    <n v="2.2044000000000001"/>
    <n v="1.8204"/>
    <n v="3.1059999999999999"/>
    <n v="5.5217000000000001"/>
  </r>
  <r>
    <x v="1"/>
    <x v="7"/>
    <d v="2025-10-09T00:00:00"/>
    <n v="65.22"/>
    <n v="61.51"/>
    <n v="2.2803"/>
    <n v="1.8826000000000001"/>
    <n v="3.2690000000000001"/>
    <n v="5.3680000000000003"/>
  </r>
  <r>
    <x v="1"/>
    <x v="7"/>
    <d v="2025-10-08T00:00:00"/>
    <n v="66.25"/>
    <n v="62.55"/>
    <n v="2.2913000000000001"/>
    <n v="1.9095"/>
    <n v="3.3330000000000002"/>
    <n v="5.3426"/>
  </r>
  <r>
    <x v="1"/>
    <x v="7"/>
    <d v="2025-10-07T00:00:00"/>
    <n v="65.45"/>
    <n v="61.73"/>
    <n v="2.2652999999999999"/>
    <n v="1.8938999999999999"/>
    <n v="3.4980000000000002"/>
    <n v="5.3501000000000003"/>
  </r>
  <r>
    <x v="1"/>
    <x v="7"/>
    <d v="2025-10-06T00:00:00"/>
    <n v="65.47"/>
    <n v="61.69"/>
    <n v="2.2443"/>
    <n v="1.9016"/>
    <n v="3.3570000000000002"/>
    <n v="5.3127000000000004"/>
  </r>
  <r>
    <x v="1"/>
    <x v="7"/>
    <d v="2025-10-03T00:00:00"/>
    <n v="64.53"/>
    <n v="60.88"/>
    <n v="2.2363"/>
    <n v="1.8605"/>
    <n v="3.3239999999999998"/>
    <n v="5.3369999999999997"/>
  </r>
  <r>
    <x v="1"/>
    <x v="7"/>
    <d v="2025-10-02T00:00:00"/>
    <n v="64.11"/>
    <n v="60.48"/>
    <n v="2.2435"/>
    <n v="1.851"/>
    <n v="3.4420000000000002"/>
    <n v="5.3380000000000001"/>
  </r>
  <r>
    <x v="1"/>
    <x v="7"/>
    <d v="2025-10-01T00:00:00"/>
    <n v="65.349999999999994"/>
    <n v="61.78"/>
    <n v="2.3018999999999998"/>
    <n v="1.8858999999999999"/>
    <n v="3.476"/>
    <n v="5.3285999999999998"/>
  </r>
  <r>
    <x v="1"/>
    <x v="8"/>
    <d v="2025-09-30T00:00:00"/>
    <n v="67.02"/>
    <n v="62.37"/>
    <n v="2.3325"/>
    <n v="1.9729000000000001"/>
    <n v="3.3029999999999999"/>
    <n v="5.3224"/>
  </r>
  <r>
    <x v="1"/>
    <x v="8"/>
    <d v="2025-09-29T00:00:00"/>
    <n v="67.97"/>
    <n v="63.45"/>
    <n v="2.3565999999999998"/>
    <n v="1.9951000000000001"/>
    <n v="3.2669999999999999"/>
    <n v="5.3216000000000001"/>
  </r>
  <r>
    <x v="1"/>
    <x v="8"/>
    <d v="2025-09-26T00:00:00"/>
    <n v="70.13"/>
    <n v="65.72"/>
    <n v="2.4289000000000001"/>
    <n v="2.0375999999999999"/>
    <n v="2.835"/>
    <n v="5.3426"/>
  </r>
  <r>
    <x v="1"/>
    <x v="8"/>
    <d v="2025-09-25T00:00:00"/>
    <n v="69.42"/>
    <n v="64.98"/>
    <n v="2.4264999999999999"/>
    <n v="2.0022000000000002"/>
    <n v="2.9039999999999999"/>
    <n v="5.3634000000000004"/>
  </r>
  <r>
    <x v="1"/>
    <x v="8"/>
    <d v="2025-09-24T00:00:00"/>
    <n v="69.31"/>
    <n v="64.989999999999995"/>
    <n v="2.3772000000000002"/>
    <n v="2.0188000000000001"/>
    <n v="2.8580000000000001"/>
    <n v="5.3323999999999998"/>
  </r>
  <r>
    <x v="1"/>
    <x v="8"/>
    <d v="2025-09-23T00:00:00"/>
    <n v="67.63"/>
    <n v="63.41"/>
    <n v="2.3279999999999998"/>
    <n v="1.9991000000000001"/>
    <n v="2.8530000000000002"/>
    <n v="5.2826000000000004"/>
  </r>
  <r>
    <x v="1"/>
    <x v="8"/>
    <d v="2025-09-22T00:00:00"/>
    <n v="66.569999999999993"/>
    <n v="62.64"/>
    <n v="2.2923"/>
    <n v="1.9782"/>
    <n v="2.806"/>
    <n v="5.3345000000000002"/>
  </r>
  <r>
    <x v="1"/>
    <x v="8"/>
    <d v="2025-09-19T00:00:00"/>
    <n v="66.680000000000007"/>
    <n v="62.68"/>
    <n v="2.2989000000000002"/>
    <n v="1.9706999999999999"/>
    <n v="2.8879999999999999"/>
    <n v="5.3231999999999999"/>
  </r>
  <r>
    <x v="1"/>
    <x v="8"/>
    <d v="2025-09-18T00:00:00"/>
    <n v="67.44"/>
    <n v="63.57"/>
    <n v="2.34"/>
    <n v="2.0114000000000001"/>
    <n v="2.9390000000000001"/>
    <n v="5.3132000000000001"/>
  </r>
  <r>
    <x v="1"/>
    <x v="8"/>
    <d v="2025-09-17T00:00:00"/>
    <n v="67.95"/>
    <n v="64.05"/>
    <n v="2.3548"/>
    <n v="2.0287000000000002"/>
    <n v="3.1"/>
    <n v="5.3052000000000001"/>
  </r>
  <r>
    <x v="1"/>
    <x v="8"/>
    <d v="2025-09-16T00:00:00"/>
    <n v="68.47"/>
    <n v="64.52"/>
    <n v="2.3935"/>
    <n v="2.0415999999999999"/>
    <n v="3.1030000000000002"/>
    <n v="5.2957000000000001"/>
  </r>
  <r>
    <x v="1"/>
    <x v="8"/>
    <d v="2025-09-15T00:00:00"/>
    <n v="67.44"/>
    <n v="63.3"/>
    <n v="2.3311000000000002"/>
    <n v="2.0133999999999999"/>
    <n v="3.0430000000000001"/>
    <n v="5.3163"/>
  </r>
  <r>
    <x v="1"/>
    <x v="8"/>
    <d v="2025-09-12T00:00:00"/>
    <n v="66.989999999999995"/>
    <n v="62.69"/>
    <n v="2.29"/>
    <n v="1.9854000000000001"/>
    <n v="2.9409999999999998"/>
    <n v="5.3544999999999998"/>
  </r>
  <r>
    <x v="1"/>
    <x v="8"/>
    <d v="2025-09-11T00:00:00"/>
    <n v="66.37"/>
    <n v="62.37"/>
    <n v="2.2818999999999998"/>
    <n v="1.9793000000000001"/>
    <n v="2.9340000000000002"/>
    <n v="5.3898999999999999"/>
  </r>
  <r>
    <x v="1"/>
    <x v="8"/>
    <d v="2025-09-10T00:00:00"/>
    <n v="67.489999999999995"/>
    <n v="63.67"/>
    <n v="2.3336999999999999"/>
    <n v="2.008"/>
    <n v="3.0289999999999999"/>
    <n v="5.4084000000000003"/>
  </r>
  <r>
    <x v="1"/>
    <x v="8"/>
    <d v="2025-09-09T00:00:00"/>
    <n v="66.39"/>
    <n v="62.63"/>
    <n v="2.3199000000000001"/>
    <n v="1.9924999999999999"/>
    <n v="3.117"/>
    <n v="5.4394"/>
  </r>
  <r>
    <x v="1"/>
    <x v="8"/>
    <d v="2025-09-08T00:00:00"/>
    <n v="66.02"/>
    <n v="62.26"/>
    <n v="2.3119000000000001"/>
    <n v="1.9585999999999999"/>
    <n v="3.09"/>
    <n v="5.4192"/>
  </r>
  <r>
    <x v="1"/>
    <x v="8"/>
    <d v="2025-09-05T00:00:00"/>
    <n v="65.5"/>
    <n v="61.87"/>
    <n v="2.2869999999999999"/>
    <n v="1.9641999999999999"/>
    <n v="3.048"/>
    <n v="5.4127000000000001"/>
  </r>
  <r>
    <x v="1"/>
    <x v="8"/>
    <d v="2025-09-04T00:00:00"/>
    <n v="66.989999999999995"/>
    <n v="63.48"/>
    <n v="2.3307000000000002"/>
    <n v="2.0095000000000001"/>
    <n v="3.0739999999999998"/>
    <n v="5.4457000000000004"/>
  </r>
  <r>
    <x v="1"/>
    <x v="8"/>
    <d v="2025-09-03T00:00:00"/>
    <n v="67.599999999999994"/>
    <n v="63.97"/>
    <n v="2.3609"/>
    <n v="2.012"/>
    <n v="3.0640000000000001"/>
    <n v="5.4512999999999998"/>
  </r>
  <r>
    <x v="1"/>
    <x v="8"/>
    <d v="2025-09-02T00:00:00"/>
    <n v="69.14"/>
    <n v="65.59"/>
    <n v="2.3744000000000001"/>
    <n v="2.0428000000000002"/>
    <n v="3.0089999999999999"/>
    <n v="5.4645999999999999"/>
  </r>
  <r>
    <x v="1"/>
    <x v="8"/>
    <d v="2025-09-01T00:00:00"/>
    <n v="68.150000000000006"/>
    <m/>
    <m/>
    <m/>
    <m/>
    <n v="5.4398999999999997"/>
  </r>
  <r>
    <x v="1"/>
    <x v="9"/>
    <d v="2025-08-29T00:00:00"/>
    <n v="68.12"/>
    <n v="64.010000000000005"/>
    <n v="2.2667000000000002"/>
    <n v="2.1876000000000002"/>
    <n v="2.9969999999999999"/>
    <n v="5.4298999999999999"/>
  </r>
  <r>
    <x v="1"/>
    <x v="9"/>
    <d v="2025-08-28T00:00:00"/>
    <n v="68.62"/>
    <n v="64.599999999999994"/>
    <n v="2.3098000000000001"/>
    <n v="2.1991000000000001"/>
    <n v="2.944"/>
    <n v="5.4124999999999996"/>
  </r>
  <r>
    <x v="1"/>
    <x v="9"/>
    <d v="2025-08-27T00:00:00"/>
    <n v="68.05"/>
    <n v="64.150000000000006"/>
    <n v="2.2953000000000001"/>
    <n v="2.1488999999999998"/>
    <n v="2.867"/>
    <n v="5.4173"/>
  </r>
  <r>
    <x v="1"/>
    <x v="9"/>
    <d v="2025-08-26T00:00:00"/>
    <n v="67.22"/>
    <n v="63.25"/>
    <n v="2.2805"/>
    <n v="2.1223000000000001"/>
    <n v="2.7170000000000001"/>
    <n v="5.4306999999999999"/>
  </r>
  <r>
    <x v="1"/>
    <x v="9"/>
    <d v="2025-08-25T00:00:00"/>
    <n v="68.8"/>
    <n v="64.8"/>
    <n v="2.3475000000000001"/>
    <n v="2.1482999999999999"/>
    <n v="2.6960000000000002"/>
    <n v="5.4116"/>
  </r>
  <r>
    <x v="1"/>
    <x v="9"/>
    <d v="2025-08-22T00:00:00"/>
    <n v="67.73"/>
    <n v="63.66"/>
    <n v="2.3081"/>
    <n v="2.1585000000000001"/>
    <n v="2.698"/>
    <n v="5.4217000000000004"/>
  </r>
  <r>
    <x v="1"/>
    <x v="9"/>
    <d v="2025-08-21T00:00:00"/>
    <n v="67.67"/>
    <n v="63.52"/>
    <n v="2.3250999999999999"/>
    <n v="2.1597"/>
    <n v="2.8260000000000001"/>
    <n v="5.4706999999999999"/>
  </r>
  <r>
    <x v="1"/>
    <x v="9"/>
    <d v="2025-08-20T00:00:00"/>
    <n v="66.84"/>
    <n v="63.21"/>
    <n v="2.2795999999999998"/>
    <n v="2.1282999999999999"/>
    <n v="2.7519999999999998"/>
    <n v="5.4824000000000002"/>
  </r>
  <r>
    <x v="1"/>
    <x v="9"/>
    <d v="2025-08-19T00:00:00"/>
    <n v="65.790000000000006"/>
    <n v="62.35"/>
    <n v="2.2511000000000001"/>
    <n v="2.089"/>
    <n v="2.766"/>
    <n v="5.5035999999999996"/>
  </r>
  <r>
    <x v="1"/>
    <x v="9"/>
    <d v="2025-08-18T00:00:00"/>
    <n v="66.599999999999994"/>
    <n v="63.42"/>
    <n v="2.2403"/>
    <n v="2.0987"/>
    <n v="2.89"/>
    <n v="5.4363000000000001"/>
  </r>
  <r>
    <x v="1"/>
    <x v="9"/>
    <d v="2025-08-15T00:00:00"/>
    <n v="65.849999999999994"/>
    <n v="62.8"/>
    <n v="2.2250000000000001"/>
    <n v="2.0724999999999998"/>
    <n v="2.9159999999999999"/>
    <n v="5.4005000000000001"/>
  </r>
  <r>
    <x v="1"/>
    <x v="9"/>
    <d v="2025-08-14T00:00:00"/>
    <n v="66.84"/>
    <n v="63.96"/>
    <n v="2.2345000000000002"/>
    <n v="2.1092"/>
    <n v="2.8410000000000002"/>
    <n v="5.4154999999999998"/>
  </r>
  <r>
    <x v="1"/>
    <x v="9"/>
    <d v="2025-08-13T00:00:00"/>
    <n v="65.63"/>
    <n v="62.65"/>
    <n v="2.2427999999999999"/>
    <n v="2.0703999999999998"/>
    <n v="2.8279999999999998"/>
    <n v="5.3986000000000001"/>
  </r>
  <r>
    <x v="1"/>
    <x v="9"/>
    <d v="2025-08-12T00:00:00"/>
    <n v="66.12"/>
    <n v="63.17"/>
    <n v="2.2441"/>
    <n v="2.0743999999999998"/>
    <n v="2.8079999999999998"/>
    <n v="5.3890000000000002"/>
  </r>
  <r>
    <x v="1"/>
    <x v="9"/>
    <d v="2025-08-11T00:00:00"/>
    <n v="66.63"/>
    <n v="63.96"/>
    <n v="2.2909999999999999"/>
    <n v="2.0766"/>
    <n v="2.9540000000000002"/>
    <n v="5.4419000000000004"/>
  </r>
  <r>
    <x v="1"/>
    <x v="9"/>
    <d v="2025-08-08T00:00:00"/>
    <n v="66.59"/>
    <n v="63.88"/>
    <n v="2.2793000000000001"/>
    <n v="2.0861000000000001"/>
    <n v="2.99"/>
    <n v="5.4333"/>
  </r>
  <r>
    <x v="1"/>
    <x v="9"/>
    <d v="2025-08-07T00:00:00"/>
    <n v="66.430000000000007"/>
    <n v="63.88"/>
    <n v="2.2667999999999999"/>
    <n v="2.0775000000000001"/>
    <n v="3.0670000000000002"/>
    <n v="5.4230999999999998"/>
  </r>
  <r>
    <x v="1"/>
    <x v="9"/>
    <d v="2025-08-06T00:00:00"/>
    <n v="66.89"/>
    <n v="64.349999999999994"/>
    <n v="2.2627999999999999"/>
    <n v="2.0903999999999998"/>
    <n v="3.077"/>
    <n v="5.4625000000000004"/>
  </r>
  <r>
    <x v="1"/>
    <x v="9"/>
    <d v="2025-08-05T00:00:00"/>
    <n v="67.64"/>
    <n v="65.16"/>
    <n v="2.2502"/>
    <n v="2.0914999999999999"/>
    <n v="3.01"/>
    <n v="5.5069999999999997"/>
  </r>
  <r>
    <x v="1"/>
    <x v="9"/>
    <d v="2025-08-04T00:00:00"/>
    <n v="68.760000000000005"/>
    <n v="66.290000000000006"/>
    <n v="2.3176000000000001"/>
    <n v="2.1021999999999998"/>
    <n v="2.9319999999999999"/>
    <n v="5.4980000000000002"/>
  </r>
  <r>
    <x v="1"/>
    <x v="9"/>
    <d v="2025-08-01T00:00:00"/>
    <n v="69.67"/>
    <n v="67.33"/>
    <n v="2.2999000000000001"/>
    <n v="2.1185999999999998"/>
    <n v="3.0830000000000002"/>
    <n v="5.5412999999999997"/>
  </r>
  <r>
    <x v="1"/>
    <x v="10"/>
    <d v="2025-07-31T00:00:00"/>
    <n v="72.53"/>
    <n v="69.260000000000005"/>
    <n v="2.3995000000000002"/>
    <n v="2.2155999999999998"/>
    <n v="3.1059999999999999"/>
    <n v="5.6007999999999996"/>
  </r>
  <r>
    <x v="1"/>
    <x v="10"/>
    <d v="2025-07-30T00:00:00"/>
    <n v="73.239999999999995"/>
    <n v="70"/>
    <n v="2.4184999999999999"/>
    <n v="2.2690999999999999"/>
    <n v="3.0449999999999999"/>
    <n v="5.5690999999999997"/>
  </r>
  <r>
    <x v="1"/>
    <x v="10"/>
    <d v="2025-07-29T00:00:00"/>
    <n v="72.510000000000005"/>
    <n v="69.209999999999994"/>
    <n v="2.4638"/>
    <n v="2.2183999999999999"/>
    <n v="3.081"/>
    <n v="5.5742000000000003"/>
  </r>
  <r>
    <x v="1"/>
    <x v="10"/>
    <d v="2025-07-28T00:00:00"/>
    <n v="70.040000000000006"/>
    <n v="66.709999999999994"/>
    <n v="2.4266000000000001"/>
    <n v="2.1352000000000002"/>
    <n v="2.988"/>
    <n v="5.5883000000000003"/>
  </r>
  <r>
    <x v="1"/>
    <x v="10"/>
    <d v="2025-07-25T00:00:00"/>
    <n v="68.44"/>
    <n v="65.16"/>
    <n v="2.4062000000000001"/>
    <n v="2.097"/>
    <n v="3.11"/>
    <n v="5.5628000000000002"/>
  </r>
  <r>
    <x v="1"/>
    <x v="10"/>
    <d v="2025-07-24T00:00:00"/>
    <n v="69.180000000000007"/>
    <n v="66.03"/>
    <n v="2.4129"/>
    <n v="2.1042000000000001"/>
    <n v="3.0939999999999999"/>
    <n v="5.5209999999999999"/>
  </r>
  <r>
    <x v="1"/>
    <x v="10"/>
    <d v="2025-07-23T00:00:00"/>
    <n v="68.510000000000005"/>
    <n v="65.25"/>
    <n v="2.4489999999999998"/>
    <n v="2.1213000000000002"/>
    <n v="3.077"/>
    <n v="5.5198999999999998"/>
  </r>
  <r>
    <x v="1"/>
    <x v="10"/>
    <d v="2025-07-22T00:00:00"/>
    <n v="68.59"/>
    <n v="66.209999999999994"/>
    <n v="2.4518"/>
    <n v="2.1019000000000001"/>
    <n v="3.2519999999999998"/>
    <n v="5.5648999999999997"/>
  </r>
  <r>
    <x v="1"/>
    <x v="10"/>
    <d v="2025-07-21T00:00:00"/>
    <n v="69.209999999999994"/>
    <n v="67.2"/>
    <n v="2.5091999999999999"/>
    <n v="2.1318999999999999"/>
    <n v="3.3250000000000002"/>
    <n v="5.5666000000000002"/>
  </r>
  <r>
    <x v="1"/>
    <x v="10"/>
    <d v="2025-07-18T00:00:00"/>
    <n v="69.28"/>
    <n v="67.34"/>
    <n v="2.4529999999999998"/>
    <n v="2.1534"/>
    <n v="3.5649999999999999"/>
    <n v="5.5785"/>
  </r>
  <r>
    <x v="1"/>
    <x v="10"/>
    <d v="2025-07-17T00:00:00"/>
    <n v="69.52"/>
    <n v="67.540000000000006"/>
    <n v="2.4645999999999999"/>
    <n v="2.1703999999999999"/>
    <n v="3.5419999999999998"/>
    <n v="5.5435999999999996"/>
  </r>
  <r>
    <x v="1"/>
    <x v="10"/>
    <d v="2025-07-16T00:00:00"/>
    <n v="68.52"/>
    <n v="66.38"/>
    <n v="2.3915000000000002"/>
    <n v="2.1440000000000001"/>
    <n v="3.5510000000000002"/>
    <n v="5.5682999999999998"/>
  </r>
  <r>
    <x v="1"/>
    <x v="10"/>
    <d v="2025-07-15T00:00:00"/>
    <n v="68.709999999999994"/>
    <n v="66.52"/>
    <n v="2.4051999999999998"/>
    <n v="2.1696"/>
    <n v="3.5230000000000001"/>
    <n v="5.5566000000000004"/>
  </r>
  <r>
    <x v="1"/>
    <x v="10"/>
    <d v="2025-07-14T00:00:00"/>
    <n v="69.209999999999994"/>
    <n v="66.98"/>
    <n v="2.3898000000000001"/>
    <n v="2.1654"/>
    <n v="3.4660000000000002"/>
    <n v="5.5888"/>
  </r>
  <r>
    <x v="1"/>
    <x v="10"/>
    <d v="2025-07-11T00:00:00"/>
    <n v="70.36"/>
    <n v="68.45"/>
    <n v="2.4474"/>
    <n v="2.1869999999999998"/>
    <n v="3.3140000000000001"/>
    <n v="5.5583999999999998"/>
  </r>
  <r>
    <x v="1"/>
    <x v="10"/>
    <d v="2025-07-10T00:00:00"/>
    <n v="68.64"/>
    <n v="66.569999999999993"/>
    <n v="2.3835000000000002"/>
    <n v="2.1524000000000001"/>
    <n v="3.3370000000000002"/>
    <n v="5.5312999999999999"/>
  </r>
  <r>
    <x v="1"/>
    <x v="10"/>
    <d v="2025-07-09T00:00:00"/>
    <n v="70.19"/>
    <n v="68.38"/>
    <n v="2.4091999999999998"/>
    <n v="2.1879"/>
    <n v="3.214"/>
    <n v="5.5757000000000003"/>
  </r>
  <r>
    <x v="1"/>
    <x v="10"/>
    <d v="2025-07-08T00:00:00"/>
    <n v="70.150000000000006"/>
    <n v="68.33"/>
    <n v="2.4413"/>
    <n v="2.1850000000000001"/>
    <n v="3.34"/>
    <n v="5.4466000000000001"/>
  </r>
  <r>
    <x v="1"/>
    <x v="10"/>
    <d v="2025-07-07T00:00:00"/>
    <n v="69.58"/>
    <n v="67.930000000000007"/>
    <n v="2.4211"/>
    <n v="2.1522000000000001"/>
    <n v="3.4119999999999999"/>
    <n v="5.4871999999999996"/>
  </r>
  <r>
    <x v="1"/>
    <x v="10"/>
    <d v="2025-07-04T00:00:00"/>
    <n v="68.3"/>
    <m/>
    <m/>
    <m/>
    <m/>
    <n v="5.4207000000000001"/>
  </r>
  <r>
    <x v="1"/>
    <x v="10"/>
    <d v="2025-07-03T00:00:00"/>
    <n v="68.8"/>
    <n v="67"/>
    <n v="2.3698000000000001"/>
    <n v="2.1185999999999998"/>
    <n v="3.4089999999999998"/>
    <n v="5.4081999999999999"/>
  </r>
  <r>
    <x v="1"/>
    <x v="10"/>
    <d v="2025-07-02T00:00:00"/>
    <n v="69.11"/>
    <n v="67.45"/>
    <n v="2.4117000000000002"/>
    <n v="2.1229"/>
    <n v="3.488"/>
    <n v="5.4234999999999998"/>
  </r>
  <r>
    <x v="1"/>
    <x v="10"/>
    <d v="2025-07-01T00:00:00"/>
    <n v="67.11"/>
    <n v="65.45"/>
    <n v="2.3269000000000002"/>
    <n v="2.1002999999999998"/>
    <n v="3.415"/>
    <n v="5.4580000000000002"/>
  </r>
  <r>
    <x v="1"/>
    <x v="11"/>
    <d v="2025-06-30T00:00:00"/>
    <n v="67.61"/>
    <n v="65.11"/>
    <n v="2.3458000000000001"/>
    <n v="2.0798000000000001"/>
    <n v="3.456"/>
    <n v="5.4321000000000002"/>
  </r>
  <r>
    <x v="1"/>
    <x v="11"/>
    <d v="2025-06-27T00:00:00"/>
    <n v="67.77"/>
    <n v="65.52"/>
    <n v="2.3071999999999999"/>
    <n v="2.0897999999999999"/>
    <n v="3.7389999999999999"/>
    <n v="5.4846000000000004"/>
  </r>
  <r>
    <x v="1"/>
    <x v="11"/>
    <d v="2025-06-26T00:00:00"/>
    <n v="67.73"/>
    <n v="65.239999999999995"/>
    <n v="2.3601000000000001"/>
    <n v="2.0990000000000002"/>
    <n v="3.2610000000000001"/>
    <n v="5.4885000000000002"/>
  </r>
  <r>
    <x v="1"/>
    <x v="11"/>
    <d v="2025-06-25T00:00:00"/>
    <n v="67.680000000000007"/>
    <n v="64.92"/>
    <n v="2.2964000000000002"/>
    <n v="2.0823999999999998"/>
    <n v="3.4060000000000001"/>
    <n v="5.5629"/>
  </r>
  <r>
    <x v="1"/>
    <x v="11"/>
    <d v="2025-06-24T00:00:00"/>
    <n v="67.14"/>
    <n v="64.37"/>
    <n v="2.2850999999999999"/>
    <n v="2.0857000000000001"/>
    <n v="3.5369999999999999"/>
    <n v="5.5106000000000002"/>
  </r>
  <r>
    <x v="1"/>
    <x v="11"/>
    <d v="2025-06-23T00:00:00"/>
    <n v="71.48"/>
    <n v="68.510000000000005"/>
    <n v="2.3631000000000002"/>
    <n v="2.2181999999999999"/>
    <n v="3.698"/>
    <n v="5.4957000000000003"/>
  </r>
  <r>
    <x v="1"/>
    <x v="11"/>
    <d v="2025-06-20T00:00:00"/>
    <n v="77.010000000000005"/>
    <n v="74.930000000000007"/>
    <n v="2.5417999999999998"/>
    <n v="2.3294999999999999"/>
    <n v="3.847"/>
    <n v="5.5126999999999997"/>
  </r>
  <r>
    <x v="1"/>
    <x v="11"/>
    <d v="2025-06-19T00:00:00"/>
    <n v="78.849999999999994"/>
    <m/>
    <m/>
    <m/>
    <m/>
    <n v="5.4909999999999997"/>
  </r>
  <r>
    <x v="1"/>
    <x v="11"/>
    <d v="2025-06-18T00:00:00"/>
    <n v="76.7"/>
    <n v="75.14"/>
    <n v="2.5333999999999999"/>
    <n v="2.3086000000000002"/>
    <n v="3.9889999999999999"/>
    <n v="5.4908999999999999"/>
  </r>
  <r>
    <x v="1"/>
    <x v="11"/>
    <d v="2025-06-17T00:00:00"/>
    <n v="76.45"/>
    <n v="74.84"/>
    <n v="2.5051000000000001"/>
    <n v="2.2719"/>
    <n v="3.851"/>
    <n v="5.4992000000000001"/>
  </r>
  <r>
    <x v="1"/>
    <x v="11"/>
    <d v="2025-06-16T00:00:00"/>
    <n v="73.23"/>
    <n v="71.77"/>
    <n v="2.3933"/>
    <n v="2.2199"/>
    <n v="3.7480000000000002"/>
    <n v="5.4912000000000001"/>
  </r>
  <r>
    <x v="1"/>
    <x v="11"/>
    <d v="2025-06-13T00:00:00"/>
    <n v="74.23"/>
    <n v="72.98"/>
    <n v="2.3586999999999998"/>
    <n v="2.2275999999999998"/>
    <n v="3.581"/>
    <n v="5.5434000000000001"/>
  </r>
  <r>
    <x v="1"/>
    <x v="11"/>
    <d v="2025-06-12T00:00:00"/>
    <n v="69.36"/>
    <n v="68.040000000000006"/>
    <n v="2.1886999999999999"/>
    <n v="2.1429"/>
    <n v="3.492"/>
    <n v="5.5369999999999999"/>
  </r>
  <r>
    <x v="1"/>
    <x v="11"/>
    <d v="2025-06-11T00:00:00"/>
    <n v="69.77"/>
    <n v="68.150000000000006"/>
    <n v="2.2052999999999998"/>
    <n v="2.1667999999999998"/>
    <n v="3.5070000000000001"/>
    <n v="5.5359999999999996"/>
  </r>
  <r>
    <x v="1"/>
    <x v="11"/>
    <d v="2025-06-10T00:00:00"/>
    <n v="66.87"/>
    <n v="64.98"/>
    <n v="2.1415999999999999"/>
    <n v="2.0880000000000001"/>
    <n v="3.5329999999999999"/>
    <n v="5.5739000000000001"/>
  </r>
  <r>
    <x v="1"/>
    <x v="11"/>
    <d v="2025-06-09T00:00:00"/>
    <n v="67.040000000000006"/>
    <n v="65.290000000000006"/>
    <n v="2.1463999999999999"/>
    <n v="2.0952000000000002"/>
    <n v="3.6349999999999998"/>
    <n v="5.5583999999999998"/>
  </r>
  <r>
    <x v="1"/>
    <x v="11"/>
    <d v="2025-06-06T00:00:00"/>
    <n v="66.47"/>
    <n v="64.58"/>
    <n v="2.1253000000000002"/>
    <n v="2.0768"/>
    <n v="3.7839999999999998"/>
    <n v="5.5587"/>
  </r>
  <r>
    <x v="1"/>
    <x v="11"/>
    <d v="2025-06-05T00:00:00"/>
    <n v="65.34"/>
    <n v="63.37"/>
    <n v="2.0945"/>
    <n v="2.0629"/>
    <n v="3.677"/>
    <n v="5.5884999999999998"/>
  </r>
  <r>
    <x v="1"/>
    <x v="11"/>
    <d v="2025-06-04T00:00:00"/>
    <n v="64.86"/>
    <n v="62.85"/>
    <n v="2.0701000000000001"/>
    <n v="2.0339999999999998"/>
    <n v="3.7160000000000002"/>
    <n v="5.6361999999999997"/>
  </r>
  <r>
    <x v="1"/>
    <x v="11"/>
    <d v="2025-06-03T00:00:00"/>
    <n v="65.63"/>
    <n v="63.41"/>
    <n v="2.0998999999999999"/>
    <n v="2.0788000000000002"/>
    <n v="3.722"/>
    <n v="5.6383000000000001"/>
  </r>
  <r>
    <x v="1"/>
    <x v="11"/>
    <d v="2025-06-02T00:00:00"/>
    <n v="64.63"/>
    <n v="62.52"/>
    <n v="2.0445000000000002"/>
    <n v="2.0525000000000002"/>
    <n v="3.694"/>
    <n v="5.6726000000000001"/>
  </r>
  <r>
    <x v="1"/>
    <x v="0"/>
    <d v="2025-05-30T00:00:00"/>
    <n v="63.9"/>
    <n v="60.79"/>
    <n v="2.0171999999999999"/>
    <n v="2.0384000000000002"/>
    <n v="3.4470000000000001"/>
    <n v="5.7224000000000004"/>
  </r>
  <r>
    <x v="1"/>
    <x v="0"/>
    <d v="2025-05-29T00:00:00"/>
    <n v="64.150000000000006"/>
    <n v="60.94"/>
    <n v="2.0482"/>
    <n v="2.0594000000000001"/>
    <n v="3.5219999999999998"/>
    <n v="5.6661999999999999"/>
  </r>
  <r>
    <x v="1"/>
    <x v="0"/>
    <d v="2025-05-28T00:00:00"/>
    <n v="64.900000000000006"/>
    <n v="61.84"/>
    <n v="2.0880999999999998"/>
    <n v="2.0891999999999999"/>
    <n v="3.2040000000000002"/>
    <n v="5.6886999999999999"/>
  </r>
  <r>
    <x v="1"/>
    <x v="0"/>
    <d v="2025-05-27T00:00:00"/>
    <n v="64.09"/>
    <n v="60.89"/>
    <n v="2.0794000000000001"/>
    <n v="2.0714999999999999"/>
    <n v="3.3980000000000001"/>
    <n v="5.6414"/>
  </r>
  <r>
    <x v="1"/>
    <x v="0"/>
    <d v="2025-05-26T00:00:00"/>
    <n v="64.739999999999995"/>
    <m/>
    <m/>
    <m/>
    <m/>
    <n v="5.6688000000000001"/>
  </r>
  <r>
    <x v="1"/>
    <x v="0"/>
    <d v="2025-05-23T00:00:00"/>
    <n v="64.78"/>
    <n v="61.53"/>
    <n v="2.1048"/>
    <n v="2.1092"/>
    <n v="3.3340000000000001"/>
    <n v="5.6463000000000001"/>
  </r>
  <r>
    <x v="1"/>
    <x v="0"/>
    <d v="2025-05-22T00:00:00"/>
    <n v="64.44"/>
    <n v="61.2"/>
    <n v="2.1175000000000002"/>
    <n v="2.1312000000000002"/>
    <n v="3.2530000000000001"/>
    <n v="5.7145000000000001"/>
  </r>
  <r>
    <x v="1"/>
    <x v="0"/>
    <d v="2025-05-21T00:00:00"/>
    <n v="64.91"/>
    <n v="61.57"/>
    <n v="2.1391"/>
    <n v="2.1497999999999999"/>
    <n v="3.3679999999999999"/>
    <n v="5.6448"/>
  </r>
  <r>
    <x v="1"/>
    <x v="0"/>
    <d v="2025-05-20T00:00:00"/>
    <n v="65.38"/>
    <n v="62.56"/>
    <n v="2.1288999999999998"/>
    <n v="2.1520999999999999"/>
    <n v="3.427"/>
    <n v="5.6677"/>
  </r>
  <r>
    <x v="1"/>
    <x v="0"/>
    <d v="2025-05-19T00:00:00"/>
    <n v="65.540000000000006"/>
    <n v="62.69"/>
    <n v="2.1276999999999999"/>
    <n v="2.1387999999999998"/>
    <n v="3.113"/>
    <n v="5.6512000000000002"/>
  </r>
  <r>
    <x v="1"/>
    <x v="0"/>
    <d v="2025-05-16T00:00:00"/>
    <n v="65.41"/>
    <n v="62.49"/>
    <n v="2.1406000000000001"/>
    <n v="2.1417999999999999"/>
    <n v="3.3340000000000001"/>
    <n v="5.6624999999999996"/>
  </r>
  <r>
    <x v="1"/>
    <x v="0"/>
    <d v="2025-05-15T00:00:00"/>
    <n v="64.53"/>
    <n v="61.62"/>
    <n v="2.1659999999999999"/>
    <n v="2.1343999999999999"/>
    <n v="3.3620000000000001"/>
    <n v="5.6813000000000002"/>
  </r>
  <r>
    <x v="1"/>
    <x v="0"/>
    <d v="2025-05-14T00:00:00"/>
    <n v="66.09"/>
    <n v="63.15"/>
    <n v="2.2061000000000002"/>
    <n v="2.17"/>
    <n v="3.492"/>
    <n v="5.6380999999999997"/>
  </r>
  <r>
    <x v="1"/>
    <x v="0"/>
    <d v="2025-05-13T00:00:00"/>
    <n v="66.63"/>
    <n v="63.67"/>
    <n v="2.1713"/>
    <n v="2.1659999999999999"/>
    <n v="3.6469999999999998"/>
    <n v="5.6079999999999997"/>
  </r>
  <r>
    <x v="1"/>
    <x v="0"/>
    <d v="2025-05-12T00:00:00"/>
    <n v="64.959999999999994"/>
    <n v="61.95"/>
    <n v="2.1111"/>
    <n v="2.1331000000000002"/>
    <n v="3.6459999999999999"/>
    <n v="5.6746999999999996"/>
  </r>
  <r>
    <x v="1"/>
    <x v="0"/>
    <d v="2025-05-09T00:00:00"/>
    <n v="63.91"/>
    <n v="61.02"/>
    <n v="2.0663999999999998"/>
    <n v="2.1084000000000001"/>
    <n v="3.7949999999999999"/>
    <n v="5.6553000000000004"/>
  </r>
  <r>
    <x v="1"/>
    <x v="0"/>
    <d v="2025-05-08T00:00:00"/>
    <n v="62.84"/>
    <n v="59.91"/>
    <n v="2.04"/>
    <n v="2.0853999999999999"/>
    <n v="3.5920000000000001"/>
    <n v="5.6604000000000001"/>
  </r>
  <r>
    <x v="1"/>
    <x v="0"/>
    <d v="2025-05-07T00:00:00"/>
    <n v="61.12"/>
    <n v="58.07"/>
    <n v="1.9765999999999999"/>
    <n v="2.0278"/>
    <n v="3.621"/>
    <n v="5.7453000000000003"/>
  </r>
  <r>
    <x v="1"/>
    <x v="0"/>
    <d v="2025-05-06T00:00:00"/>
    <n v="62.15"/>
    <n v="59.09"/>
    <n v="2.0087999999999999"/>
    <n v="2.0644999999999998"/>
    <n v="3.4630000000000001"/>
    <n v="5.7127999999999997"/>
  </r>
  <r>
    <x v="1"/>
    <x v="0"/>
    <d v="2025-05-05T00:00:00"/>
    <n v="60.23"/>
    <n v="57.13"/>
    <n v="1.9744999999999999"/>
    <n v="2.0228000000000002"/>
    <n v="3.55"/>
    <n v="5.6878000000000002"/>
  </r>
  <r>
    <x v="1"/>
    <x v="0"/>
    <d v="2025-05-02T00:00:00"/>
    <n v="61.29"/>
    <n v="58.29"/>
    <n v="1.9932000000000001"/>
    <n v="2.0198999999999998"/>
    <n v="3.63"/>
    <n v="5.6570999999999998"/>
  </r>
  <r>
    <x v="1"/>
    <x v="0"/>
    <d v="2025-05-01T00:00:00"/>
    <n v="62.13"/>
    <n v="59.24"/>
    <n v="2.012"/>
    <n v="2.0491999999999999"/>
    <n v="3.4790000000000001"/>
    <n v="5.6729000000000003"/>
  </r>
  <r>
    <x v="1"/>
    <x v="1"/>
    <d v="2025-04-30T00:00:00"/>
    <n v="63.12"/>
    <n v="58.21"/>
    <n v="2.0367000000000002"/>
    <n v="2.0369999999999999"/>
    <n v="3.3260000000000001"/>
    <n v="5.6740000000000004"/>
  </r>
  <r>
    <x v="1"/>
    <x v="1"/>
    <d v="2025-04-29T00:00:00"/>
    <n v="64.25"/>
    <n v="60.42"/>
    <n v="2.1204000000000001"/>
    <n v="2.0712000000000002"/>
    <n v="3.3860000000000001"/>
    <n v="5.6204999999999998"/>
  </r>
  <r>
    <x v="1"/>
    <x v="1"/>
    <d v="2025-04-28T00:00:00"/>
    <n v="65.86"/>
    <n v="62.05"/>
    <n v="2.1755"/>
    <n v="2.1057999999999999"/>
    <n v="3.17"/>
    <n v="5.6542000000000003"/>
  </r>
  <r>
    <x v="1"/>
    <x v="1"/>
    <d v="2025-04-25T00:00:00"/>
    <n v="66.87"/>
    <n v="63.02"/>
    <n v="2.1673"/>
    <n v="2.1189"/>
    <n v="2.9369999999999998"/>
    <n v="5.6833"/>
  </r>
  <r>
    <x v="1"/>
    <x v="1"/>
    <d v="2025-04-24T00:00:00"/>
    <n v="66.55"/>
    <n v="62.79"/>
    <n v="2.1436999999999999"/>
    <n v="2.1057000000000001"/>
    <n v="2.93"/>
    <n v="5.6825000000000001"/>
  </r>
  <r>
    <x v="1"/>
    <x v="1"/>
    <d v="2025-04-23T00:00:00"/>
    <n v="66.12"/>
    <n v="62.27"/>
    <n v="2.1269"/>
    <n v="2.0838999999999999"/>
    <n v="3.0219999999999998"/>
    <n v="5.7089999999999996"/>
  </r>
  <r>
    <x v="1"/>
    <x v="1"/>
    <d v="2025-04-22T00:00:00"/>
    <n v="67.44"/>
    <n v="64.31"/>
    <n v="2.1486000000000001"/>
    <n v="2.0996000000000001"/>
    <n v="3.0070000000000001"/>
    <n v="5.7249999999999996"/>
  </r>
  <r>
    <x v="1"/>
    <x v="1"/>
    <d v="2025-04-21T00:00:00"/>
    <n v="66.260000000000005"/>
    <n v="63.08"/>
    <n v="2.1089000000000002"/>
    <n v="2.0653000000000001"/>
    <n v="3.016"/>
    <n v="5.8067000000000002"/>
  </r>
  <r>
    <x v="1"/>
    <x v="1"/>
    <d v="2025-04-18T00:00:00"/>
    <m/>
    <m/>
    <m/>
    <m/>
    <m/>
    <n v="5.8067000000000002"/>
  </r>
  <r>
    <x v="1"/>
    <x v="1"/>
    <d v="2025-04-17T00:00:00"/>
    <n v="67.959999999999994"/>
    <n v="64.680000000000007"/>
    <n v="2.1522999999999999"/>
    <n v="2.0988000000000002"/>
    <n v="3.2450000000000001"/>
    <n v="5.8063000000000002"/>
  </r>
  <r>
    <x v="1"/>
    <x v="1"/>
    <d v="2025-04-16T00:00:00"/>
    <n v="65.849999999999994"/>
    <n v="62.47"/>
    <n v="2.1154000000000002"/>
    <n v="2.0434000000000001"/>
    <n v="3.2469999999999999"/>
    <n v="5.8663999999999996"/>
  </r>
  <r>
    <x v="1"/>
    <x v="1"/>
    <d v="2025-04-15T00:00:00"/>
    <n v="64.67"/>
    <n v="61.33"/>
    <n v="2.0783999999999998"/>
    <n v="2.0244"/>
    <n v="3.3290000000000002"/>
    <n v="5.8859000000000004"/>
  </r>
  <r>
    <x v="1"/>
    <x v="1"/>
    <d v="2025-04-14T00:00:00"/>
    <n v="64.88"/>
    <n v="61.53"/>
    <n v="2.0916999999999999"/>
    <n v="2.0222000000000002"/>
    <n v="3.3250000000000002"/>
    <n v="5.8551000000000002"/>
  </r>
  <r>
    <x v="1"/>
    <x v="1"/>
    <d v="2025-04-11T00:00:00"/>
    <n v="64.760000000000005"/>
    <n v="61.5"/>
    <n v="2.0653000000000001"/>
    <n v="1.9991000000000001"/>
    <n v="3.5270000000000001"/>
    <n v="5.8647999999999998"/>
  </r>
  <r>
    <x v="1"/>
    <x v="1"/>
    <d v="2025-04-10T00:00:00"/>
    <n v="63.33"/>
    <n v="60.07"/>
    <n v="2.0464000000000002"/>
    <n v="1.9613"/>
    <n v="3.5569999999999999"/>
    <n v="5.8856000000000002"/>
  </r>
  <r>
    <x v="1"/>
    <x v="1"/>
    <d v="2025-04-09T00:00:00"/>
    <n v="65.48"/>
    <n v="62.35"/>
    <n v="2.1135999999999999"/>
    <n v="2.0384000000000002"/>
    <n v="3.8159999999999998"/>
    <n v="5.8215000000000003"/>
  </r>
  <r>
    <x v="1"/>
    <x v="1"/>
    <d v="2025-04-08T00:00:00"/>
    <n v="62.82"/>
    <n v="59.58"/>
    <n v="2.0569999999999999"/>
    <n v="1.9914000000000001"/>
    <n v="3.4649999999999999"/>
    <n v="6.0109000000000004"/>
  </r>
  <r>
    <x v="1"/>
    <x v="1"/>
    <d v="2025-04-07T00:00:00"/>
    <n v="64.209999999999994"/>
    <n v="60.7"/>
    <n v="2.0699000000000001"/>
    <n v="2.0200999999999998"/>
    <n v="3.6549999999999998"/>
    <n v="5.9138999999999999"/>
  </r>
  <r>
    <x v="1"/>
    <x v="1"/>
    <d v="2025-04-04T00:00:00"/>
    <n v="65.58"/>
    <n v="61.99"/>
    <n v="2.0819000000000001"/>
    <n v="2.0545"/>
    <n v="3.8370000000000002"/>
    <n v="5.8425000000000002"/>
  </r>
  <r>
    <x v="1"/>
    <x v="1"/>
    <d v="2025-04-03T00:00:00"/>
    <n v="70.14"/>
    <n v="66.95"/>
    <n v="2.1888999999999998"/>
    <n v="2.1642999999999999"/>
    <n v="4.1379999999999999"/>
    <n v="5.6289999999999996"/>
  </r>
  <r>
    <x v="1"/>
    <x v="1"/>
    <d v="2025-04-02T00:00:00"/>
    <n v="74.95"/>
    <n v="71.709999999999994"/>
    <n v="2.3220000000000001"/>
    <n v="2.331"/>
    <n v="4.0549999999999997"/>
    <n v="5.6607000000000003"/>
  </r>
  <r>
    <x v="1"/>
    <x v="1"/>
    <d v="2025-04-01T00:00:00"/>
    <n v="74.489999999999995"/>
    <n v="71.2"/>
    <n v="2.2888999999999999"/>
    <n v="2.3025000000000002"/>
    <n v="3.9510000000000001"/>
    <n v="5.6814999999999998"/>
  </r>
  <r>
    <x v="1"/>
    <x v="2"/>
    <d v="2025-03-31T00:00:00"/>
    <n v="74.739999999999995"/>
    <n v="71.48"/>
    <n v="2.3140000000000001"/>
    <n v="2.2831000000000001"/>
    <n v="4.1189999999999998"/>
    <n v="5.7046999999999999"/>
  </r>
  <r>
    <x v="1"/>
    <x v="2"/>
    <d v="2025-03-28T00:00:00"/>
    <n v="73.63"/>
    <n v="69.36"/>
    <n v="2.2608999999999999"/>
    <n v="2.2347000000000001"/>
    <n v="4.0650000000000004"/>
    <n v="5.7603999999999997"/>
  </r>
  <r>
    <x v="1"/>
    <x v="2"/>
    <d v="2025-03-27T00:00:00"/>
    <n v="74.03"/>
    <n v="69.92"/>
    <n v="2.2847"/>
    <n v="2.2464"/>
    <n v="3.95"/>
    <n v="5.7451999999999996"/>
  </r>
  <r>
    <x v="1"/>
    <x v="2"/>
    <d v="2025-03-26T00:00:00"/>
    <n v="73.790000000000006"/>
    <n v="69.650000000000006"/>
    <n v="2.2887"/>
    <n v="2.2328000000000001"/>
    <n v="3.8610000000000002"/>
    <n v="5.7359"/>
  </r>
  <r>
    <x v="1"/>
    <x v="2"/>
    <d v="2025-03-25T00:00:00"/>
    <n v="73.02"/>
    <n v="69"/>
    <n v="2.2858999999999998"/>
    <n v="2.2086999999999999"/>
    <n v="3.84"/>
    <n v="5.6989000000000001"/>
  </r>
  <r>
    <x v="1"/>
    <x v="2"/>
    <d v="2025-03-24T00:00:00"/>
    <n v="73"/>
    <n v="69.11"/>
    <n v="2.2570999999999999"/>
    <n v="2.2065999999999999"/>
    <n v="3.9140000000000001"/>
    <n v="5.7645999999999997"/>
  </r>
  <r>
    <x v="1"/>
    <x v="2"/>
    <d v="2025-03-21T00:00:00"/>
    <n v="72.16"/>
    <n v="68.28"/>
    <n v="2.2496"/>
    <n v="2.1953999999999998"/>
    <n v="3.98"/>
    <n v="5.7290999999999999"/>
  </r>
  <r>
    <x v="1"/>
    <x v="2"/>
    <d v="2025-03-20T00:00:00"/>
    <n v="72"/>
    <n v="68.260000000000005"/>
    <n v="2.2543000000000002"/>
    <n v="2.1911"/>
    <n v="3.9750000000000001"/>
    <n v="5.6797000000000004"/>
  </r>
  <r>
    <x v="1"/>
    <x v="2"/>
    <d v="2025-03-19T00:00:00"/>
    <n v="70.78"/>
    <n v="67.16"/>
    <n v="2.2319"/>
    <n v="2.1696"/>
    <n v="4.2469999999999999"/>
    <n v="5.6485000000000003"/>
  </r>
  <r>
    <x v="1"/>
    <x v="2"/>
    <d v="2025-03-18T00:00:00"/>
    <n v="70.56"/>
    <n v="66.900000000000006"/>
    <n v="2.1945000000000001"/>
    <n v="2.1684000000000001"/>
    <n v="4.0519999999999996"/>
    <n v="5.6704999999999997"/>
  </r>
  <r>
    <x v="1"/>
    <x v="2"/>
    <d v="2025-03-17T00:00:00"/>
    <n v="71.069999999999993"/>
    <n v="67.58"/>
    <n v="2.2038000000000002"/>
    <n v="2.1812"/>
    <n v="4.0179999999999998"/>
    <n v="5.6835000000000004"/>
  </r>
  <r>
    <x v="1"/>
    <x v="2"/>
    <d v="2025-03-14T00:00:00"/>
    <n v="70.58"/>
    <n v="67.180000000000007"/>
    <n v="2.1665999999999999"/>
    <n v="2.1486999999999998"/>
    <n v="4.1040000000000001"/>
    <n v="5.7385000000000002"/>
  </r>
  <r>
    <x v="1"/>
    <x v="2"/>
    <d v="2025-03-13T00:00:00"/>
    <n v="69.88"/>
    <n v="66.55"/>
    <n v="2.1621999999999999"/>
    <n v="2.1331000000000002"/>
    <n v="4.1109999999999998"/>
    <n v="5.7990000000000004"/>
  </r>
  <r>
    <x v="1"/>
    <x v="2"/>
    <d v="2025-03-12T00:00:00"/>
    <n v="70.95"/>
    <n v="67.680000000000007"/>
    <n v="2.2063000000000001"/>
    <n v="2.1501000000000001"/>
    <n v="4.0839999999999996"/>
    <n v="5.7977999999999996"/>
  </r>
  <r>
    <x v="1"/>
    <x v="2"/>
    <d v="2025-03-11T00:00:00"/>
    <n v="69.56"/>
    <n v="66.25"/>
    <n v="2.1968000000000001"/>
    <n v="2.105"/>
    <n v="4.4530000000000003"/>
    <n v="5.8102999999999998"/>
  </r>
  <r>
    <x v="1"/>
    <x v="2"/>
    <d v="2025-03-10T00:00:00"/>
    <n v="69.28"/>
    <n v="66.03"/>
    <n v="2.1798999999999999"/>
    <n v="2.0924999999999998"/>
    <n v="4.4909999999999997"/>
    <n v="5.8555000000000001"/>
  </r>
  <r>
    <x v="1"/>
    <x v="2"/>
    <d v="2025-03-07T00:00:00"/>
    <n v="70.36"/>
    <n v="67.040000000000006"/>
    <n v="2.2160000000000002"/>
    <n v="2.1086999999999998"/>
    <n v="4.399"/>
    <n v="5.7873999999999999"/>
  </r>
  <r>
    <x v="1"/>
    <x v="2"/>
    <d v="2025-03-06T00:00:00"/>
    <n v="69.459999999999994"/>
    <n v="66.36"/>
    <n v="2.2238000000000002"/>
    <n v="2.1012"/>
    <n v="4.3019999999999996"/>
    <n v="5.7638999999999996"/>
  </r>
  <r>
    <x v="1"/>
    <x v="2"/>
    <d v="2025-03-05T00:00:00"/>
    <n v="69.3"/>
    <n v="66.31"/>
    <n v="2.2408000000000001"/>
    <n v="2.137"/>
    <n v="4.45"/>
    <n v="5.7393999999999998"/>
  </r>
  <r>
    <x v="1"/>
    <x v="2"/>
    <d v="2025-03-04T00:00:00"/>
    <n v="71.040000000000006"/>
    <n v="68.260000000000005"/>
    <n v="2.2871999999999999"/>
    <n v="2.1941999999999999"/>
    <n v="4.3499999999999996"/>
    <n v="5.8852000000000002"/>
  </r>
  <r>
    <x v="1"/>
    <x v="2"/>
    <d v="2025-03-03T00:00:00"/>
    <n v="71.62"/>
    <n v="68.37"/>
    <n v="2.2604000000000002"/>
    <n v="2.1878000000000002"/>
    <n v="4.1219999999999999"/>
    <n v="5.8852000000000002"/>
  </r>
  <r>
    <x v="1"/>
    <x v="3"/>
    <d v="2025-02-28T00:00:00"/>
    <n v="73.180000000000007"/>
    <n v="69.760000000000005"/>
    <n v="2.3549000000000002"/>
    <n v="1.9702999999999999"/>
    <n v="3.8340000000000001"/>
    <n v="5.8852000000000002"/>
  </r>
  <r>
    <x v="1"/>
    <x v="3"/>
    <d v="2025-02-27T00:00:00"/>
    <n v="74.040000000000006"/>
    <n v="70.349999999999994"/>
    <n v="2.3959000000000001"/>
    <n v="1.9965999999999999"/>
    <n v="3.9340000000000002"/>
    <n v="5.8400999999999996"/>
  </r>
  <r>
    <x v="1"/>
    <x v="3"/>
    <d v="2025-02-26T00:00:00"/>
    <n v="72.53"/>
    <n v="68.62"/>
    <n v="2.3443000000000001"/>
    <n v="1.9489000000000001"/>
    <n v="3.9060000000000001"/>
    <n v="5.8034999999999997"/>
  </r>
  <r>
    <x v="1"/>
    <x v="3"/>
    <d v="2025-02-25T00:00:00"/>
    <n v="73.02"/>
    <n v="68.930000000000007"/>
    <n v="2.3902999999999999"/>
    <n v="1.9673"/>
    <n v="4.1740000000000004"/>
    <n v="5.7396000000000003"/>
  </r>
  <r>
    <x v="1"/>
    <x v="3"/>
    <d v="2025-02-24T00:00:00"/>
    <n v="74.78"/>
    <n v="70.7"/>
    <n v="2.4358"/>
    <n v="2.0110000000000001"/>
    <n v="3.9940000000000002"/>
    <n v="5.7785000000000002"/>
  </r>
  <r>
    <x v="1"/>
    <x v="3"/>
    <d v="2025-02-21T00:00:00"/>
    <n v="74.430000000000007"/>
    <n v="70.400000000000006"/>
    <n v="2.4323000000000001"/>
    <n v="2.0266999999999999"/>
    <n v="4.234"/>
    <n v="5.7320000000000002"/>
  </r>
  <r>
    <x v="1"/>
    <x v="3"/>
    <d v="2025-02-20T00:00:00"/>
    <n v="76.48"/>
    <n v="72.569999999999993"/>
    <n v="2.5034000000000001"/>
    <n v="2.0865"/>
    <n v="4.1520000000000001"/>
    <n v="5.7028999999999996"/>
  </r>
  <r>
    <x v="1"/>
    <x v="3"/>
    <d v="2025-02-19T00:00:00"/>
    <n v="76.040000000000006"/>
    <n v="72.25"/>
    <n v="2.4565000000000001"/>
    <n v="2.0865"/>
    <n v="4.28"/>
    <n v="5.7214"/>
  </r>
  <r>
    <x v="1"/>
    <x v="3"/>
    <d v="2025-02-18T00:00:00"/>
    <n v="75.84"/>
    <n v="71.849999999999994"/>
    <n v="2.4405999999999999"/>
    <n v="2.0867"/>
    <n v="4.0069999999999997"/>
    <n v="5.6891999999999996"/>
  </r>
  <r>
    <x v="1"/>
    <x v="3"/>
    <d v="2025-02-17T00:00:00"/>
    <n v="75.22"/>
    <m/>
    <m/>
    <m/>
    <m/>
    <n v="5.7130000000000001"/>
  </r>
  <r>
    <x v="1"/>
    <x v="3"/>
    <d v="2025-02-14T00:00:00"/>
    <n v="74.739999999999995"/>
    <n v="70.739999999999995"/>
    <n v="2.4618000000000002"/>
    <n v="2.0899000000000001"/>
    <n v="3.7250000000000001"/>
    <n v="5.7042000000000002"/>
  </r>
  <r>
    <x v="1"/>
    <x v="3"/>
    <d v="2025-02-13T00:00:00"/>
    <n v="75.02"/>
    <n v="71.290000000000006"/>
    <n v="2.4487000000000001"/>
    <n v="2.1107"/>
    <n v="3.6280000000000001"/>
    <n v="5.7668999999999997"/>
  </r>
  <r>
    <x v="1"/>
    <x v="3"/>
    <d v="2025-02-12T00:00:00"/>
    <n v="75.180000000000007"/>
    <n v="71.37"/>
    <n v="2.452"/>
    <n v="2.0895999999999999"/>
    <n v="3.5649999999999999"/>
    <n v="5.7648999999999999"/>
  </r>
  <r>
    <x v="1"/>
    <x v="3"/>
    <d v="2025-02-11T00:00:00"/>
    <n v="77"/>
    <n v="73.319999999999993"/>
    <n v="2.5146000000000002"/>
    <n v="2.1473"/>
    <n v="3.5190000000000001"/>
    <n v="5.7634999999999996"/>
  </r>
  <r>
    <x v="1"/>
    <x v="3"/>
    <d v="2025-02-10T00:00:00"/>
    <n v="75.87"/>
    <n v="72.319999999999993"/>
    <n v="2.4508999999999999"/>
    <n v="2.1042000000000001"/>
    <n v="3.444"/>
    <n v="5.7873999999999999"/>
  </r>
  <r>
    <x v="1"/>
    <x v="3"/>
    <d v="2025-02-07T00:00:00"/>
    <n v="74.66"/>
    <n v="71"/>
    <n v="2.4308000000000001"/>
    <n v="2.105"/>
    <n v="3.3090000000000002"/>
    <n v="5.8057999999999996"/>
  </r>
  <r>
    <x v="1"/>
    <x v="3"/>
    <d v="2025-02-06T00:00:00"/>
    <n v="74.290000000000006"/>
    <n v="70.61"/>
    <n v="2.3980000000000001"/>
    <n v="2.0747"/>
    <n v="3.4079999999999999"/>
    <n v="5.7617000000000003"/>
  </r>
  <r>
    <x v="1"/>
    <x v="3"/>
    <d v="2025-02-05T00:00:00"/>
    <n v="74.61"/>
    <n v="71.03"/>
    <n v="2.3841999999999999"/>
    <n v="2.0507"/>
    <n v="3.36"/>
    <n v="5.7972999999999999"/>
  </r>
  <r>
    <x v="1"/>
    <x v="3"/>
    <d v="2025-02-04T00:00:00"/>
    <n v="76.2"/>
    <n v="72.7"/>
    <n v="2.4298000000000002"/>
    <n v="2.0990000000000002"/>
    <n v="3.2530000000000001"/>
    <n v="5.7539999999999996"/>
  </r>
  <r>
    <x v="1"/>
    <x v="3"/>
    <d v="2025-02-03T00:00:00"/>
    <n v="75.959999999999994"/>
    <n v="73.16"/>
    <n v="2.4630999999999998"/>
    <n v="2.1177000000000001"/>
    <n v="3.3519999999999999"/>
    <n v="5.8066000000000004"/>
  </r>
  <r>
    <x v="1"/>
    <x v="4"/>
    <d v="2025-01-31T00:00:00"/>
    <n v="76.760000000000005"/>
    <n v="72.53"/>
    <n v="2.4845000000000002"/>
    <n v="2.0365000000000002"/>
    <n v="3.044"/>
    <n v="5.8410000000000002"/>
  </r>
  <r>
    <x v="1"/>
    <x v="4"/>
    <d v="2025-01-30T00:00:00"/>
    <n v="76.87"/>
    <n v="72.73"/>
    <n v="2.4754"/>
    <n v="2.0373999999999999"/>
    <n v="3.0470000000000002"/>
    <n v="5.8739999999999997"/>
  </r>
  <r>
    <x v="1"/>
    <x v="4"/>
    <d v="2025-01-29T00:00:00"/>
    <n v="76.58"/>
    <n v="72.62"/>
    <n v="2.4540000000000002"/>
    <n v="2.0356999999999998"/>
    <n v="3.5350000000000001"/>
    <n v="5.8563000000000001"/>
  </r>
  <r>
    <x v="1"/>
    <x v="4"/>
    <d v="2025-01-28T00:00:00"/>
    <n v="77.489999999999995"/>
    <n v="73.77"/>
    <n v="2.4500999999999999"/>
    <n v="2.0526"/>
    <n v="3.4710000000000001"/>
    <n v="5.8571"/>
  </r>
  <r>
    <x v="1"/>
    <x v="4"/>
    <d v="2025-01-27T00:00:00"/>
    <n v="77.08"/>
    <n v="73.17"/>
    <n v="2.46"/>
    <n v="2.0282"/>
    <n v="3.6970000000000001"/>
    <n v="5.8925999999999998"/>
  </r>
  <r>
    <x v="1"/>
    <x v="4"/>
    <d v="2025-01-24T00:00:00"/>
    <n v="78.5"/>
    <n v="74.66"/>
    <n v="2.5162"/>
    <n v="2.0489999999999999"/>
    <n v="4.0270000000000001"/>
    <n v="5.9108999999999998"/>
  </r>
  <r>
    <x v="1"/>
    <x v="4"/>
    <d v="2025-01-23T00:00:00"/>
    <n v="78.290000000000006"/>
    <n v="74.62"/>
    <n v="2.4714999999999998"/>
    <n v="2.0655999999999999"/>
    <n v="3.9449999999999998"/>
    <n v="5.9242999999999997"/>
  </r>
  <r>
    <x v="1"/>
    <x v="4"/>
    <d v="2025-01-22T00:00:00"/>
    <n v="79"/>
    <n v="75.44"/>
    <n v="2.4842"/>
    <n v="2.0577999999999999"/>
    <n v="3.96"/>
    <n v="5.9414999999999996"/>
  </r>
  <r>
    <x v="1"/>
    <x v="4"/>
    <d v="2025-01-21T00:00:00"/>
    <n v="79.290000000000006"/>
    <n v="75.89"/>
    <n v="2.5581"/>
    <n v="2.0842999999999998"/>
    <n v="3.7559999999999998"/>
    <n v="6.0220000000000002"/>
  </r>
  <r>
    <x v="1"/>
    <x v="4"/>
    <d v="2025-01-20T00:00:00"/>
    <n v="80.150000000000006"/>
    <m/>
    <m/>
    <m/>
    <m/>
    <n v="6.0315000000000003"/>
  </r>
  <r>
    <x v="1"/>
    <x v="4"/>
    <d v="2025-01-17T00:00:00"/>
    <n v="80.790000000000006"/>
    <n v="77.88"/>
    <n v="2.621"/>
    <n v="2.1122000000000001"/>
    <n v="3.948"/>
    <n v="6.0704000000000002"/>
  </r>
  <r>
    <x v="1"/>
    <x v="4"/>
    <d v="2025-01-16T00:00:00"/>
    <n v="81.290000000000006"/>
    <n v="78.680000000000007"/>
    <n v="2.6172"/>
    <n v="2.1232000000000002"/>
    <n v="4.258"/>
    <n v="6.0499000000000001"/>
  </r>
  <r>
    <x v="1"/>
    <x v="4"/>
    <d v="2025-01-15T00:00:00"/>
    <n v="82.03"/>
    <n v="80.040000000000006"/>
    <n v="2.6135000000000002"/>
    <n v="2.1589"/>
    <n v="4.0830000000000002"/>
    <n v="6.0098000000000003"/>
  </r>
  <r>
    <x v="1"/>
    <x v="4"/>
    <d v="2025-01-14T00:00:00"/>
    <n v="79.92"/>
    <n v="77.5"/>
    <n v="2.5253000000000001"/>
    <n v="2.1046"/>
    <n v="3.968"/>
    <n v="6.0559000000000003"/>
  </r>
  <r>
    <x v="1"/>
    <x v="4"/>
    <d v="2025-01-13T00:00:00"/>
    <n v="81.010000000000005"/>
    <n v="78.819999999999993"/>
    <n v="2.5333000000000001"/>
    <n v="2.1002999999999998"/>
    <n v="3.9340000000000002"/>
    <n v="6.0944000000000003"/>
  </r>
  <r>
    <x v="1"/>
    <x v="4"/>
    <d v="2025-01-10T00:00:00"/>
    <n v="79.760000000000005"/>
    <n v="76.569999999999993"/>
    <n v="2.5017"/>
    <n v="2.0749"/>
    <n v="3.9889999999999999"/>
    <n v="6.1052999999999997"/>
  </r>
  <r>
    <x v="1"/>
    <x v="4"/>
    <d v="2025-01-09T00:00:00"/>
    <n v="76.92"/>
    <n v="73.92"/>
    <n v="2.3782000000000001"/>
    <n v="2.0283000000000002"/>
    <n v="3.7010000000000001"/>
    <n v="6.0364000000000004"/>
  </r>
  <r>
    <x v="1"/>
    <x v="4"/>
    <d v="2025-01-08T00:00:00"/>
    <n v="76.16"/>
    <n v="73.319999999999993"/>
    <n v="2.3506999999999998"/>
    <n v="2.0102000000000002"/>
    <n v="3.6509999999999998"/>
    <n v="6.1055000000000001"/>
  </r>
  <r>
    <x v="1"/>
    <x v="4"/>
    <d v="2025-01-07T00:00:00"/>
    <n v="77.05"/>
    <n v="74.25"/>
    <n v="2.3662999999999998"/>
    <n v="2.0266000000000002"/>
    <n v="3.4489999999999998"/>
    <n v="6.101"/>
  </r>
  <r>
    <x v="1"/>
    <x v="4"/>
    <d v="2025-01-06T00:00:00"/>
    <n v="76.3"/>
    <n v="73.56"/>
    <n v="2.3552"/>
    <n v="2.0354999999999999"/>
    <n v="3.6720000000000002"/>
    <n v="6.1151999999999997"/>
  </r>
  <r>
    <x v="1"/>
    <x v="4"/>
    <d v="2025-01-03T00:00:00"/>
    <n v="76.510000000000005"/>
    <n v="73.959999999999994"/>
    <n v="2.3477999999999999"/>
    <n v="2.0537000000000001"/>
    <n v="3.3540000000000001"/>
    <n v="6.1798000000000002"/>
  </r>
  <r>
    <x v="1"/>
    <x v="4"/>
    <d v="2025-01-02T00:00:00"/>
    <n v="75.930000000000007"/>
    <n v="73.13"/>
    <n v="2.3540000000000001"/>
    <n v="2.0518999999999998"/>
    <n v="3.66"/>
    <n v="6.1519000000000004"/>
  </r>
  <r>
    <x v="1"/>
    <x v="4"/>
    <d v="2025-01-01T00:00:00"/>
    <m/>
    <m/>
    <m/>
    <m/>
    <m/>
    <n v="6.1840000000000002"/>
  </r>
  <r>
    <x v="2"/>
    <x v="5"/>
    <d v="2024-12-31T00:00:00"/>
    <n v="74.64"/>
    <n v="71.72"/>
    <n v="2.3206000000000002"/>
    <n v="2.0015000000000001"/>
    <n v="3.633"/>
    <n v="6.1778000000000004"/>
  </r>
  <r>
    <x v="2"/>
    <x v="5"/>
    <d v="2024-12-30T00:00:00"/>
    <n v="74.39"/>
    <n v="70.989999999999995"/>
    <n v="2.2995000000000001"/>
    <n v="1.9762999999999999"/>
    <n v="3.9359999999999999"/>
    <n v="6.1778000000000004"/>
  </r>
  <r>
    <x v="2"/>
    <x v="5"/>
    <d v="2024-12-27T00:00:00"/>
    <n v="74.17"/>
    <n v="70.599999999999994"/>
    <n v="2.2448000000000001"/>
    <n v="1.9581999999999999"/>
    <n v="3.5139999999999998"/>
    <n v="6.1963999999999997"/>
  </r>
  <r>
    <x v="2"/>
    <x v="5"/>
    <d v="2024-12-26T00:00:00"/>
    <n v="73.260000000000005"/>
    <n v="69.62"/>
    <n v="2.2052999999999998"/>
    <n v="1.9458"/>
    <n v="3.7149999999999999"/>
    <n v="6.1828000000000003"/>
  </r>
  <r>
    <x v="2"/>
    <x v="5"/>
    <d v="2024-12-25T00:00:00"/>
    <m/>
    <m/>
    <m/>
    <m/>
    <m/>
    <n v="6.1905999999999999"/>
  </r>
  <r>
    <x v="2"/>
    <x v="5"/>
    <d v="2024-12-24T00:00:00"/>
    <n v="73.58"/>
    <n v="70.099999999999994"/>
    <n v="2.2214999999999998"/>
    <n v="1.9589000000000001"/>
    <n v="3.9460000000000002"/>
    <n v="6.1905999999999999"/>
  </r>
  <r>
    <x v="2"/>
    <x v="5"/>
    <d v="2024-12-23T00:00:00"/>
    <n v="72.63"/>
    <n v="69.239999999999995"/>
    <n v="2.2263000000000002"/>
    <n v="1.9382999999999999"/>
    <n v="3.6560000000000001"/>
    <n v="6.1939000000000002"/>
  </r>
  <r>
    <x v="2"/>
    <x v="5"/>
    <d v="2024-12-20T00:00:00"/>
    <n v="72.94"/>
    <n v="69.459999999999994"/>
    <n v="2.2317"/>
    <n v="1.9416"/>
    <n v="3.7480000000000002"/>
    <n v="6.0853000000000002"/>
  </r>
  <r>
    <x v="2"/>
    <x v="5"/>
    <d v="2024-12-19T00:00:00"/>
    <n v="72.88"/>
    <n v="69.91"/>
    <n v="2.2376999999999998"/>
    <n v="1.9228000000000001"/>
    <n v="3.5840000000000001"/>
    <n v="6.1524999999999999"/>
  </r>
  <r>
    <x v="2"/>
    <x v="5"/>
    <d v="2024-12-18T00:00:00"/>
    <n v="73.39"/>
    <n v="70.58"/>
    <n v="2.2549999999999999"/>
    <n v="1.9428000000000001"/>
    <n v="3.3740000000000001"/>
    <n v="6.2896000000000001"/>
  </r>
  <r>
    <x v="2"/>
    <x v="5"/>
    <d v="2024-12-17T00:00:00"/>
    <n v="73.19"/>
    <n v="70.08"/>
    <n v="2.2279"/>
    <n v="1.9439"/>
    <n v="3.3079999999999998"/>
    <n v="6.1048"/>
  </r>
  <r>
    <x v="2"/>
    <x v="5"/>
    <d v="2024-12-16T00:00:00"/>
    <n v="73.91"/>
    <n v="70.709999999999994"/>
    <n v="2.2639999999999998"/>
    <n v="1.9757"/>
    <n v="3.214"/>
    <n v="6.1478999999999999"/>
  </r>
  <r>
    <x v="2"/>
    <x v="5"/>
    <d v="2024-12-13T00:00:00"/>
    <n v="74.489999999999995"/>
    <n v="71.290000000000006"/>
    <n v="2.27"/>
    <n v="2.0017999999999998"/>
    <n v="3.28"/>
    <n v="6.0419"/>
  </r>
  <r>
    <x v="2"/>
    <x v="5"/>
    <d v="2024-12-12T00:00:00"/>
    <n v="73.41"/>
    <n v="70.02"/>
    <n v="2.2366000000000001"/>
    <n v="1.9884999999999999"/>
    <n v="3.4550000000000001"/>
    <n v="5.9915000000000003"/>
  </r>
  <r>
    <x v="2"/>
    <x v="5"/>
    <d v="2024-12-11T00:00:00"/>
    <n v="73.52"/>
    <n v="70.290000000000006"/>
    <n v="2.2233000000000001"/>
    <n v="1.9858"/>
    <n v="3.3780000000000001"/>
    <n v="5.9542999999999999"/>
  </r>
  <r>
    <x v="2"/>
    <x v="5"/>
    <d v="2024-12-10T00:00:00"/>
    <n v="72.19"/>
    <n v="68.59"/>
    <n v="2.1861000000000002"/>
    <n v="1.9568000000000001"/>
    <n v="3.1629999999999998"/>
    <n v="6.0449999999999999"/>
  </r>
  <r>
    <x v="2"/>
    <x v="5"/>
    <d v="2024-12-09T00:00:00"/>
    <n v="72.14"/>
    <n v="68.37"/>
    <n v="2.1835"/>
    <n v="1.9524999999999999"/>
    <n v="3.1819999999999999"/>
    <n v="6.0788000000000002"/>
  </r>
  <r>
    <x v="2"/>
    <x v="5"/>
    <d v="2024-12-06T00:00:00"/>
    <n v="71.12"/>
    <n v="67.2"/>
    <n v="2.1326000000000001"/>
    <n v="1.9061999999999999"/>
    <n v="3.0760000000000001"/>
    <n v="6.0894000000000004"/>
  </r>
  <r>
    <x v="2"/>
    <x v="5"/>
    <d v="2024-12-05T00:00:00"/>
    <n v="72.09"/>
    <n v="68.3"/>
    <n v="2.1556999999999999"/>
    <n v="1.9325000000000001"/>
    <n v="3.0790000000000002"/>
    <n v="6.0113000000000003"/>
  </r>
  <r>
    <x v="2"/>
    <x v="5"/>
    <d v="2024-12-04T00:00:00"/>
    <n v="72.31"/>
    <n v="68.540000000000006"/>
    <n v="2.1674000000000002"/>
    <n v="1.9391"/>
    <n v="3.0430000000000001"/>
    <n v="6.0408999999999997"/>
  </r>
  <r>
    <x v="2"/>
    <x v="5"/>
    <d v="2024-12-03T00:00:00"/>
    <n v="73.62"/>
    <n v="69.94"/>
    <n v="2.2176999999999998"/>
    <n v="1.9623999999999999"/>
    <n v="3.0419999999999998"/>
    <n v="6.0439999999999996"/>
  </r>
  <r>
    <x v="2"/>
    <x v="5"/>
    <d v="2024-12-02T00:00:00"/>
    <n v="71.83"/>
    <n v="68.099999999999994"/>
    <n v="2.1777000000000002"/>
    <n v="1.9172"/>
    <n v="3.2130000000000001"/>
    <n v="6.0579999999999998"/>
  </r>
  <r>
    <x v="2"/>
    <x v="6"/>
    <d v="2024-11-29T00:00:00"/>
    <n v="72.94"/>
    <n v="68"/>
    <n v="2.1930000000000001"/>
    <n v="1.9437"/>
    <n v="3.363"/>
    <n v="5.9729999999999999"/>
  </r>
  <r>
    <x v="2"/>
    <x v="6"/>
    <d v="2024-11-28T00:00:00"/>
    <n v="73.28"/>
    <m/>
    <m/>
    <m/>
    <m/>
    <n v="6.0141999999999998"/>
  </r>
  <r>
    <x v="2"/>
    <x v="6"/>
    <d v="2024-11-27T00:00:00"/>
    <n v="72.83"/>
    <n v="68.72"/>
    <n v="2.2035999999999998"/>
    <n v="1.9734"/>
    <n v="3.2040000000000002"/>
    <n v="5.9377000000000004"/>
  </r>
  <r>
    <x v="2"/>
    <x v="6"/>
    <d v="2024-11-26T00:00:00"/>
    <n v="72.81"/>
    <n v="68.77"/>
    <n v="2.2404000000000002"/>
    <n v="1.9918"/>
    <n v="3.431"/>
    <n v="5.8094999999999999"/>
  </r>
  <r>
    <x v="2"/>
    <x v="6"/>
    <d v="2024-11-25T00:00:00"/>
    <n v="73.010000000000005"/>
    <n v="68.94"/>
    <n v="2.2353000000000001"/>
    <n v="2.0005000000000002"/>
    <n v="3.3690000000000002"/>
    <n v="5.7983000000000002"/>
  </r>
  <r>
    <x v="2"/>
    <x v="6"/>
    <d v="2024-11-22T00:00:00"/>
    <n v="75.17"/>
    <n v="71.239999999999995"/>
    <n v="2.2749000000000001"/>
    <n v="2.0613999999999999"/>
    <n v="3.129"/>
    <n v="5.8010000000000002"/>
  </r>
  <r>
    <x v="2"/>
    <x v="6"/>
    <d v="2024-11-21T00:00:00"/>
    <n v="74.23"/>
    <n v="70.099999999999994"/>
    <n v="2.2744"/>
    <n v="2.0594000000000001"/>
    <n v="3.339"/>
    <n v="5.8144"/>
  </r>
  <r>
    <x v="2"/>
    <x v="6"/>
    <d v="2024-11-20T00:00:00"/>
    <n v="72.81"/>
    <n v="68.87"/>
    <n v="2.2263000000000002"/>
    <n v="2.0457999999999998"/>
    <n v="3.1930000000000001"/>
    <n v="5.7725"/>
  </r>
  <r>
    <x v="2"/>
    <x v="6"/>
    <d v="2024-11-19T00:00:00"/>
    <n v="73.31"/>
    <n v="69.39"/>
    <n v="2.2402000000000002"/>
    <n v="2.0377000000000001"/>
    <n v="2.9980000000000002"/>
    <n v="5.7694000000000001"/>
  </r>
  <r>
    <x v="2"/>
    <x v="6"/>
    <d v="2024-11-18T00:00:00"/>
    <n v="73.3"/>
    <n v="69.16"/>
    <n v="2.2513999999999998"/>
    <n v="2.0183"/>
    <n v="2.9729999999999999"/>
    <n v="5.7473000000000001"/>
  </r>
  <r>
    <x v="2"/>
    <x v="6"/>
    <d v="2024-11-15T00:00:00"/>
    <n v="71.040000000000006"/>
    <n v="67.02"/>
    <n v="2.1709000000000001"/>
    <n v="1.9493"/>
    <n v="2.823"/>
    <n v="5.7946999999999997"/>
  </r>
  <r>
    <x v="2"/>
    <x v="6"/>
    <d v="2024-11-14T00:00:00"/>
    <n v="72.56"/>
    <n v="68.7"/>
    <n v="2.2122999999999999"/>
    <n v="1.9817"/>
    <n v="2.7850000000000001"/>
    <n v="5.7889999999999997"/>
  </r>
  <r>
    <x v="2"/>
    <x v="6"/>
    <d v="2024-11-13T00:00:00"/>
    <n v="72.28"/>
    <n v="68.430000000000007"/>
    <n v="2.2193000000000001"/>
    <n v="1.9651000000000001"/>
    <n v="2.9830000000000001"/>
    <n v="5.8060999999999998"/>
  </r>
  <r>
    <x v="2"/>
    <x v="6"/>
    <d v="2024-11-12T00:00:00"/>
    <n v="71.89"/>
    <n v="68.12"/>
    <n v="2.2107999999999999"/>
    <n v="1.9642999999999999"/>
    <n v="2.907"/>
    <n v="5.7489999999999997"/>
  </r>
  <r>
    <x v="2"/>
    <x v="6"/>
    <d v="2024-11-11T00:00:00"/>
    <n v="71.83"/>
    <n v="68.040000000000006"/>
    <n v="2.1976"/>
    <n v="1.9570000000000001"/>
    <n v="2.92"/>
    <n v="5.7558999999999996"/>
  </r>
  <r>
    <x v="2"/>
    <x v="6"/>
    <d v="2024-11-08T00:00:00"/>
    <n v="73.87"/>
    <n v="70.38"/>
    <n v="2.2389000000000001"/>
    <n v="2.0125000000000002"/>
    <n v="2.669"/>
    <n v="5.7375999999999996"/>
  </r>
  <r>
    <x v="2"/>
    <x v="6"/>
    <d v="2024-11-07T00:00:00"/>
    <n v="75.63"/>
    <n v="72.36"/>
    <n v="2.2864"/>
    <n v="2.0535999999999999"/>
    <n v="2.6930000000000001"/>
    <n v="5.6923000000000004"/>
  </r>
  <r>
    <x v="2"/>
    <x v="6"/>
    <d v="2024-11-06T00:00:00"/>
    <n v="74.92"/>
    <n v="71.69"/>
    <n v="2.27"/>
    <n v="2.0354000000000001"/>
    <n v="2.7469999999999999"/>
    <n v="5.6792999999999996"/>
  </r>
  <r>
    <x v="2"/>
    <x v="6"/>
    <d v="2024-11-05T00:00:00"/>
    <n v="75.53"/>
    <n v="71.989999999999995"/>
    <n v="2.3041999999999998"/>
    <n v="2.0446"/>
    <n v="2.67"/>
    <n v="5.7507999999999999"/>
  </r>
  <r>
    <x v="2"/>
    <x v="6"/>
    <d v="2024-11-04T00:00:00"/>
    <n v="75.08"/>
    <n v="71.47"/>
    <n v="2.2841"/>
    <n v="2.0192000000000001"/>
    <n v="2.7810000000000001"/>
    <n v="5.7915999999999999"/>
  </r>
  <r>
    <x v="2"/>
    <x v="6"/>
    <d v="2024-11-01T00:00:00"/>
    <n v="73.099999999999994"/>
    <n v="69.489999999999995"/>
    <n v="2.2342"/>
    <n v="1.9664999999999999"/>
    <n v="2.6629999999999998"/>
    <n v="5.8681000000000001"/>
  </r>
  <r>
    <x v="2"/>
    <x v="7"/>
    <d v="2024-10-31T00:00:00"/>
    <n v="73.16"/>
    <n v="69.260000000000005"/>
    <n v="2.2195"/>
    <n v="2.0034999999999998"/>
    <n v="2.7069999999999999"/>
    <n v="5.7866999999999997"/>
  </r>
  <r>
    <x v="2"/>
    <x v="7"/>
    <d v="2024-10-30T00:00:00"/>
    <n v="72.55"/>
    <n v="68.61"/>
    <n v="2.1876000000000002"/>
    <n v="1.9957"/>
    <n v="2.8450000000000002"/>
    <n v="5.7629999999999999"/>
  </r>
  <r>
    <x v="2"/>
    <x v="7"/>
    <d v="2024-10-29T00:00:00"/>
    <n v="71.12"/>
    <n v="67.209999999999994"/>
    <n v="2.1337000000000002"/>
    <n v="1.9518"/>
    <n v="2.3460000000000001"/>
    <n v="5.7603999999999997"/>
  </r>
  <r>
    <x v="2"/>
    <x v="7"/>
    <d v="2024-10-28T00:00:00"/>
    <n v="71.42"/>
    <n v="67.38"/>
    <n v="2.1286"/>
    <n v="1.9663999999999999"/>
    <n v="2.3090000000000002"/>
    <n v="5.7096"/>
  </r>
  <r>
    <x v="2"/>
    <x v="7"/>
    <d v="2024-10-25T00:00:00"/>
    <n v="76.05"/>
    <n v="71.78"/>
    <n v="2.2381000000000002"/>
    <n v="2.0785"/>
    <n v="2.56"/>
    <n v="5.7073"/>
  </r>
  <r>
    <x v="2"/>
    <x v="7"/>
    <d v="2024-10-24T00:00:00"/>
    <n v="74.38"/>
    <n v="70.19"/>
    <n v="2.2023000000000001"/>
    <n v="2.0276999999999998"/>
    <n v="2.5219999999999998"/>
    <n v="5.6642999999999999"/>
  </r>
  <r>
    <x v="2"/>
    <x v="7"/>
    <d v="2024-10-23T00:00:00"/>
    <n v="74.959999999999994"/>
    <n v="70.77"/>
    <n v="2.2216"/>
    <n v="2.0413999999999999"/>
    <n v="2.3420000000000001"/>
    <n v="5.6883999999999997"/>
  </r>
  <r>
    <x v="2"/>
    <x v="7"/>
    <d v="2024-10-22T00:00:00"/>
    <n v="76.040000000000006"/>
    <n v="72.09"/>
    <n v="2.2370000000000001"/>
    <n v="2.0714999999999999"/>
    <n v="2.3109999999999999"/>
    <n v="5.6894"/>
  </r>
  <r>
    <x v="2"/>
    <x v="7"/>
    <d v="2024-10-21T00:00:00"/>
    <n v="74.290000000000006"/>
    <n v="70.56"/>
    <n v="2.1833"/>
    <n v="2.0146999999999999"/>
    <n v="2.3119999999999998"/>
    <n v="5.6939000000000002"/>
  </r>
  <r>
    <x v="2"/>
    <x v="7"/>
    <d v="2024-10-18T00:00:00"/>
    <n v="73.06"/>
    <n v="69.22"/>
    <n v="2.1522000000000001"/>
    <n v="2.0019999999999998"/>
    <n v="2.258"/>
    <n v="5.6912000000000003"/>
  </r>
  <r>
    <x v="2"/>
    <x v="7"/>
    <d v="2024-10-17T00:00:00"/>
    <n v="74.45"/>
    <n v="70.67"/>
    <n v="2.1945000000000001"/>
    <n v="2.0468000000000002"/>
    <n v="2.347"/>
    <n v="5.6546000000000003"/>
  </r>
  <r>
    <x v="2"/>
    <x v="7"/>
    <d v="2024-10-16T00:00:00"/>
    <n v="74.22"/>
    <n v="70.39"/>
    <n v="2.1747000000000001"/>
    <n v="2.0402999999999998"/>
    <n v="2.367"/>
    <n v="5.6651999999999996"/>
  </r>
  <r>
    <x v="2"/>
    <x v="7"/>
    <d v="2024-10-15T00:00:00"/>
    <n v="74.25"/>
    <n v="70.58"/>
    <n v="2.1877"/>
    <n v="2.0377000000000001"/>
    <n v="2.4980000000000002"/>
    <n v="5.6501999999999999"/>
  </r>
  <r>
    <x v="2"/>
    <x v="7"/>
    <d v="2024-10-14T00:00:00"/>
    <n v="77.459999999999994"/>
    <n v="73.83"/>
    <n v="2.2742"/>
    <n v="2.1086"/>
    <n v="2.4940000000000002"/>
    <n v="5.5928000000000004"/>
  </r>
  <r>
    <x v="2"/>
    <x v="7"/>
    <d v="2024-10-11T00:00:00"/>
    <n v="79.040000000000006"/>
    <n v="75.56"/>
    <n v="2.3439000000000001"/>
    <n v="2.1516000000000002"/>
    <n v="2.6320000000000001"/>
    <n v="5.6125999999999996"/>
  </r>
  <r>
    <x v="2"/>
    <x v="7"/>
    <d v="2024-10-10T00:00:00"/>
    <n v="79.400000000000006"/>
    <n v="75.849999999999994"/>
    <n v="2.3509000000000002"/>
    <n v="2.1509"/>
    <n v="2.6749999999999998"/>
    <n v="5.5820999999999996"/>
  </r>
  <r>
    <x v="2"/>
    <x v="7"/>
    <d v="2024-10-09T00:00:00"/>
    <n v="76.58"/>
    <n v="73.239999999999995"/>
    <n v="2.2768999999999999"/>
    <n v="2.0663999999999998"/>
    <n v="2.66"/>
    <n v="5.5941000000000001"/>
  </r>
  <r>
    <x v="2"/>
    <x v="7"/>
    <d v="2024-10-08T00:00:00"/>
    <n v="77.180000000000007"/>
    <n v="73.569999999999993"/>
    <n v="2.2972000000000001"/>
    <n v="2.0680999999999998"/>
    <n v="2.7330000000000001"/>
    <n v="5.5349000000000004"/>
  </r>
  <r>
    <x v="2"/>
    <x v="7"/>
    <d v="2024-10-07T00:00:00"/>
    <n v="80.930000000000007"/>
    <n v="77.14"/>
    <n v="2.3961999999999999"/>
    <n v="2.1537999999999999"/>
    <n v="2.746"/>
    <n v="5.49"/>
  </r>
  <r>
    <x v="2"/>
    <x v="7"/>
    <d v="2024-10-04T00:00:00"/>
    <n v="78.05"/>
    <n v="74.38"/>
    <n v="2.3127"/>
    <n v="2.0958000000000001"/>
    <n v="2.8540000000000001"/>
    <n v="5.4554999999999998"/>
  </r>
  <r>
    <x v="2"/>
    <x v="7"/>
    <d v="2024-10-03T00:00:00"/>
    <n v="77.62"/>
    <n v="73.709999999999994"/>
    <n v="2.2947000000000002"/>
    <n v="2.0926"/>
    <n v="2.97"/>
    <n v="5.4759000000000002"/>
  </r>
  <r>
    <x v="2"/>
    <x v="7"/>
    <d v="2024-10-02T00:00:00"/>
    <n v="73.900000000000006"/>
    <n v="70.099999999999994"/>
    <n v="2.1821000000000002"/>
    <n v="1.9859"/>
    <n v="2.8860000000000001"/>
    <n v="5.4406999999999996"/>
  </r>
  <r>
    <x v="2"/>
    <x v="7"/>
    <d v="2024-10-01T00:00:00"/>
    <n v="73.56"/>
    <n v="69.83"/>
    <n v="2.1741999999999999"/>
    <n v="1.9665999999999999"/>
    <n v="2.8959999999999999"/>
    <n v="5.4367999999999999"/>
  </r>
  <r>
    <x v="2"/>
    <x v="8"/>
    <d v="2024-09-30T00:00:00"/>
    <n v="71.77"/>
    <n v="68.17"/>
    <n v="2.1318000000000001"/>
    <n v="1.9621"/>
    <n v="2.923"/>
    <n v="5.4481999999999999"/>
  </r>
  <r>
    <x v="2"/>
    <x v="8"/>
    <d v="2024-09-27T00:00:00"/>
    <n v="71.98"/>
    <n v="68.180000000000007"/>
    <n v="2.1326999999999998"/>
    <n v="1.9530000000000001"/>
    <n v="2.9020000000000001"/>
    <n v="5.4329000000000001"/>
  </r>
  <r>
    <x v="2"/>
    <x v="8"/>
    <d v="2024-09-26T00:00:00"/>
    <n v="71.599999999999994"/>
    <n v="67.67"/>
    <n v="2.1360999999999999"/>
    <n v="1.9613"/>
    <n v="2.585"/>
    <n v="5.4375"/>
  </r>
  <r>
    <x v="2"/>
    <x v="8"/>
    <d v="2024-09-25T00:00:00"/>
    <n v="73.459999999999994"/>
    <n v="69.69"/>
    <n v="2.1602000000000001"/>
    <n v="1.9999"/>
    <n v="2.637"/>
    <n v="5.4774000000000003"/>
  </r>
  <r>
    <x v="2"/>
    <x v="8"/>
    <d v="2024-09-24T00:00:00"/>
    <n v="75.17"/>
    <n v="71.56"/>
    <n v="2.1804999999999999"/>
    <n v="2.0297000000000001"/>
    <n v="2.5510000000000002"/>
    <n v="5.4546999999999999"/>
  </r>
  <r>
    <x v="2"/>
    <x v="8"/>
    <d v="2024-09-23T00:00:00"/>
    <n v="73.900000000000006"/>
    <n v="70.37"/>
    <n v="2.1450999999999998"/>
    <n v="1.9902"/>
    <n v="2.613"/>
    <n v="5.5364000000000004"/>
  </r>
  <r>
    <x v="2"/>
    <x v="8"/>
    <d v="2024-09-20T00:00:00"/>
    <n v="74.489999999999995"/>
    <n v="71.92"/>
    <n v="2.1615000000000002"/>
    <n v="2.0364"/>
    <n v="2.4340000000000002"/>
    <n v="5.5103"/>
  </r>
  <r>
    <x v="2"/>
    <x v="8"/>
    <d v="2024-09-19T00:00:00"/>
    <n v="74.88"/>
    <n v="71.95"/>
    <n v="2.1720000000000002"/>
    <n v="2.06"/>
    <n v="2.3479999999999999"/>
    <n v="5.4263000000000003"/>
  </r>
  <r>
    <x v="2"/>
    <x v="8"/>
    <d v="2024-09-18T00:00:00"/>
    <n v="73.650000000000006"/>
    <n v="70.91"/>
    <n v="2.1475"/>
    <n v="2.0106999999999999"/>
    <n v="2.2839999999999998"/>
    <n v="5.4611999999999998"/>
  </r>
  <r>
    <x v="2"/>
    <x v="8"/>
    <d v="2024-09-17T00:00:00"/>
    <n v="73.7"/>
    <n v="71.19"/>
    <n v="2.1366999999999998"/>
    <n v="2.0019"/>
    <n v="2.3239999999999998"/>
    <n v="5.4824999999999999"/>
  </r>
  <r>
    <x v="2"/>
    <x v="8"/>
    <d v="2024-09-16T00:00:00"/>
    <n v="72.75"/>
    <n v="70.09"/>
    <n v="2.0968"/>
    <n v="1.9681999999999999"/>
    <n v="2.3730000000000002"/>
    <n v="5.51"/>
  </r>
  <r>
    <x v="2"/>
    <x v="8"/>
    <d v="2024-09-13T00:00:00"/>
    <n v="71.61"/>
    <n v="68.650000000000006"/>
    <n v="2.0842999999999998"/>
    <n v="1.9301999999999999"/>
    <n v="2.3050000000000002"/>
    <n v="5.5640000000000001"/>
  </r>
  <r>
    <x v="2"/>
    <x v="8"/>
    <d v="2024-09-12T00:00:00"/>
    <n v="71.97"/>
    <n v="68.97"/>
    <n v="2.1187999999999998"/>
    <n v="1.927"/>
    <n v="2.3570000000000002"/>
    <n v="5.6276000000000002"/>
  </r>
  <r>
    <x v="2"/>
    <x v="8"/>
    <d v="2024-09-11T00:00:00"/>
    <n v="70.61"/>
    <n v="67.31"/>
    <n v="2.0916999999999999"/>
    <n v="1.8972"/>
    <n v="2.27"/>
    <n v="5.6618000000000004"/>
  </r>
  <r>
    <x v="2"/>
    <x v="8"/>
    <d v="2024-09-10T00:00:00"/>
    <n v="69.19"/>
    <n v="65.75"/>
    <n v="2.0579999999999998"/>
    <n v="1.87"/>
    <n v="2.2320000000000002"/>
    <n v="5.6581999999999999"/>
  </r>
  <r>
    <x v="2"/>
    <x v="8"/>
    <d v="2024-09-09T00:00:00"/>
    <n v="71.84"/>
    <n v="68.709999999999994"/>
    <n v="2.1394000000000002"/>
    <n v="1.9204000000000001"/>
    <n v="2.17"/>
    <n v="5.5842000000000001"/>
  </r>
  <r>
    <x v="2"/>
    <x v="8"/>
    <d v="2024-09-06T00:00:00"/>
    <n v="71.06"/>
    <n v="67.67"/>
    <n v="2.1150000000000002"/>
    <n v="1.8959999999999999"/>
    <n v="2.2749999999999999"/>
    <n v="5.5990000000000002"/>
  </r>
  <r>
    <x v="2"/>
    <x v="8"/>
    <d v="2024-09-05T00:00:00"/>
    <n v="72.69"/>
    <n v="69.150000000000006"/>
    <n v="2.1688999999999998"/>
    <n v="1.9258"/>
    <n v="2.254"/>
    <n v="5.5740999999999996"/>
  </r>
  <r>
    <x v="2"/>
    <x v="8"/>
    <d v="2024-09-04T00:00:00"/>
    <n v="72.7"/>
    <n v="69.2"/>
    <n v="2.1575000000000002"/>
    <n v="1.9618"/>
    <n v="2.145"/>
    <n v="5.6398999999999999"/>
  </r>
  <r>
    <x v="2"/>
    <x v="8"/>
    <d v="2024-09-03T00:00:00"/>
    <n v="73.75"/>
    <n v="70.34"/>
    <n v="2.206"/>
    <n v="1.9777"/>
    <n v="2.2029999999999998"/>
    <n v="5.6454000000000004"/>
  </r>
  <r>
    <x v="2"/>
    <x v="8"/>
    <d v="2024-09-02T00:00:00"/>
    <n v="77.52"/>
    <m/>
    <m/>
    <m/>
    <m/>
    <n v="5.6177000000000001"/>
  </r>
  <r>
    <x v="2"/>
    <x v="9"/>
    <d v="2024-08-30T00:00:00"/>
    <n v="78.8"/>
    <n v="73.55"/>
    <n v="2.2515000000000001"/>
    <n v="2.2117"/>
    <n v="2.1269999999999998"/>
    <n v="5.6102999999999996"/>
  </r>
  <r>
    <x v="2"/>
    <x v="9"/>
    <d v="2024-08-29T00:00:00"/>
    <n v="79.94"/>
    <n v="75.91"/>
    <n v="2.2839999999999998"/>
    <n v="2.2477"/>
    <n v="2.137"/>
    <n v="5.6265999999999998"/>
  </r>
  <r>
    <x v="2"/>
    <x v="9"/>
    <d v="2024-08-28T00:00:00"/>
    <n v="78.650000000000006"/>
    <n v="74.52"/>
    <n v="2.2290999999999999"/>
    <n v="2.2147999999999999"/>
    <n v="1.93"/>
    <n v="5.5644"/>
  </r>
  <r>
    <x v="2"/>
    <x v="9"/>
    <d v="2024-08-27T00:00:00"/>
    <n v="79.55"/>
    <n v="75.53"/>
    <n v="2.2862"/>
    <n v="2.2469000000000001"/>
    <n v="1.9039999999999999"/>
    <n v="5.5082000000000004"/>
  </r>
  <r>
    <x v="2"/>
    <x v="9"/>
    <d v="2024-08-26T00:00:00"/>
    <n v="81.430000000000007"/>
    <n v="77.42"/>
    <n v="2.3479999999999999"/>
    <n v="2.2799"/>
    <n v="1.956"/>
    <n v="5.4950000000000001"/>
  </r>
  <r>
    <x v="2"/>
    <x v="9"/>
    <d v="2024-08-23T00:00:00"/>
    <n v="79.02"/>
    <n v="74.83"/>
    <n v="2.2997000000000001"/>
    <n v="2.2850999999999999"/>
    <n v="2.0219999999999998"/>
    <n v="5.4863"/>
  </r>
  <r>
    <x v="2"/>
    <x v="9"/>
    <d v="2024-08-22T00:00:00"/>
    <n v="77.22"/>
    <n v="73.010000000000005"/>
    <n v="2.2635000000000001"/>
    <n v="2.2437"/>
    <n v="2.0529999999999999"/>
    <n v="5.5834000000000001"/>
  </r>
  <r>
    <x v="2"/>
    <x v="9"/>
    <d v="2024-08-21T00:00:00"/>
    <n v="76.05"/>
    <n v="71.930000000000007"/>
    <n v="2.2496999999999998"/>
    <n v="2.2050000000000001"/>
    <n v="2.177"/>
    <n v="5.4858000000000002"/>
  </r>
  <r>
    <x v="2"/>
    <x v="9"/>
    <d v="2024-08-20T00:00:00"/>
    <n v="77.2"/>
    <n v="74.040000000000006"/>
    <n v="2.2631999999999999"/>
    <n v="2.2563"/>
    <n v="2.198"/>
    <n v="5.4779999999999998"/>
  </r>
  <r>
    <x v="2"/>
    <x v="9"/>
    <d v="2024-08-19T00:00:00"/>
    <n v="77.66"/>
    <n v="74.37"/>
    <n v="2.2635000000000001"/>
    <n v="2.2637999999999998"/>
    <n v="2.2349999999999999"/>
    <n v="5.4120999999999997"/>
  </r>
  <r>
    <x v="2"/>
    <x v="9"/>
    <d v="2024-08-16T00:00:00"/>
    <n v="79.680000000000007"/>
    <n v="76.650000000000006"/>
    <n v="2.3287"/>
    <n v="2.3102"/>
    <n v="2.1230000000000002"/>
    <n v="5.4752999999999998"/>
  </r>
  <r>
    <x v="2"/>
    <x v="9"/>
    <d v="2024-08-15T00:00:00"/>
    <n v="81.040000000000006"/>
    <n v="78.16"/>
    <n v="2.3778999999999999"/>
    <n v="2.3580000000000001"/>
    <n v="2.1970000000000001"/>
    <n v="5.4827000000000004"/>
  </r>
  <r>
    <x v="2"/>
    <x v="9"/>
    <d v="2024-08-14T00:00:00"/>
    <n v="79.760000000000005"/>
    <n v="76.98"/>
    <n v="2.3681999999999999"/>
    <n v="2.3210999999999999"/>
    <n v="2.2189999999999999"/>
    <n v="5.4729999999999999"/>
  </r>
  <r>
    <x v="2"/>
    <x v="9"/>
    <d v="2024-08-13T00:00:00"/>
    <n v="80.69"/>
    <n v="78.349999999999994"/>
    <n v="2.3892000000000002"/>
    <n v="2.3746999999999998"/>
    <n v="2.1480000000000001"/>
    <n v="5.4538000000000002"/>
  </r>
  <r>
    <x v="2"/>
    <x v="9"/>
    <d v="2024-08-12T00:00:00"/>
    <n v="82.3"/>
    <n v="80.06"/>
    <n v="2.4064999999999999"/>
    <n v="2.4428999999999998"/>
    <n v="2.1890000000000001"/>
    <n v="5.4973999999999998"/>
  </r>
  <r>
    <x v="2"/>
    <x v="9"/>
    <d v="2024-08-09T00:00:00"/>
    <n v="79.66"/>
    <n v="76.84"/>
    <n v="2.3397000000000001"/>
    <n v="2.3902999999999999"/>
    <n v="2.1429999999999998"/>
    <n v="5.5064000000000002"/>
  </r>
  <r>
    <x v="2"/>
    <x v="9"/>
    <d v="2024-08-08T00:00:00"/>
    <n v="79.16"/>
    <n v="76.19"/>
    <n v="2.3578000000000001"/>
    <n v="2.3992"/>
    <n v="2.1269999999999998"/>
    <n v="5.5492999999999997"/>
  </r>
  <r>
    <x v="2"/>
    <x v="9"/>
    <d v="2024-08-07T00:00:00"/>
    <n v="78.33"/>
    <n v="75.23"/>
    <n v="2.3555999999999999"/>
    <n v="2.3573"/>
    <n v="2.1120000000000001"/>
    <n v="5.6341000000000001"/>
  </r>
  <r>
    <x v="2"/>
    <x v="9"/>
    <d v="2024-08-06T00:00:00"/>
    <n v="76.48"/>
    <n v="73.2"/>
    <n v="2.2957999999999998"/>
    <n v="2.3262"/>
    <n v="2.0099999999999998"/>
    <n v="5.6623000000000001"/>
  </r>
  <r>
    <x v="2"/>
    <x v="9"/>
    <d v="2024-08-05T00:00:00"/>
    <n v="76.3"/>
    <n v="72.94"/>
    <n v="2.2986"/>
    <n v="2.3336000000000001"/>
    <n v="1.9419999999999999"/>
    <n v="5.7237999999999998"/>
  </r>
  <r>
    <x v="2"/>
    <x v="9"/>
    <d v="2024-08-02T00:00:00"/>
    <n v="76.81"/>
    <n v="73.52"/>
    <n v="2.3184999999999998"/>
    <n v="2.3176000000000001"/>
    <n v="1.9670000000000001"/>
    <n v="5.7272999999999996"/>
  </r>
  <r>
    <x v="2"/>
    <x v="9"/>
    <d v="2024-08-01T00:00:00"/>
    <n v="79.52"/>
    <n v="76.31"/>
    <n v="2.4064000000000001"/>
    <n v="2.3980000000000001"/>
    <n v="1.968"/>
    <n v="5.7483000000000004"/>
  </r>
  <r>
    <x v="2"/>
    <x v="10"/>
    <d v="2024-07-31T00:00:00"/>
    <n v="80.72"/>
    <n v="77.91"/>
    <n v="2.4155000000000002"/>
    <n v="2.4820000000000002"/>
    <n v="2.036"/>
    <n v="5.65"/>
  </r>
  <r>
    <x v="2"/>
    <x v="10"/>
    <d v="2024-07-30T00:00:00"/>
    <n v="78.63"/>
    <n v="74.73"/>
    <n v="2.3368000000000002"/>
    <n v="2.3871000000000002"/>
    <n v="2.1259999999999999"/>
    <n v="5.6120999999999999"/>
  </r>
  <r>
    <x v="2"/>
    <x v="10"/>
    <d v="2024-07-29T00:00:00"/>
    <n v="79.78"/>
    <n v="75.81"/>
    <n v="2.375"/>
    <n v="2.4152999999999998"/>
    <n v="1.907"/>
    <n v="5.6158999999999999"/>
  </r>
  <r>
    <x v="2"/>
    <x v="10"/>
    <d v="2024-07-26T00:00:00"/>
    <n v="81.13"/>
    <n v="77.16"/>
    <n v="2.4197000000000002"/>
    <n v="2.4605000000000001"/>
    <n v="2.0059999999999998"/>
    <n v="5.6557000000000004"/>
  </r>
  <r>
    <x v="2"/>
    <x v="10"/>
    <d v="2024-07-25T00:00:00"/>
    <n v="82.37"/>
    <n v="78.28"/>
    <n v="2.4712000000000001"/>
    <n v="2.4676"/>
    <n v="2.0409999999999999"/>
    <n v="5.6441999999999997"/>
  </r>
  <r>
    <x v="2"/>
    <x v="10"/>
    <d v="2024-07-24T00:00:00"/>
    <n v="81.709999999999994"/>
    <n v="77.59"/>
    <n v="2.4523999999999999"/>
    <n v="2.4514999999999998"/>
    <n v="2.117"/>
    <n v="5.6536"/>
  </r>
  <r>
    <x v="2"/>
    <x v="10"/>
    <d v="2024-07-23T00:00:00"/>
    <n v="81.010000000000005"/>
    <n v="76.959999999999994"/>
    <n v="2.4098999999999999"/>
    <n v="2.4140999999999999"/>
    <n v="2.1869999999999998"/>
    <n v="5.5846"/>
  </r>
  <r>
    <x v="2"/>
    <x v="10"/>
    <d v="2024-07-22T00:00:00"/>
    <n v="82.4"/>
    <n v="79.78"/>
    <n v="2.4348000000000001"/>
    <n v="2.4706000000000001"/>
    <n v="2.2509999999999999"/>
    <n v="5.5778999999999996"/>
  </r>
  <r>
    <x v="2"/>
    <x v="10"/>
    <d v="2024-07-19T00:00:00"/>
    <n v="82.63"/>
    <n v="80.13"/>
    <n v="2.4190999999999998"/>
    <n v="2.4504000000000001"/>
    <n v="2.1280000000000001"/>
    <n v="5.5952000000000002"/>
  </r>
  <r>
    <x v="2"/>
    <x v="10"/>
    <d v="2024-07-18T00:00:00"/>
    <n v="85.11"/>
    <n v="82.82"/>
    <n v="2.4868000000000001"/>
    <n v="2.5164"/>
    <n v="2.125"/>
    <n v="5.5460000000000003"/>
  </r>
  <r>
    <x v="2"/>
    <x v="10"/>
    <d v="2024-07-17T00:00:00"/>
    <n v="85.08"/>
    <n v="82.85"/>
    <n v="2.4940000000000002"/>
    <n v="2.5013000000000001"/>
    <n v="2.0350000000000001"/>
    <n v="5.4821"/>
  </r>
  <r>
    <x v="2"/>
    <x v="10"/>
    <d v="2024-07-16T00:00:00"/>
    <n v="83.73"/>
    <n v="80.760000000000005"/>
    <n v="2.4687999999999999"/>
    <n v="2.4775"/>
    <n v="2.1880000000000002"/>
    <n v="5.4286000000000003"/>
  </r>
  <r>
    <x v="2"/>
    <x v="10"/>
    <d v="2024-07-15T00:00:00"/>
    <n v="84.85"/>
    <n v="81.91"/>
    <n v="2.5135999999999998"/>
    <n v="2.4916"/>
    <n v="2.1579999999999999"/>
    <n v="5.4447999999999999"/>
  </r>
  <r>
    <x v="2"/>
    <x v="10"/>
    <d v="2024-07-12T00:00:00"/>
    <n v="85.03"/>
    <n v="82.21"/>
    <n v="2.5095999999999998"/>
    <n v="2.5152999999999999"/>
    <n v="2.3290000000000002"/>
    <n v="5.4284999999999997"/>
  </r>
  <r>
    <x v="2"/>
    <x v="10"/>
    <d v="2024-07-11T00:00:00"/>
    <n v="85.4"/>
    <n v="82.62"/>
    <n v="2.5182000000000002"/>
    <n v="2.5177999999999998"/>
    <n v="2.2679999999999998"/>
    <n v="5.4381000000000004"/>
  </r>
  <r>
    <x v="2"/>
    <x v="10"/>
    <d v="2024-07-10T00:00:00"/>
    <n v="85.08"/>
    <n v="82.1"/>
    <n v="2.5184000000000002"/>
    <n v="2.5034000000000001"/>
    <n v="2.3290000000000002"/>
    <n v="5.4143999999999997"/>
  </r>
  <r>
    <x v="2"/>
    <x v="10"/>
    <d v="2024-07-09T00:00:00"/>
    <n v="84.66"/>
    <n v="81.41"/>
    <n v="2.5236000000000001"/>
    <n v="2.5274000000000001"/>
    <n v="2.3439999999999999"/>
    <n v="5.4222000000000001"/>
  </r>
  <r>
    <x v="2"/>
    <x v="10"/>
    <d v="2024-07-08T00:00:00"/>
    <n v="85.75"/>
    <n v="82.33"/>
    <n v="2.5790999999999999"/>
    <n v="2.5379"/>
    <n v="2.3660000000000001"/>
    <n v="5.4699"/>
  </r>
  <r>
    <x v="2"/>
    <x v="10"/>
    <d v="2024-07-05T00:00:00"/>
    <n v="86.54"/>
    <n v="83.16"/>
    <n v="2.6023999999999998"/>
    <n v="2.5590999999999999"/>
    <n v="2.319"/>
    <n v="5.4592000000000001"/>
  </r>
  <r>
    <x v="2"/>
    <x v="10"/>
    <d v="2024-07-04T00:00:00"/>
    <n v="87.43"/>
    <m/>
    <m/>
    <m/>
    <m/>
    <n v="5.4886999999999997"/>
  </r>
  <r>
    <x v="2"/>
    <x v="10"/>
    <d v="2024-07-03T00:00:00"/>
    <n v="87.34"/>
    <n v="83.88"/>
    <n v="2.6343000000000001"/>
    <n v="2.6013000000000002"/>
    <n v="2.4180000000000001"/>
    <n v="5.5563000000000002"/>
  </r>
  <r>
    <x v="2"/>
    <x v="10"/>
    <d v="2024-07-02T00:00:00"/>
    <n v="86.24"/>
    <n v="82.81"/>
    <n v="2.6297000000000001"/>
    <n v="2.5733999999999999"/>
    <n v="2.4350000000000001"/>
    <n v="5.6776999999999997"/>
  </r>
  <r>
    <x v="2"/>
    <x v="10"/>
    <d v="2024-07-01T00:00:00"/>
    <n v="86.6"/>
    <n v="83.38"/>
    <n v="2.6147"/>
    <n v="2.5783"/>
    <n v="2.4780000000000002"/>
    <n v="5.6603000000000003"/>
  </r>
  <r>
    <x v="2"/>
    <x v="11"/>
    <d v="2024-06-28T00:00:00"/>
    <n v="86.41"/>
    <n v="81.540000000000006"/>
    <n v="2.5169000000000001"/>
    <n v="2.5291000000000001"/>
    <n v="2.601"/>
    <n v="5.5925000000000002"/>
  </r>
  <r>
    <x v="2"/>
    <x v="11"/>
    <d v="2024-06-27T00:00:00"/>
    <n v="86.39"/>
    <n v="81.739999999999995"/>
    <n v="2.5476000000000001"/>
    <n v="2.5455999999999999"/>
    <n v="2.6850000000000001"/>
    <n v="5.5019"/>
  </r>
  <r>
    <x v="2"/>
    <x v="11"/>
    <d v="2024-06-26T00:00:00"/>
    <n v="85.25"/>
    <n v="80.900000000000006"/>
    <n v="2.5375000000000001"/>
    <n v="2.5446"/>
    <n v="2.6280000000000001"/>
    <n v="5.5194000000000001"/>
  </r>
  <r>
    <x v="2"/>
    <x v="11"/>
    <d v="2024-06-25T00:00:00"/>
    <n v="85.01"/>
    <n v="80.83"/>
    <n v="2.5093999999999999"/>
    <n v="2.5146999999999999"/>
    <n v="2.7559999999999998"/>
    <n v="5.4508999999999999"/>
  </r>
  <r>
    <x v="2"/>
    <x v="11"/>
    <d v="2024-06-24T00:00:00"/>
    <n v="86.01"/>
    <n v="81.63"/>
    <n v="2.5213999999999999"/>
    <n v="2.5114999999999998"/>
    <n v="2.8109999999999999"/>
    <n v="5.3928000000000003"/>
  </r>
  <r>
    <x v="2"/>
    <x v="11"/>
    <d v="2024-06-21T00:00:00"/>
    <n v="85.24"/>
    <n v="80.73"/>
    <n v="2.4914999999999998"/>
    <n v="2.5137"/>
    <n v="2.7050000000000001"/>
    <n v="5.4302000000000001"/>
  </r>
  <r>
    <x v="2"/>
    <x v="11"/>
    <d v="2024-06-20T00:00:00"/>
    <n v="85.71"/>
    <n v="82.17"/>
    <n v="2.5245000000000002"/>
    <n v="2.5007999999999999"/>
    <n v="2.7410000000000001"/>
    <n v="5.4482999999999997"/>
  </r>
  <r>
    <x v="2"/>
    <x v="11"/>
    <d v="2024-06-19T00:00:00"/>
    <n v="85.07"/>
    <m/>
    <m/>
    <m/>
    <m/>
    <n v="5.4362000000000004"/>
  </r>
  <r>
    <x v="2"/>
    <x v="11"/>
    <d v="2024-06-18T00:00:00"/>
    <n v="85.33"/>
    <n v="81.569999999999993"/>
    <n v="2.5207999999999999"/>
    <n v="2.4832000000000001"/>
    <n v="2.9089999999999998"/>
    <n v="5.4359000000000002"/>
  </r>
  <r>
    <x v="2"/>
    <x v="11"/>
    <d v="2024-06-17T00:00:00"/>
    <n v="84.25"/>
    <n v="80.33"/>
    <n v="2.4824999999999999"/>
    <n v="2.4468999999999999"/>
    <n v="2.7879999999999998"/>
    <n v="5.4195000000000002"/>
  </r>
  <r>
    <x v="2"/>
    <x v="11"/>
    <d v="2024-06-14T00:00:00"/>
    <n v="82.62"/>
    <n v="78.45"/>
    <n v="2.4706000000000001"/>
    <n v="2.3996"/>
    <n v="2.8809999999999998"/>
    <n v="5.3757000000000001"/>
  </r>
  <r>
    <x v="2"/>
    <x v="11"/>
    <d v="2024-06-13T00:00:00"/>
    <n v="82.75"/>
    <n v="78.62"/>
    <n v="2.4868000000000001"/>
    <n v="2.4156"/>
    <n v="2.9590000000000001"/>
    <n v="5.3635999999999999"/>
  </r>
  <r>
    <x v="2"/>
    <x v="11"/>
    <d v="2024-06-12T00:00:00"/>
    <n v="82.6"/>
    <n v="78.5"/>
    <n v="2.4407999999999999"/>
    <n v="2.3944000000000001"/>
    <n v="3.0449999999999999"/>
    <n v="5.4123000000000001"/>
  </r>
  <r>
    <x v="2"/>
    <x v="11"/>
    <d v="2024-06-11T00:00:00"/>
    <n v="81.92"/>
    <n v="77.900000000000006"/>
    <n v="2.4213"/>
    <n v="2.4089"/>
    <n v="3.129"/>
    <n v="5.3662000000000001"/>
  </r>
  <r>
    <x v="2"/>
    <x v="11"/>
    <d v="2024-06-10T00:00:00"/>
    <n v="81.63"/>
    <n v="77.739999999999995"/>
    <n v="2.4146999999999998"/>
    <n v="2.4108999999999998"/>
    <n v="2.9060000000000001"/>
    <n v="5.3547000000000002"/>
  </r>
  <r>
    <x v="2"/>
    <x v="11"/>
    <d v="2024-06-07T00:00:00"/>
    <n v="79.62"/>
    <n v="75.53"/>
    <n v="2.3517000000000001"/>
    <n v="2.3826000000000001"/>
    <n v="2.9180000000000001"/>
    <n v="5.3448000000000002"/>
  </r>
  <r>
    <x v="2"/>
    <x v="11"/>
    <d v="2024-06-06T00:00:00"/>
    <n v="79.87"/>
    <n v="75.55"/>
    <n v="2.3576000000000001"/>
    <n v="2.3975"/>
    <n v="2.8210000000000002"/>
    <n v="5.2560000000000002"/>
  </r>
  <r>
    <x v="2"/>
    <x v="11"/>
    <d v="2024-06-05T00:00:00"/>
    <n v="78.41"/>
    <n v="74.069999999999993"/>
    <n v="2.3010999999999999"/>
    <n v="2.3536000000000001"/>
    <n v="2.7570000000000001"/>
    <n v="5.2964000000000002"/>
  </r>
  <r>
    <x v="2"/>
    <x v="11"/>
    <d v="2024-06-04T00:00:00"/>
    <n v="77.52"/>
    <n v="73.25"/>
    <n v="2.2858999999999998"/>
    <n v="2.3494999999999999"/>
    <n v="2.5859999999999999"/>
    <n v="5.2861000000000002"/>
  </r>
  <r>
    <x v="2"/>
    <x v="11"/>
    <d v="2024-06-03T00:00:00"/>
    <n v="78.36"/>
    <n v="74.22"/>
    <n v="2.2961999999999998"/>
    <n v="2.3355999999999999"/>
    <n v="2.7559999999999998"/>
    <n v="5.2466999999999997"/>
  </r>
  <r>
    <x v="2"/>
    <x v="0"/>
    <d v="2024-05-31T00:00:00"/>
    <n v="81.62"/>
    <n v="76.989999999999995"/>
    <n v="2.3635999999999999"/>
    <n v="2.4260000000000002"/>
    <n v="2.5870000000000002"/>
    <n v="5.2443"/>
  </r>
  <r>
    <x v="2"/>
    <x v="0"/>
    <d v="2024-05-30T00:00:00"/>
    <n v="81.86"/>
    <n v="77.91"/>
    <n v="2.3694000000000002"/>
    <n v="2.4045999999999998"/>
    <n v="2.5720000000000001"/>
    <n v="5.2034000000000002"/>
  </r>
  <r>
    <x v="2"/>
    <x v="0"/>
    <d v="2024-05-29T00:00:00"/>
    <n v="83.6"/>
    <n v="79.23"/>
    <n v="2.4369999999999998"/>
    <n v="2.4643999999999999"/>
    <n v="2.4929999999999999"/>
    <n v="5.2018000000000004"/>
  </r>
  <r>
    <x v="2"/>
    <x v="0"/>
    <d v="2024-05-28T00:00:00"/>
    <n v="84.22"/>
    <n v="79.83"/>
    <n v="2.4649999999999999"/>
    <n v="2.5089999999999999"/>
    <n v="2.59"/>
    <n v="5.1611000000000002"/>
  </r>
  <r>
    <x v="2"/>
    <x v="0"/>
    <d v="2024-05-27T00:00:00"/>
    <n v="83.1"/>
    <m/>
    <m/>
    <m/>
    <m/>
    <n v="5.1707999999999998"/>
  </r>
  <r>
    <x v="2"/>
    <x v="0"/>
    <d v="2024-05-24T00:00:00"/>
    <n v="82.12"/>
    <n v="77.72"/>
    <n v="2.4136000000000002"/>
    <n v="2.4842"/>
    <n v="2.52"/>
    <n v="5.1660000000000004"/>
  </r>
  <r>
    <x v="2"/>
    <x v="0"/>
    <d v="2024-05-23T00:00:00"/>
    <n v="81.36"/>
    <n v="76.87"/>
    <n v="2.4117999999999999"/>
    <n v="2.4693999999999998"/>
    <n v="2.657"/>
    <n v="5.1441999999999997"/>
  </r>
  <r>
    <x v="2"/>
    <x v="0"/>
    <d v="2024-05-22T00:00:00"/>
    <n v="81.900000000000006"/>
    <n v="77.569999999999993"/>
    <n v="2.4318"/>
    <n v="2.4678"/>
    <n v="2.8420000000000001"/>
    <n v="5.1502999999999997"/>
  </r>
  <r>
    <x v="2"/>
    <x v="0"/>
    <d v="2024-05-21T00:00:00"/>
    <n v="82.88"/>
    <n v="79.260000000000005"/>
    <n v="2.4622999999999999"/>
    <n v="2.5099999999999998"/>
    <n v="2.6709999999999998"/>
    <n v="5.1224999999999996"/>
  </r>
  <r>
    <x v="2"/>
    <x v="0"/>
    <d v="2024-05-20T00:00:00"/>
    <n v="83.71"/>
    <n v="79.8"/>
    <n v="2.4870999999999999"/>
    <n v="2.5398999999999998"/>
    <n v="2.7509999999999999"/>
    <n v="5.1032999999999999"/>
  </r>
  <r>
    <x v="2"/>
    <x v="0"/>
    <d v="2024-05-17T00:00:00"/>
    <n v="83.98"/>
    <n v="80.06"/>
    <n v="2.4863"/>
    <n v="2.5741999999999998"/>
    <n v="2.6259999999999999"/>
    <n v="5.1031000000000004"/>
  </r>
  <r>
    <x v="2"/>
    <x v="0"/>
    <d v="2024-05-16T00:00:00"/>
    <n v="83.27"/>
    <n v="79.23"/>
    <n v="2.4437000000000002"/>
    <n v="2.5377999999999998"/>
    <n v="2.4950000000000001"/>
    <n v="5.1288"/>
  </r>
  <r>
    <x v="2"/>
    <x v="0"/>
    <d v="2024-05-15T00:00:00"/>
    <n v="82.75"/>
    <n v="78.63"/>
    <n v="2.4230999999999998"/>
    <n v="2.4967999999999999"/>
    <n v="2.4159999999999999"/>
    <n v="5.1372999999999998"/>
  </r>
  <r>
    <x v="2"/>
    <x v="0"/>
    <d v="2024-05-14T00:00:00"/>
    <n v="82.38"/>
    <n v="78.02"/>
    <n v="2.42"/>
    <n v="2.4596"/>
    <n v="2.3439999999999999"/>
    <n v="5.1299000000000001"/>
  </r>
  <r>
    <x v="2"/>
    <x v="0"/>
    <d v="2024-05-13T00:00:00"/>
    <n v="83.36"/>
    <n v="79.12"/>
    <n v="2.4367999999999999"/>
    <n v="2.5105"/>
    <n v="2.3809999999999998"/>
    <n v="5.1510999999999996"/>
  </r>
  <r>
    <x v="2"/>
    <x v="0"/>
    <d v="2024-05-10T00:00:00"/>
    <n v="82.79"/>
    <n v="78.260000000000005"/>
    <n v="2.4344000000000001"/>
    <n v="2.4996999999999998"/>
    <n v="2.2519999999999998"/>
    <n v="5.1584000000000003"/>
  </r>
  <r>
    <x v="2"/>
    <x v="0"/>
    <d v="2024-05-09T00:00:00"/>
    <n v="83.88"/>
    <n v="79.260000000000005"/>
    <n v="2.4775999999999998"/>
    <n v="2.5417999999999998"/>
    <n v="2.3010000000000002"/>
    <n v="5.1412000000000004"/>
  </r>
  <r>
    <x v="2"/>
    <x v="0"/>
    <d v="2024-05-08T00:00:00"/>
    <n v="83.58"/>
    <n v="78.989999999999995"/>
    <n v="2.4761000000000002"/>
    <n v="2.5318000000000001"/>
    <n v="2.1869999999999998"/>
    <n v="5.0909000000000004"/>
  </r>
  <r>
    <x v="2"/>
    <x v="0"/>
    <d v="2024-05-07T00:00:00"/>
    <n v="83.16"/>
    <n v="78.38"/>
    <n v="2.4655999999999998"/>
    <n v="2.5434000000000001"/>
    <n v="2.2069999999999999"/>
    <n v="5.0707000000000004"/>
  </r>
  <r>
    <x v="2"/>
    <x v="0"/>
    <d v="2024-05-06T00:00:00"/>
    <n v="83.33"/>
    <n v="78.48"/>
    <n v="2.4613999999999998"/>
    <n v="2.5882000000000001"/>
    <n v="2.1949999999999998"/>
    <n v="5.0758000000000001"/>
  </r>
  <r>
    <x v="2"/>
    <x v="0"/>
    <d v="2024-05-03T00:00:00"/>
    <n v="82.96"/>
    <n v="78.11"/>
    <n v="2.4434"/>
    <n v="2.5550999999999999"/>
    <n v="2.1419999999999999"/>
    <n v="5.0721999999999996"/>
  </r>
  <r>
    <x v="2"/>
    <x v="0"/>
    <d v="2024-05-02T00:00:00"/>
    <n v="83.67"/>
    <n v="78.95"/>
    <n v="2.4430999999999998"/>
    <n v="2.5964999999999998"/>
    <n v="2.0350000000000001"/>
    <n v="5.1113"/>
  </r>
  <r>
    <x v="2"/>
    <x v="0"/>
    <d v="2024-05-01T00:00:00"/>
    <n v="83.44"/>
    <n v="79"/>
    <n v="2.4519000000000002"/>
    <n v="2.5773999999999999"/>
    <n v="1.9319999999999999"/>
    <n v="5.1936"/>
  </r>
  <r>
    <x v="2"/>
    <x v="1"/>
    <d v="2024-04-30T00:00:00"/>
    <n v="87.86"/>
    <n v="81.93"/>
    <n v="2.5133999999999999"/>
    <n v="2.7107999999999999"/>
    <n v="1.9910000000000001"/>
    <n v="5.1933999999999996"/>
  </r>
  <r>
    <x v="2"/>
    <x v="1"/>
    <d v="2024-04-29T00:00:00"/>
    <n v="88.4"/>
    <n v="82.63"/>
    <n v="2.5312999999999999"/>
    <n v="2.7486999999999999"/>
    <n v="2.0299999999999998"/>
    <n v="5.1189"/>
  </r>
  <r>
    <x v="2"/>
    <x v="1"/>
    <d v="2024-04-26T00:00:00"/>
    <n v="89.5"/>
    <n v="83.85"/>
    <n v="2.5482"/>
    <n v="2.7646000000000002"/>
    <n v="1.6140000000000001"/>
    <n v="5.1151"/>
  </r>
  <r>
    <x v="2"/>
    <x v="1"/>
    <d v="2024-04-25T00:00:00"/>
    <n v="89.01"/>
    <n v="83.57"/>
    <n v="2.5503999999999998"/>
    <n v="2.7582"/>
    <n v="1.6379999999999999"/>
    <n v="5.1601999999999997"/>
  </r>
  <r>
    <x v="2"/>
    <x v="1"/>
    <d v="2024-04-24T00:00:00"/>
    <n v="88.02"/>
    <n v="82.81"/>
    <n v="2.5499000000000001"/>
    <n v="2.7343000000000002"/>
    <n v="1.653"/>
    <n v="5.1456999999999997"/>
  </r>
  <r>
    <x v="2"/>
    <x v="1"/>
    <d v="2024-04-23T00:00:00"/>
    <n v="88.42"/>
    <n v="83.36"/>
    <n v="2.5792000000000002"/>
    <n v="2.7252999999999998"/>
    <n v="1.8120000000000001"/>
    <n v="5.1260000000000003"/>
  </r>
  <r>
    <x v="2"/>
    <x v="1"/>
    <d v="2024-04-22T00:00:00"/>
    <n v="87"/>
    <n v="82.85"/>
    <n v="2.5604"/>
    <n v="2.6854"/>
    <n v="1.7909999999999999"/>
    <n v="5.1680000000000001"/>
  </r>
  <r>
    <x v="2"/>
    <x v="1"/>
    <d v="2024-04-19T00:00:00"/>
    <n v="87.29"/>
    <n v="83.14"/>
    <n v="2.5413000000000001"/>
    <n v="2.7103000000000002"/>
    <n v="1.752"/>
    <n v="5.2027000000000001"/>
  </r>
  <r>
    <x v="2"/>
    <x v="1"/>
    <d v="2024-04-18T00:00:00"/>
    <n v="87.11"/>
    <n v="82.73"/>
    <n v="2.5339"/>
    <n v="2.7136999999999998"/>
    <n v="1.7569999999999999"/>
    <n v="5.2481999999999998"/>
  </r>
  <r>
    <x v="2"/>
    <x v="1"/>
    <d v="2024-04-17T00:00:00"/>
    <n v="87.29"/>
    <n v="82.69"/>
    <n v="2.5747"/>
    <n v="2.7286999999999999"/>
    <n v="1.712"/>
    <n v="5.242"/>
  </r>
  <r>
    <x v="2"/>
    <x v="1"/>
    <d v="2024-04-16T00:00:00"/>
    <n v="90.02"/>
    <n v="85.36"/>
    <n v="2.6513"/>
    <n v="2.8222999999999998"/>
    <n v="1.732"/>
    <n v="5.2826000000000004"/>
  </r>
  <r>
    <x v="2"/>
    <x v="1"/>
    <d v="2024-04-15T00:00:00"/>
    <n v="90.1"/>
    <n v="85.41"/>
    <n v="2.6541999999999999"/>
    <n v="2.7839"/>
    <n v="1.6910000000000001"/>
    <n v="5.1845999999999997"/>
  </r>
  <r>
    <x v="2"/>
    <x v="1"/>
    <d v="2024-04-12T00:00:00"/>
    <n v="90.45"/>
    <n v="85.66"/>
    <n v="2.6850999999999998"/>
    <n v="2.8029000000000002"/>
    <n v="1.77"/>
    <n v="5.1174999999999997"/>
  </r>
  <r>
    <x v="2"/>
    <x v="1"/>
    <d v="2024-04-11T00:00:00"/>
    <n v="89.74"/>
    <n v="85.02"/>
    <n v="2.6598000000000002"/>
    <n v="2.7740999999999998"/>
    <n v="1.764"/>
    <n v="5.0917000000000003"/>
  </r>
  <r>
    <x v="2"/>
    <x v="1"/>
    <d v="2024-04-10T00:00:00"/>
    <n v="90.48"/>
    <n v="86.21"/>
    <n v="2.7075999999999998"/>
    <n v="2.7816000000000001"/>
    <n v="1.885"/>
    <n v="5.0746000000000002"/>
  </r>
  <r>
    <x v="2"/>
    <x v="1"/>
    <d v="2024-04-09T00:00:00"/>
    <n v="89.42"/>
    <n v="85.23"/>
    <n v="2.677"/>
    <n v="2.7555999999999998"/>
    <n v="1.8720000000000001"/>
    <n v="5.0090000000000003"/>
  </r>
  <r>
    <x v="2"/>
    <x v="1"/>
    <d v="2024-04-08T00:00:00"/>
    <n v="90.38"/>
    <n v="86.43"/>
    <n v="2.7286999999999999"/>
    <n v="2.7486000000000002"/>
    <n v="1.8440000000000001"/>
    <n v="5.0267999999999997"/>
  </r>
  <r>
    <x v="2"/>
    <x v="1"/>
    <d v="2024-04-05T00:00:00"/>
    <n v="91.17"/>
    <n v="86.91"/>
    <n v="2.7730000000000001"/>
    <n v="2.7886000000000002"/>
    <n v="1.7849999999999999"/>
    <n v="5.0655000000000001"/>
  </r>
  <r>
    <x v="2"/>
    <x v="1"/>
    <d v="2024-04-04T00:00:00"/>
    <n v="90.65"/>
    <n v="86.59"/>
    <n v="2.7412999999999998"/>
    <n v="2.7942"/>
    <n v="1.774"/>
    <n v="5.0537999999999998"/>
  </r>
  <r>
    <x v="2"/>
    <x v="1"/>
    <d v="2024-04-03T00:00:00"/>
    <n v="89.35"/>
    <n v="85.43"/>
    <n v="2.7324000000000002"/>
    <n v="2.7608999999999999"/>
    <n v="1.841"/>
    <n v="5.0392999999999999"/>
  </r>
  <r>
    <x v="2"/>
    <x v="1"/>
    <d v="2024-04-02T00:00:00"/>
    <n v="88.92"/>
    <n v="85.15"/>
    <n v="2.7119"/>
    <n v="2.7589000000000001"/>
    <n v="1.8620000000000001"/>
    <n v="5.0575999999999999"/>
  </r>
  <r>
    <x v="2"/>
    <x v="1"/>
    <d v="2024-04-01T00:00:00"/>
    <n v="87.42"/>
    <n v="83.71"/>
    <n v="2.6271"/>
    <n v="2.71"/>
    <n v="1.837"/>
    <n v="5.0542999999999996"/>
  </r>
  <r>
    <x v="2"/>
    <x v="2"/>
    <d v="2024-03-29T00:00:00"/>
    <m/>
    <m/>
    <m/>
    <m/>
    <m/>
    <n v="5.0152999999999999"/>
  </r>
  <r>
    <x v="2"/>
    <x v="2"/>
    <d v="2024-03-28T00:00:00"/>
    <n v="87.48"/>
    <n v="83.17"/>
    <n v="2.6156000000000001"/>
    <n v="2.7610999999999999"/>
    <n v="1.7629999999999999"/>
    <n v="5.0129000000000001"/>
  </r>
  <r>
    <x v="2"/>
    <x v="2"/>
    <d v="2024-03-27T00:00:00"/>
    <n v="86.09"/>
    <n v="81.349999999999994"/>
    <n v="2.5985999999999998"/>
    <n v="2.6846999999999999"/>
    <n v="1.718"/>
    <n v="4.9866000000000001"/>
  </r>
  <r>
    <x v="2"/>
    <x v="2"/>
    <d v="2024-03-26T00:00:00"/>
    <n v="86.25"/>
    <n v="81.62"/>
    <n v="2.6217999999999999"/>
    <n v="2.7006000000000001"/>
    <n v="1.575"/>
    <n v="4.9808000000000003"/>
  </r>
  <r>
    <x v="2"/>
    <x v="2"/>
    <d v="2024-03-25T00:00:00"/>
    <n v="86.75"/>
    <n v="81.95"/>
    <n v="2.6785999999999999"/>
    <n v="2.7484000000000002"/>
    <n v="1.615"/>
    <n v="4.9751000000000003"/>
  </r>
  <r>
    <x v="2"/>
    <x v="2"/>
    <d v="2024-03-22T00:00:00"/>
    <n v="85.43"/>
    <n v="80.63"/>
    <n v="2.6534"/>
    <n v="2.7397999999999998"/>
    <n v="1.659"/>
    <n v="4.9996999999999998"/>
  </r>
  <r>
    <x v="2"/>
    <x v="2"/>
    <d v="2024-03-21T00:00:00"/>
    <n v="85.78"/>
    <n v="81.069999999999993"/>
    <n v="2.6688000000000001"/>
    <n v="2.7271000000000001"/>
    <n v="1.6830000000000001"/>
    <n v="4.9781000000000004"/>
  </r>
  <r>
    <x v="2"/>
    <x v="2"/>
    <d v="2024-03-20T00:00:00"/>
    <n v="85.95"/>
    <n v="81.680000000000007"/>
    <n v="2.6957"/>
    <n v="2.7332000000000001"/>
    <n v="1.6990000000000001"/>
    <n v="4.9691000000000001"/>
  </r>
  <r>
    <x v="2"/>
    <x v="2"/>
    <d v="2024-03-19T00:00:00"/>
    <n v="87.38"/>
    <n v="83.47"/>
    <n v="2.7606999999999999"/>
    <n v="2.7622"/>
    <n v="1.744"/>
    <n v="5.0301"/>
  </r>
  <r>
    <x v="2"/>
    <x v="2"/>
    <d v="2024-03-18T00:00:00"/>
    <n v="86.89"/>
    <n v="82.72"/>
    <n v="2.7881999999999998"/>
    <n v="2.7572999999999999"/>
    <n v="1.7030000000000001"/>
    <n v="5.0252999999999997"/>
  </r>
  <r>
    <x v="2"/>
    <x v="2"/>
    <d v="2024-03-15T00:00:00"/>
    <n v="85.34"/>
    <n v="81.040000000000006"/>
    <n v="2.7269999999999999"/>
    <n v="2.7208000000000001"/>
    <n v="1.655"/>
    <n v="4.9949000000000003"/>
  </r>
  <r>
    <x v="2"/>
    <x v="2"/>
    <d v="2024-03-14T00:00:00"/>
    <n v="85.42"/>
    <n v="81.260000000000005"/>
    <n v="2.7088000000000001"/>
    <n v="2.7033"/>
    <n v="1.7410000000000001"/>
    <n v="4.9894999999999996"/>
  </r>
  <r>
    <x v="2"/>
    <x v="2"/>
    <d v="2024-03-13T00:00:00"/>
    <n v="84.03"/>
    <n v="79.72"/>
    <n v="2.6850999999999998"/>
    <n v="2.6615000000000002"/>
    <n v="1.6579999999999999"/>
    <n v="4.97"/>
  </r>
  <r>
    <x v="2"/>
    <x v="2"/>
    <d v="2024-03-12T00:00:00"/>
    <n v="81.92"/>
    <n v="77.56"/>
    <n v="2.6164999999999998"/>
    <n v="2.5863999999999998"/>
    <n v="1.714"/>
    <n v="4.9718"/>
  </r>
  <r>
    <x v="2"/>
    <x v="2"/>
    <d v="2024-03-11T00:00:00"/>
    <n v="82.21"/>
    <n v="77.930000000000007"/>
    <n v="2.6518000000000002"/>
    <n v="2.5804999999999998"/>
    <n v="1.7589999999999999"/>
    <n v="4.9771000000000001"/>
  </r>
  <r>
    <x v="2"/>
    <x v="2"/>
    <d v="2024-03-08T00:00:00"/>
    <n v="82.08"/>
    <n v="78.010000000000005"/>
    <n v="2.6408999999999998"/>
    <n v="2.5272000000000001"/>
    <n v="1.8049999999999999"/>
    <n v="4.9805999999999999"/>
  </r>
  <r>
    <x v="2"/>
    <x v="2"/>
    <d v="2024-03-07T00:00:00"/>
    <n v="82.96"/>
    <n v="78.930000000000007"/>
    <n v="2.6947000000000001"/>
    <n v="2.5548000000000002"/>
    <n v="1.8180000000000001"/>
    <n v="4.9349999999999996"/>
  </r>
  <r>
    <x v="2"/>
    <x v="2"/>
    <d v="2024-03-06T00:00:00"/>
    <n v="82.96"/>
    <n v="79.13"/>
    <n v="2.6633"/>
    <n v="2.5539000000000001"/>
    <n v="1.929"/>
    <n v="4.9446000000000003"/>
  </r>
  <r>
    <x v="2"/>
    <x v="2"/>
    <d v="2024-03-05T00:00:00"/>
    <n v="82.04"/>
    <n v="78.150000000000006"/>
    <n v="2.6065"/>
    <n v="2.5327999999999999"/>
    <n v="1.9570000000000001"/>
    <n v="4.9581"/>
  </r>
  <r>
    <x v="2"/>
    <x v="2"/>
    <d v="2024-03-04T00:00:00"/>
    <n v="82.8"/>
    <n v="78.739999999999995"/>
    <n v="2.6472000000000002"/>
    <n v="2.5857000000000001"/>
    <n v="1.9159999999999999"/>
    <n v="4.9458000000000002"/>
  </r>
  <r>
    <x v="2"/>
    <x v="2"/>
    <d v="2024-03-01T00:00:00"/>
    <n v="83.55"/>
    <n v="79.97"/>
    <n v="2.7042000000000002"/>
    <n v="2.6143999999999998"/>
    <n v="1.835"/>
    <n v="4.9541000000000004"/>
  </r>
  <r>
    <x v="2"/>
    <x v="3"/>
    <d v="2024-02-29T00:00:00"/>
    <n v="83.62"/>
    <n v="78.260000000000005"/>
    <n v="2.6838000000000002"/>
    <n v="2.3043"/>
    <n v="1.86"/>
    <n v="4.9715999999999996"/>
  </r>
  <r>
    <x v="2"/>
    <x v="3"/>
    <d v="2024-02-28T00:00:00"/>
    <n v="83.68"/>
    <n v="78.540000000000006"/>
    <n v="2.6583000000000001"/>
    <n v="2.2709999999999999"/>
    <n v="1.885"/>
    <n v="4.9675000000000002"/>
  </r>
  <r>
    <x v="2"/>
    <x v="3"/>
    <d v="2024-02-27T00:00:00"/>
    <n v="83.65"/>
    <n v="78.87"/>
    <n v="2.746"/>
    <n v="2.3443999999999998"/>
    <n v="1.615"/>
    <n v="4.9335000000000004"/>
  </r>
  <r>
    <x v="2"/>
    <x v="3"/>
    <d v="2024-02-26T00:00:00"/>
    <n v="82.53"/>
    <n v="77.58"/>
    <n v="2.7627000000000002"/>
    <n v="2.3056000000000001"/>
    <n v="1.659"/>
    <n v="4.9798999999999998"/>
  </r>
  <r>
    <x v="2"/>
    <x v="3"/>
    <d v="2024-02-23T00:00:00"/>
    <n v="81.62"/>
    <n v="76.489999999999995"/>
    <n v="2.6897000000000002"/>
    <n v="2.2766999999999999"/>
    <n v="1.603"/>
    <n v="4.9950999999999999"/>
  </r>
  <r>
    <x v="2"/>
    <x v="3"/>
    <d v="2024-02-22T00:00:00"/>
    <n v="83.67"/>
    <n v="78.61"/>
    <n v="2.7519999999999998"/>
    <n v="2.3347000000000002"/>
    <n v="1.732"/>
    <n v="4.9604999999999997"/>
  </r>
  <r>
    <x v="2"/>
    <x v="3"/>
    <d v="2024-02-21T00:00:00"/>
    <n v="83.03"/>
    <n v="77.91"/>
    <n v="2.7052"/>
    <n v="2.286"/>
    <n v="1.7729999999999999"/>
    <n v="4.9358000000000004"/>
  </r>
  <r>
    <x v="2"/>
    <x v="3"/>
    <d v="2024-02-20T00:00:00"/>
    <n v="82.34"/>
    <n v="78.180000000000007"/>
    <n v="2.7315"/>
    <n v="2.2774000000000001"/>
    <n v="1.5760000000000001"/>
    <n v="4.9275000000000002"/>
  </r>
  <r>
    <x v="2"/>
    <x v="3"/>
    <d v="2024-02-19T00:00:00"/>
    <n v="83.56"/>
    <m/>
    <m/>
    <m/>
    <m/>
    <n v="4.9564000000000004"/>
  </r>
  <r>
    <x v="2"/>
    <x v="3"/>
    <d v="2024-02-16T00:00:00"/>
    <n v="83.47"/>
    <n v="79.19"/>
    <n v="2.8066"/>
    <n v="2.3359999999999999"/>
    <n v="1.609"/>
    <n v="4.9664999999999999"/>
  </r>
  <r>
    <x v="2"/>
    <x v="3"/>
    <d v="2024-02-15T00:00:00"/>
    <n v="82.86"/>
    <n v="78.03"/>
    <n v="2.8237000000000001"/>
    <n v="2.3182999999999998"/>
    <n v="1.581"/>
    <n v="4.9732000000000003"/>
  </r>
  <r>
    <x v="2"/>
    <x v="3"/>
    <d v="2024-02-14T00:00:00"/>
    <n v="81.599999999999994"/>
    <n v="76.64"/>
    <n v="2.8100999999999998"/>
    <n v="2.3169"/>
    <n v="1.609"/>
    <n v="4.9690000000000003"/>
  </r>
  <r>
    <x v="2"/>
    <x v="3"/>
    <d v="2024-02-13T00:00:00"/>
    <n v="82.77"/>
    <n v="77.87"/>
    <n v="2.8959000000000001"/>
    <n v="2.3946000000000001"/>
    <n v="1.6890000000000001"/>
    <n v="4.9535999999999998"/>
  </r>
  <r>
    <x v="2"/>
    <x v="3"/>
    <d v="2024-02-12T00:00:00"/>
    <n v="82"/>
    <n v="76.92"/>
    <n v="2.9196"/>
    <n v="2.3673000000000002"/>
    <n v="1.768"/>
    <n v="4.9535999999999998"/>
  </r>
  <r>
    <x v="2"/>
    <x v="3"/>
    <d v="2024-02-09T00:00:00"/>
    <n v="82.19"/>
    <n v="76.84"/>
    <n v="2.9641999999999999"/>
    <n v="2.3395000000000001"/>
    <n v="1.847"/>
    <n v="4.9516999999999998"/>
  </r>
  <r>
    <x v="2"/>
    <x v="3"/>
    <d v="2024-02-08T00:00:00"/>
    <n v="81.63"/>
    <n v="76.22"/>
    <n v="2.8908"/>
    <n v="2.3420000000000001"/>
    <n v="1.917"/>
    <n v="4.992"/>
  </r>
  <r>
    <x v="2"/>
    <x v="3"/>
    <d v="2024-02-07T00:00:00"/>
    <n v="79.209999999999994"/>
    <n v="73.86"/>
    <n v="2.8151999999999999"/>
    <n v="2.2629999999999999"/>
    <n v="1.9670000000000001"/>
    <n v="4.9684999999999997"/>
  </r>
  <r>
    <x v="2"/>
    <x v="3"/>
    <d v="2024-02-06T00:00:00"/>
    <n v="78.59"/>
    <n v="73.31"/>
    <n v="2.7427000000000001"/>
    <n v="2.2172999999999998"/>
    <n v="2.0089999999999999"/>
    <n v="4.9634"/>
  </r>
  <r>
    <x v="2"/>
    <x v="3"/>
    <d v="2024-02-05T00:00:00"/>
    <n v="77.989999999999995"/>
    <n v="72.78"/>
    <n v="2.7248000000000001"/>
    <n v="2.2092000000000001"/>
    <n v="2.0819999999999999"/>
    <n v="4.9854000000000003"/>
  </r>
  <r>
    <x v="2"/>
    <x v="3"/>
    <d v="2024-02-02T00:00:00"/>
    <n v="77.33"/>
    <n v="72.28"/>
    <n v="2.66"/>
    <n v="2.1475"/>
    <n v="2.0790000000000002"/>
    <n v="4.9699"/>
  </r>
  <r>
    <x v="2"/>
    <x v="3"/>
    <d v="2024-02-01T00:00:00"/>
    <n v="78.7"/>
    <n v="73.819999999999993"/>
    <n v="2.7128999999999999"/>
    <n v="2.1947999999999999"/>
    <n v="2.0499999999999998"/>
    <n v="4.9162999999999997"/>
  </r>
  <r>
    <x v="2"/>
    <x v="4"/>
    <d v="2024-01-31T00:00:00"/>
    <n v="81.709999999999994"/>
    <n v="75.849999999999994"/>
    <n v="2.8081999999999998"/>
    <n v="2.1833"/>
    <n v="2.1"/>
    <n v="4.9526000000000003"/>
  </r>
  <r>
    <x v="2"/>
    <x v="4"/>
    <d v="2024-01-30T00:00:00"/>
    <n v="82.87"/>
    <n v="77.819999999999993"/>
    <n v="2.8068"/>
    <n v="2.2606999999999999"/>
    <n v="2.077"/>
    <n v="4.9516"/>
  </r>
  <r>
    <x v="2"/>
    <x v="4"/>
    <d v="2024-01-29T00:00:00"/>
    <n v="82.4"/>
    <n v="76.78"/>
    <n v="2.8338999999999999"/>
    <n v="2.2284999999999999"/>
    <n v="2.4900000000000002"/>
    <n v="4.9518000000000004"/>
  </r>
  <r>
    <x v="2"/>
    <x v="4"/>
    <d v="2024-01-26T00:00:00"/>
    <n v="83.55"/>
    <n v="78.010000000000005"/>
    <n v="2.8433999999999999"/>
    <n v="2.2940999999999998"/>
    <n v="2.7120000000000002"/>
    <n v="4.9168000000000003"/>
  </r>
  <r>
    <x v="2"/>
    <x v="4"/>
    <d v="2024-01-25T00:00:00"/>
    <n v="82.43"/>
    <n v="77.36"/>
    <n v="2.7953999999999999"/>
    <n v="2.2644000000000002"/>
    <n v="2.5710000000000002"/>
    <n v="4.9165000000000001"/>
  </r>
  <r>
    <x v="2"/>
    <x v="4"/>
    <d v="2024-01-24T00:00:00"/>
    <n v="80.040000000000006"/>
    <n v="75.09"/>
    <n v="2.6818"/>
    <n v="2.2094999999999998"/>
    <n v="2.641"/>
    <n v="4.9335000000000004"/>
  </r>
  <r>
    <x v="2"/>
    <x v="4"/>
    <d v="2024-01-23T00:00:00"/>
    <n v="79.55"/>
    <n v="74.37"/>
    <n v="2.6913"/>
    <n v="2.2101000000000002"/>
    <n v="2.4500000000000002"/>
    <n v="4.9535"/>
  </r>
  <r>
    <x v="2"/>
    <x v="4"/>
    <d v="2024-01-22T00:00:00"/>
    <n v="80.06"/>
    <n v="75.19"/>
    <n v="2.6934999999999998"/>
    <n v="2.2378"/>
    <n v="2.419"/>
    <n v="4.9892000000000003"/>
  </r>
  <r>
    <x v="2"/>
    <x v="4"/>
    <d v="2024-01-19T00:00:00"/>
    <n v="78.56"/>
    <n v="73.41"/>
    <n v="2.6621000000000001"/>
    <n v="2.1627999999999998"/>
    <n v="2.5190000000000001"/>
    <n v="4.931"/>
  </r>
  <r>
    <x v="2"/>
    <x v="4"/>
    <d v="2024-01-18T00:00:00"/>
    <n v="79.099999999999994"/>
    <n v="74.08"/>
    <n v="2.6936"/>
    <n v="2.1835"/>
    <n v="2.6970000000000001"/>
    <n v="4.9268999999999998"/>
  </r>
  <r>
    <x v="2"/>
    <x v="4"/>
    <d v="2024-01-17T00:00:00"/>
    <n v="77.88"/>
    <n v="72.56"/>
    <n v="2.6536"/>
    <n v="2.1354000000000002"/>
    <n v="2.87"/>
    <n v="4.9348999999999998"/>
  </r>
  <r>
    <x v="2"/>
    <x v="4"/>
    <d v="2024-01-16T00:00:00"/>
    <n v="78.290000000000006"/>
    <n v="72.400000000000006"/>
    <n v="2.6606000000000001"/>
    <n v="2.1219000000000001"/>
    <n v="2.9"/>
    <n v="4.9257999999999997"/>
  </r>
  <r>
    <x v="2"/>
    <x v="4"/>
    <d v="2024-01-15T00:00:00"/>
    <n v="78.150000000000006"/>
    <m/>
    <m/>
    <m/>
    <m/>
    <n v="4.8628"/>
  </r>
  <r>
    <x v="2"/>
    <x v="4"/>
    <d v="2024-01-12T00:00:00"/>
    <n v="78.290000000000006"/>
    <n v="72.680000000000007"/>
    <n v="2.6692999999999998"/>
    <n v="2.1202999999999999"/>
    <n v="3.3130000000000002"/>
    <n v="4.8539000000000003"/>
  </r>
  <r>
    <x v="2"/>
    <x v="4"/>
    <d v="2024-01-11T00:00:00"/>
    <n v="77.41"/>
    <n v="72.02"/>
    <n v="2.6738"/>
    <n v="2.1143000000000001"/>
    <n v="3.097"/>
    <n v="4.87"/>
  </r>
  <r>
    <x v="2"/>
    <x v="4"/>
    <d v="2024-01-10T00:00:00"/>
    <n v="76.8"/>
    <n v="71.37"/>
    <n v="2.6006"/>
    <n v="2.0672999999999999"/>
    <n v="3.0390000000000001"/>
    <n v="4.8909000000000002"/>
  </r>
  <r>
    <x v="2"/>
    <x v="4"/>
    <d v="2024-01-09T00:00:00"/>
    <n v="77.59"/>
    <n v="72.239999999999995"/>
    <n v="2.6503999999999999"/>
    <n v="2.0768"/>
    <n v="3.19"/>
    <n v="4.9038000000000004"/>
  </r>
  <r>
    <x v="2"/>
    <x v="4"/>
    <d v="2024-01-08T00:00:00"/>
    <n v="76.12"/>
    <n v="70.77"/>
    <n v="2.5769000000000002"/>
    <n v="2.0278"/>
    <n v="2.98"/>
    <n v="4.87"/>
  </r>
  <r>
    <x v="2"/>
    <x v="4"/>
    <d v="2024-01-05T00:00:00"/>
    <n v="78.760000000000005"/>
    <n v="73.81"/>
    <n v="2.6084999999999998"/>
    <n v="2.1055000000000001"/>
    <n v="2.8929999999999998"/>
    <n v="4.8742999999999999"/>
  </r>
  <r>
    <x v="2"/>
    <x v="4"/>
    <d v="2024-01-04T00:00:00"/>
    <n v="77.59"/>
    <n v="72.19"/>
    <n v="2.5884"/>
    <n v="2.1101000000000001"/>
    <n v="2.8210000000000002"/>
    <n v="4.8967999999999998"/>
  </r>
  <r>
    <x v="2"/>
    <x v="4"/>
    <d v="2024-01-03T00:00:00"/>
    <n v="78.25"/>
    <n v="72.7"/>
    <n v="2.6044"/>
    <n v="2.1581000000000001"/>
    <n v="2.6680000000000001"/>
    <n v="4.9198000000000004"/>
  </r>
  <r>
    <x v="2"/>
    <x v="4"/>
    <d v="2024-01-02T00:00:00"/>
    <n v="75.89"/>
    <n v="70.38"/>
    <n v="2.5257999999999998"/>
    <n v="2.0949"/>
    <n v="2.5680000000000001"/>
    <n v="4.9234999999999998"/>
  </r>
  <r>
    <x v="2"/>
    <x v="4"/>
    <d v="2024-01-01T00:00:00"/>
    <m/>
    <m/>
    <m/>
    <m/>
    <m/>
    <n v="4.8525999999999998"/>
  </r>
  <r>
    <x v="3"/>
    <x v="5"/>
    <d v="2023-12-29T00:00:00"/>
    <n v="77.040000000000006"/>
    <n v="71.650000000000006"/>
    <n v="2.5531000000000001"/>
    <n v="2.1025999999999998"/>
    <n v="2.5139999999999998"/>
    <n v="4.8521000000000001"/>
  </r>
  <r>
    <x v="3"/>
    <x v="5"/>
    <d v="2023-12-28T00:00:00"/>
    <n v="78.39"/>
    <n v="71.77"/>
    <n v="2.5562999999999998"/>
    <n v="2.0851999999999999"/>
    <n v="2.5569999999999999"/>
    <n v="4.8521000000000001"/>
  </r>
  <r>
    <x v="3"/>
    <x v="5"/>
    <d v="2023-12-27T00:00:00"/>
    <n v="79.650000000000006"/>
    <n v="74.11"/>
    <n v="2.6238999999999999"/>
    <n v="2.1549999999999998"/>
    <n v="2.6190000000000002"/>
    <n v="4.8266999999999998"/>
  </r>
  <r>
    <x v="3"/>
    <x v="5"/>
    <d v="2023-12-26T00:00:00"/>
    <n v="81.069999999999993"/>
    <n v="75.569999999999993"/>
    <n v="2.6688000000000001"/>
    <n v="2.1583000000000001"/>
    <n v="2.5499999999999998"/>
    <n v="4.8140000000000001"/>
  </r>
  <r>
    <x v="3"/>
    <x v="5"/>
    <d v="2023-12-25T00:00:00"/>
    <m/>
    <m/>
    <m/>
    <m/>
    <m/>
    <n v="4.8585000000000003"/>
  </r>
  <r>
    <x v="3"/>
    <x v="5"/>
    <d v="2023-12-22T00:00:00"/>
    <n v="79.069999999999993"/>
    <n v="73.56"/>
    <n v="2.6612"/>
    <n v="2.1301000000000001"/>
    <n v="2.61"/>
    <n v="4.8585000000000003"/>
  </r>
  <r>
    <x v="3"/>
    <x v="5"/>
    <d v="2023-12-21T00:00:00"/>
    <n v="79.39"/>
    <n v="73.89"/>
    <n v="2.6968000000000001"/>
    <n v="2.1585000000000001"/>
    <n v="2.5720000000000001"/>
    <n v="4.8844000000000003"/>
  </r>
  <r>
    <x v="3"/>
    <x v="5"/>
    <d v="2023-12-20T00:00:00"/>
    <n v="79.7"/>
    <n v="74.22"/>
    <n v="2.7084999999999999"/>
    <n v="2.2006999999999999"/>
    <n v="2.4470000000000001"/>
    <n v="4.9162999999999997"/>
  </r>
  <r>
    <x v="3"/>
    <x v="5"/>
    <d v="2023-12-19T00:00:00"/>
    <n v="79.23"/>
    <n v="73.44"/>
    <n v="2.7168000000000001"/>
    <n v="2.2008000000000001"/>
    <n v="2.492"/>
    <n v="4.8674999999999997"/>
  </r>
  <r>
    <x v="3"/>
    <x v="5"/>
    <d v="2023-12-18T00:00:00"/>
    <n v="77.95"/>
    <n v="72.47"/>
    <n v="2.6728000000000001"/>
    <n v="2.1589999999999998"/>
    <n v="2.5030000000000001"/>
    <n v="4.8967000000000001"/>
  </r>
  <r>
    <x v="3"/>
    <x v="5"/>
    <d v="2023-12-15T00:00:00"/>
    <n v="76.55"/>
    <n v="71.430000000000007"/>
    <n v="2.6208"/>
    <n v="2.137"/>
    <n v="2.4910000000000001"/>
    <n v="4.9371"/>
  </r>
  <r>
    <x v="3"/>
    <x v="5"/>
    <d v="2023-12-14T00:00:00"/>
    <n v="76.61"/>
    <n v="71.58"/>
    <n v="2.5912999999999999"/>
    <n v="2.1187999999999998"/>
    <n v="2.3919999999999999"/>
    <n v="4.9154999999999998"/>
  </r>
  <r>
    <x v="3"/>
    <x v="5"/>
    <d v="2023-12-13T00:00:00"/>
    <n v="74.260000000000005"/>
    <n v="69.47"/>
    <n v="2.5480999999999998"/>
    <n v="2.0249000000000001"/>
    <n v="2.335"/>
    <n v="4.9196999999999997"/>
  </r>
  <r>
    <x v="3"/>
    <x v="5"/>
    <d v="2023-12-12T00:00:00"/>
    <n v="73.239999999999995"/>
    <n v="68.61"/>
    <n v="2.5074000000000001"/>
    <n v="1.9797"/>
    <n v="2.3109999999999999"/>
    <n v="4.9630999999999998"/>
  </r>
  <r>
    <x v="3"/>
    <x v="5"/>
    <d v="2023-12-11T00:00:00"/>
    <n v="76.03"/>
    <n v="71.319999999999993"/>
    <n v="2.6086999999999998"/>
    <n v="2.0430999999999999"/>
    <n v="2.431"/>
    <n v="4.9386000000000001"/>
  </r>
  <r>
    <x v="3"/>
    <x v="5"/>
    <d v="2023-12-08T00:00:00"/>
    <n v="75.84"/>
    <n v="71.23"/>
    <n v="2.581"/>
    <n v="2.0497999999999998"/>
    <n v="2.581"/>
    <n v="4.9317000000000002"/>
  </r>
  <r>
    <x v="3"/>
    <x v="5"/>
    <d v="2023-12-07T00:00:00"/>
    <n v="74.05"/>
    <n v="69.34"/>
    <n v="2.5491999999999999"/>
    <n v="2.0011999999999999"/>
    <n v="2.585"/>
    <n v="4.9115000000000002"/>
  </r>
  <r>
    <x v="3"/>
    <x v="5"/>
    <d v="2023-12-06T00:00:00"/>
    <n v="74.3"/>
    <n v="69.38"/>
    <n v="2.5762"/>
    <n v="2.0301999999999998"/>
    <n v="2.569"/>
    <n v="4.9021999999999997"/>
  </r>
  <r>
    <x v="3"/>
    <x v="5"/>
    <d v="2023-12-05T00:00:00"/>
    <n v="77.2"/>
    <n v="72.319999999999993"/>
    <n v="2.6410999999999998"/>
    <n v="2.1103000000000001"/>
    <n v="2.71"/>
    <n v="4.9306000000000001"/>
  </r>
  <r>
    <x v="3"/>
    <x v="5"/>
    <d v="2023-12-04T00:00:00"/>
    <n v="78.03"/>
    <n v="73.040000000000006"/>
    <n v="2.6597"/>
    <n v="2.1341999999999999"/>
    <n v="2.694"/>
    <n v="4.9432"/>
  </r>
  <r>
    <x v="3"/>
    <x v="5"/>
    <d v="2023-12-01T00:00:00"/>
    <n v="78.88"/>
    <n v="74.069999999999993"/>
    <n v="2.6615000000000002"/>
    <n v="2.1211000000000002"/>
    <n v="2.8140000000000001"/>
    <n v="4.8800999999999997"/>
  </r>
  <r>
    <x v="3"/>
    <x v="6"/>
    <d v="2023-11-30T00:00:00"/>
    <n v="82.83"/>
    <n v="75.959999999999994"/>
    <n v="2.8304999999999998"/>
    <n v="2.1998000000000002"/>
    <n v="2.802"/>
    <n v="4.9204999999999997"/>
  </r>
  <r>
    <x v="3"/>
    <x v="6"/>
    <d v="2023-11-29T00:00:00"/>
    <n v="83.1"/>
    <n v="77.86"/>
    <n v="2.8885000000000001"/>
    <n v="2.2835999999999999"/>
    <n v="2.8039999999999998"/>
    <n v="4.9028999999999998"/>
  </r>
  <r>
    <x v="3"/>
    <x v="6"/>
    <d v="2023-11-28T00:00:00"/>
    <n v="81.680000000000007"/>
    <n v="76.41"/>
    <n v="2.907"/>
    <n v="2.23"/>
    <n v="2.706"/>
    <n v="4.8704999999999998"/>
  </r>
  <r>
    <x v="3"/>
    <x v="6"/>
    <d v="2023-11-27T00:00:00"/>
    <n v="79.98"/>
    <n v="74.86"/>
    <n v="2.8378999999999999"/>
    <n v="2.1798999999999999"/>
    <n v="2.794"/>
    <n v="4.8963999999999999"/>
  </r>
  <r>
    <x v="3"/>
    <x v="6"/>
    <d v="2023-11-24T00:00:00"/>
    <n v="80.58"/>
    <n v="75.540000000000006"/>
    <n v="2.8357000000000001"/>
    <n v="2.1650999999999998"/>
    <n v="2.855"/>
    <n v="4.9020000000000001"/>
  </r>
  <r>
    <x v="3"/>
    <x v="6"/>
    <d v="2023-11-23T00:00:00"/>
    <n v="81.42"/>
    <m/>
    <m/>
    <m/>
    <m/>
    <n v="4.9039000000000001"/>
  </r>
  <r>
    <x v="3"/>
    <x v="6"/>
    <d v="2023-11-22T00:00:00"/>
    <n v="81.96"/>
    <n v="77.099999999999994"/>
    <n v="2.8891"/>
    <n v="2.2324000000000002"/>
    <n v="2.8969999999999998"/>
    <n v="4.9067999999999996"/>
  </r>
  <r>
    <x v="3"/>
    <x v="6"/>
    <d v="2023-11-21T00:00:00"/>
    <n v="82.45"/>
    <n v="77.77"/>
    <n v="2.9249000000000001"/>
    <n v="2.2338"/>
    <n v="2.8460000000000001"/>
    <n v="4.9005999999999998"/>
  </r>
  <r>
    <x v="3"/>
    <x v="6"/>
    <d v="2023-11-20T00:00:00"/>
    <n v="82.32"/>
    <n v="77.599999999999994"/>
    <n v="2.8494999999999999"/>
    <n v="2.226"/>
    <n v="2.8820000000000001"/>
    <n v="4.8543000000000003"/>
  </r>
  <r>
    <x v="3"/>
    <x v="6"/>
    <d v="2023-11-17T00:00:00"/>
    <n v="80.61"/>
    <n v="75.89"/>
    <n v="2.7725"/>
    <n v="2.1844999999999999"/>
    <n v="2.96"/>
    <n v="4.9058999999999999"/>
  </r>
  <r>
    <x v="3"/>
    <x v="6"/>
    <d v="2023-11-16T00:00:00"/>
    <n v="77.42"/>
    <n v="72.900000000000006"/>
    <n v="2.7502"/>
    <n v="2.1011000000000002"/>
    <n v="3.0619999999999998"/>
    <n v="4.8632"/>
  </r>
  <r>
    <x v="3"/>
    <x v="6"/>
    <d v="2023-11-15T00:00:00"/>
    <n v="81.180000000000007"/>
    <n v="76.66"/>
    <n v="2.8687"/>
    <n v="2.2018"/>
    <n v="3.19"/>
    <n v="4.8620000000000001"/>
  </r>
  <r>
    <x v="3"/>
    <x v="6"/>
    <d v="2023-11-14T00:00:00"/>
    <n v="82.47"/>
    <n v="78.260000000000005"/>
    <n v="2.8371"/>
    <n v="2.2227999999999999"/>
    <n v="3.1059999999999999"/>
    <n v="4.8654000000000002"/>
  </r>
  <r>
    <x v="3"/>
    <x v="6"/>
    <d v="2023-11-13T00:00:00"/>
    <n v="82.52"/>
    <n v="78.260000000000005"/>
    <n v="2.8393000000000002"/>
    <n v="2.2359"/>
    <n v="3.1970000000000001"/>
    <n v="4.9074999999999998"/>
  </r>
  <r>
    <x v="3"/>
    <x v="6"/>
    <d v="2023-11-10T00:00:00"/>
    <n v="81.430000000000007"/>
    <n v="77.17"/>
    <n v="2.7431000000000001"/>
    <n v="2.1894999999999998"/>
    <n v="3.0329999999999999"/>
    <n v="4.9013"/>
  </r>
  <r>
    <x v="3"/>
    <x v="6"/>
    <d v="2023-11-09T00:00:00"/>
    <n v="80.010000000000005"/>
    <n v="75.739999999999995"/>
    <n v="2.7191000000000001"/>
    <n v="2.1608000000000001"/>
    <n v="3.0409999999999999"/>
    <n v="4.9341999999999997"/>
  </r>
  <r>
    <x v="3"/>
    <x v="6"/>
    <d v="2023-11-08T00:00:00"/>
    <n v="79.540000000000006"/>
    <n v="75.33"/>
    <n v="2.7492000000000001"/>
    <n v="2.1284999999999998"/>
    <n v="3.1059999999999999"/>
    <n v="4.9103000000000003"/>
  </r>
  <r>
    <x v="3"/>
    <x v="6"/>
    <d v="2023-11-07T00:00:00"/>
    <n v="81.61"/>
    <n v="77.37"/>
    <n v="2.8384"/>
    <n v="2.1677"/>
    <n v="3.14"/>
    <n v="4.8723999999999998"/>
  </r>
  <r>
    <x v="3"/>
    <x v="6"/>
    <d v="2023-11-06T00:00:00"/>
    <n v="85.18"/>
    <n v="80.819999999999993"/>
    <n v="2.9523999999999999"/>
    <n v="2.2359"/>
    <n v="3.2639999999999998"/>
    <n v="4.8853"/>
  </r>
  <r>
    <x v="3"/>
    <x v="6"/>
    <d v="2023-11-03T00:00:00"/>
    <n v="84.89"/>
    <n v="80.510000000000005"/>
    <n v="2.9238"/>
    <n v="2.2010000000000001"/>
    <n v="3.5150000000000001"/>
    <n v="4.9012000000000002"/>
  </r>
  <r>
    <x v="3"/>
    <x v="6"/>
    <d v="2023-11-02T00:00:00"/>
    <n v="86.85"/>
    <n v="82.46"/>
    <n v="3.0255000000000001"/>
    <n v="2.246"/>
    <n v="3.472"/>
    <n v="4.9534000000000002"/>
  </r>
  <r>
    <x v="3"/>
    <x v="6"/>
    <d v="2023-11-01T00:00:00"/>
    <n v="84.63"/>
    <n v="80.44"/>
    <n v="2.9615"/>
    <n v="2.1855000000000002"/>
    <n v="3.4940000000000002"/>
    <n v="4.9534000000000002"/>
  </r>
  <r>
    <x v="3"/>
    <x v="7"/>
    <d v="2023-10-31T00:00:00"/>
    <n v="87.41"/>
    <n v="81.02"/>
    <n v="2.9910000000000001"/>
    <n v="2.2227000000000001"/>
    <n v="3.5750000000000002"/>
    <n v="5.0350000000000001"/>
  </r>
  <r>
    <x v="3"/>
    <x v="7"/>
    <d v="2023-10-30T00:00:00"/>
    <n v="87.45"/>
    <n v="82.31"/>
    <n v="2.9662999999999999"/>
    <n v="2.2200000000000002"/>
    <n v="3.3519999999999999"/>
    <n v="5.0472000000000001"/>
  </r>
  <r>
    <x v="3"/>
    <x v="7"/>
    <d v="2023-10-27T00:00:00"/>
    <n v="90.48"/>
    <n v="85.54"/>
    <n v="3.0518999999999998"/>
    <n v="2.3125"/>
    <n v="3.1640000000000001"/>
    <n v="5.0152000000000001"/>
  </r>
  <r>
    <x v="3"/>
    <x v="7"/>
    <d v="2023-10-26T00:00:00"/>
    <n v="87.93"/>
    <n v="83.21"/>
    <n v="3.0438999999999998"/>
    <n v="2.2561"/>
    <n v="3.214"/>
    <n v="4.9861000000000004"/>
  </r>
  <r>
    <x v="3"/>
    <x v="7"/>
    <d v="2023-10-25T00:00:00"/>
    <n v="90.13"/>
    <n v="85.39"/>
    <n v="3.0305"/>
    <n v="2.2841999999999998"/>
    <n v="3.01"/>
    <n v="4.9946999999999999"/>
  </r>
  <r>
    <x v="3"/>
    <x v="7"/>
    <d v="2023-10-24T00:00:00"/>
    <n v="88.07"/>
    <n v="83.74"/>
    <n v="3.0449000000000002"/>
    <n v="2.2675999999999998"/>
    <n v="2.9710000000000001"/>
    <n v="4.9908000000000001"/>
  </r>
  <r>
    <x v="3"/>
    <x v="7"/>
    <d v="2023-10-23T00:00:00"/>
    <n v="89.83"/>
    <n v="85.49"/>
    <n v="3.0954999999999999"/>
    <n v="2.3285"/>
    <n v="2.9260000000000002"/>
    <n v="5.0111999999999997"/>
  </r>
  <r>
    <x v="3"/>
    <x v="7"/>
    <d v="2023-10-20T00:00:00"/>
    <n v="92.16"/>
    <n v="88.75"/>
    <n v="3.1566000000000001"/>
    <n v="2.3736000000000002"/>
    <n v="2.899"/>
    <n v="5.0312000000000001"/>
  </r>
  <r>
    <x v="3"/>
    <x v="7"/>
    <d v="2023-10-19T00:00:00"/>
    <n v="92.38"/>
    <n v="89.37"/>
    <n v="3.173"/>
    <n v="2.3616999999999999"/>
    <n v="2.9569999999999999"/>
    <n v="5.0646000000000004"/>
  </r>
  <r>
    <x v="3"/>
    <x v="7"/>
    <d v="2023-10-18T00:00:00"/>
    <n v="91.5"/>
    <n v="88.32"/>
    <n v="3.1393"/>
    <n v="2.3534999999999999"/>
    <n v="3.056"/>
    <n v="5.0590999999999999"/>
  </r>
  <r>
    <x v="3"/>
    <x v="7"/>
    <d v="2023-10-17T00:00:00"/>
    <n v="89.9"/>
    <n v="86.66"/>
    <n v="3.1766999999999999"/>
    <n v="2.2845"/>
    <n v="3.0790000000000002"/>
    <n v="5.0414000000000003"/>
  </r>
  <r>
    <x v="3"/>
    <x v="7"/>
    <d v="2023-10-16T00:00:00"/>
    <n v="89.65"/>
    <n v="86.66"/>
    <n v="3.1492"/>
    <n v="2.2730000000000001"/>
    <n v="3.109"/>
    <n v="5.0377000000000001"/>
  </r>
  <r>
    <x v="3"/>
    <x v="7"/>
    <d v="2023-10-13T00:00:00"/>
    <n v="90.89"/>
    <n v="87.69"/>
    <n v="3.2117"/>
    <n v="2.2652999999999999"/>
    <n v="3.2360000000000002"/>
    <n v="5.0800999999999998"/>
  </r>
  <r>
    <x v="3"/>
    <x v="7"/>
    <d v="2023-10-12T00:00:00"/>
    <n v="86"/>
    <n v="82.91"/>
    <n v="3.0449000000000002"/>
    <n v="2.165"/>
    <n v="3.3439999999999999"/>
    <n v="5.0460000000000003"/>
  </r>
  <r>
    <x v="3"/>
    <x v="7"/>
    <d v="2023-10-11T00:00:00"/>
    <n v="85.82"/>
    <n v="83.49"/>
    <n v="2.9984999999999999"/>
    <n v="2.2101000000000002"/>
    <n v="3.3769999999999998"/>
    <n v="5.0483000000000002"/>
  </r>
  <r>
    <x v="3"/>
    <x v="7"/>
    <d v="2023-10-10T00:00:00"/>
    <n v="87.65"/>
    <n v="85.97"/>
    <n v="3.0200999999999998"/>
    <n v="2.2584"/>
    <n v="3.3820000000000001"/>
    <n v="5.0515999999999996"/>
  </r>
  <r>
    <x v="3"/>
    <x v="7"/>
    <d v="2023-10-09T00:00:00"/>
    <n v="88.15"/>
    <n v="86.38"/>
    <n v="2.9666000000000001"/>
    <n v="2.2381000000000002"/>
    <n v="3.3759999999999999"/>
    <n v="5.1355000000000004"/>
  </r>
  <r>
    <x v="3"/>
    <x v="7"/>
    <d v="2023-10-06T00:00:00"/>
    <n v="84.58"/>
    <n v="82.79"/>
    <n v="2.9007999999999998"/>
    <n v="2.1922000000000001"/>
    <n v="3.3380000000000001"/>
    <n v="5.1456999999999997"/>
  </r>
  <r>
    <x v="3"/>
    <x v="7"/>
    <d v="2023-10-05T00:00:00"/>
    <n v="84.07"/>
    <n v="82.31"/>
    <n v="2.8687"/>
    <n v="2.1890000000000001"/>
    <n v="3.1659999999999999"/>
    <n v="5.1657999999999999"/>
  </r>
  <r>
    <x v="3"/>
    <x v="7"/>
    <d v="2023-10-04T00:00:00"/>
    <n v="85.81"/>
    <n v="84.22"/>
    <n v="3.0177999999999998"/>
    <n v="2.198"/>
    <n v="2.9620000000000002"/>
    <n v="5.1562000000000001"/>
  </r>
  <r>
    <x v="3"/>
    <x v="7"/>
    <d v="2023-10-03T00:00:00"/>
    <n v="90.92"/>
    <n v="89.23"/>
    <n v="3.1953999999999998"/>
    <n v="2.3601000000000001"/>
    <n v="2.9489999999999998"/>
    <n v="5.1669"/>
  </r>
  <r>
    <x v="3"/>
    <x v="7"/>
    <d v="2023-10-02T00:00:00"/>
    <n v="90.71"/>
    <n v="88.82"/>
    <n v="3.2225000000000001"/>
    <n v="2.4121999999999999"/>
    <n v="2.84"/>
    <n v="5.0609999999999999"/>
  </r>
  <r>
    <x v="3"/>
    <x v="8"/>
    <d v="2023-09-29T00:00:00"/>
    <n v="95.31"/>
    <n v="90.79"/>
    <n v="3.3622000000000001"/>
    <n v="2.4399000000000002"/>
    <n v="2.9289999999999998"/>
    <n v="5.032"/>
  </r>
  <r>
    <x v="3"/>
    <x v="8"/>
    <d v="2023-09-28T00:00:00"/>
    <n v="95.38"/>
    <n v="91.71"/>
    <n v="3.3180000000000001"/>
    <n v="2.5053000000000001"/>
    <n v="2.9449999999999998"/>
    <n v="5.0331000000000001"/>
  </r>
  <r>
    <x v="3"/>
    <x v="8"/>
    <d v="2023-09-27T00:00:00"/>
    <n v="96.55"/>
    <n v="93.68"/>
    <n v="3.3147000000000002"/>
    <n v="2.5985999999999998"/>
    <n v="2.7639999999999998"/>
    <n v="5.0425000000000004"/>
  </r>
  <r>
    <x v="3"/>
    <x v="8"/>
    <d v="2023-09-26T00:00:00"/>
    <n v="93.96"/>
    <n v="90.39"/>
    <n v="3.2238000000000002"/>
    <n v="2.5621999999999998"/>
    <n v="2.6560000000000001"/>
    <n v="4.9897999999999998"/>
  </r>
  <r>
    <x v="3"/>
    <x v="8"/>
    <d v="2023-09-25T00:00:00"/>
    <n v="93.29"/>
    <n v="89.68"/>
    <n v="3.2622"/>
    <n v="2.5438999999999998"/>
    <n v="2.6389999999999998"/>
    <n v="4.9678000000000004"/>
  </r>
  <r>
    <x v="3"/>
    <x v="8"/>
    <d v="2023-09-22T00:00:00"/>
    <n v="93.27"/>
    <n v="90.03"/>
    <n v="3.3062"/>
    <n v="2.5617999999999999"/>
    <n v="2.637"/>
    <n v="4.9351000000000003"/>
  </r>
  <r>
    <x v="3"/>
    <x v="8"/>
    <d v="2023-09-21T00:00:00"/>
    <n v="93.3"/>
    <n v="89.63"/>
    <n v="3.3679999999999999"/>
    <n v="2.6198999999999999"/>
    <n v="2.61"/>
    <n v="4.9351000000000003"/>
  </r>
  <r>
    <x v="3"/>
    <x v="8"/>
    <d v="2023-09-20T00:00:00"/>
    <n v="93.53"/>
    <n v="90.28"/>
    <n v="3.3268"/>
    <n v="2.6192000000000002"/>
    <n v="2.7330000000000001"/>
    <n v="4.8800999999999997"/>
  </r>
  <r>
    <x v="3"/>
    <x v="8"/>
    <d v="2023-09-19T00:00:00"/>
    <n v="94.34"/>
    <n v="91.2"/>
    <n v="3.3738999999999999"/>
    <n v="2.6581000000000001"/>
    <n v="2.8479999999999999"/>
    <n v="4.8673000000000002"/>
  </r>
  <r>
    <x v="3"/>
    <x v="8"/>
    <d v="2023-09-18T00:00:00"/>
    <n v="94.43"/>
    <n v="91.48"/>
    <n v="3.2883"/>
    <n v="2.6979000000000002"/>
    <n v="2.7280000000000002"/>
    <n v="4.8555999999999999"/>
  </r>
  <r>
    <x v="3"/>
    <x v="8"/>
    <d v="2023-09-15T00:00:00"/>
    <n v="93.93"/>
    <n v="90.77"/>
    <n v="3.3834"/>
    <n v="2.7081"/>
    <n v="2.6440000000000001"/>
    <n v="4.8662999999999998"/>
  </r>
  <r>
    <x v="3"/>
    <x v="8"/>
    <d v="2023-09-14T00:00:00"/>
    <n v="93.7"/>
    <n v="90.16"/>
    <n v="3.4815"/>
    <n v="2.7427000000000001"/>
    <n v="2.7080000000000002"/>
    <n v="4.8667999999999996"/>
  </r>
  <r>
    <x v="3"/>
    <x v="8"/>
    <d v="2023-09-13T00:00:00"/>
    <n v="91.88"/>
    <n v="88.52"/>
    <n v="3.4354"/>
    <n v="2.7383999999999999"/>
    <n v="2.68"/>
    <n v="4.9153000000000002"/>
  </r>
  <r>
    <x v="3"/>
    <x v="8"/>
    <d v="2023-09-12T00:00:00"/>
    <n v="92.06"/>
    <n v="88.84"/>
    <n v="3.3283"/>
    <n v="2.7279"/>
    <n v="2.7429999999999999"/>
    <n v="4.9470000000000001"/>
  </r>
  <r>
    <x v="3"/>
    <x v="8"/>
    <d v="2023-09-11T00:00:00"/>
    <n v="90.64"/>
    <n v="87.29"/>
    <n v="3.3622000000000001"/>
    <n v="2.7187000000000001"/>
    <n v="2.6080000000000001"/>
    <n v="4.9306999999999999"/>
  </r>
  <r>
    <x v="3"/>
    <x v="8"/>
    <d v="2023-09-08T00:00:00"/>
    <n v="90.65"/>
    <n v="87.51"/>
    <n v="3.2991000000000001"/>
    <n v="2.6537000000000002"/>
    <n v="2.605"/>
    <n v="4.9882"/>
  </r>
  <r>
    <x v="3"/>
    <x v="8"/>
    <d v="2023-09-07T00:00:00"/>
    <n v="89.92"/>
    <n v="86.87"/>
    <n v="3.2122999999999999"/>
    <n v="2.6230000000000002"/>
    <n v="2.5790000000000002"/>
    <n v="4.9767000000000001"/>
  </r>
  <r>
    <x v="3"/>
    <x v="8"/>
    <d v="2023-09-06T00:00:00"/>
    <n v="90.6"/>
    <n v="87.54"/>
    <n v="3.1926999999999999"/>
    <n v="2.6013999999999999"/>
    <n v="2.5099999999999998"/>
    <n v="4.9783999999999997"/>
  </r>
  <r>
    <x v="3"/>
    <x v="8"/>
    <d v="2023-09-05T00:00:00"/>
    <n v="90.04"/>
    <n v="86.69"/>
    <n v="3.2195999999999998"/>
    <n v="2.581"/>
    <n v="2.5819999999999999"/>
    <n v="4.9671000000000003"/>
  </r>
  <r>
    <x v="3"/>
    <x v="8"/>
    <d v="2023-09-04T00:00:00"/>
    <n v="89"/>
    <m/>
    <m/>
    <m/>
    <m/>
    <n v="4.9375999999999998"/>
  </r>
  <r>
    <x v="3"/>
    <x v="8"/>
    <d v="2023-09-01T00:00:00"/>
    <n v="88.55"/>
    <n v="85.55"/>
    <n v="3.105"/>
    <n v="2.5912000000000002"/>
    <n v="2.7650000000000001"/>
    <n v="4.9462999999999999"/>
  </r>
  <r>
    <x v="3"/>
    <x v="9"/>
    <d v="2023-08-31T00:00:00"/>
    <n v="86.86"/>
    <n v="83.63"/>
    <n v="3.1425999999999998"/>
    <n v="2.7664"/>
    <n v="2.7679999999999998"/>
    <n v="4.9543999999999997"/>
  </r>
  <r>
    <x v="3"/>
    <x v="9"/>
    <d v="2023-08-30T00:00:00"/>
    <n v="85.86"/>
    <n v="81.63"/>
    <n v="3.0962000000000001"/>
    <n v="2.8092000000000001"/>
    <n v="2.7959999999999998"/>
    <n v="4.8890000000000002"/>
  </r>
  <r>
    <x v="3"/>
    <x v="9"/>
    <d v="2023-08-29T00:00:00"/>
    <n v="85.49"/>
    <n v="81.16"/>
    <n v="3.2094999999999998"/>
    <n v="2.7905000000000002"/>
    <n v="2.556"/>
    <n v="4.8522999999999996"/>
  </r>
  <r>
    <x v="3"/>
    <x v="9"/>
    <d v="2023-08-28T00:00:00"/>
    <n v="84.42"/>
    <n v="80.099999999999994"/>
    <n v="3.2037"/>
    <n v="2.7957000000000001"/>
    <n v="2.5790000000000002"/>
    <n v="4.8731"/>
  </r>
  <r>
    <x v="3"/>
    <x v="9"/>
    <d v="2023-08-25T00:00:00"/>
    <n v="84.48"/>
    <n v="79.83"/>
    <n v="3.3075000000000001"/>
    <n v="2.8763999999999998"/>
    <n v="2.54"/>
    <n v="4.8711000000000002"/>
  </r>
  <r>
    <x v="3"/>
    <x v="9"/>
    <d v="2023-08-24T00:00:00"/>
    <n v="83.36"/>
    <n v="79.05"/>
    <n v="3.1564000000000001"/>
    <n v="2.78"/>
    <n v="2.5190000000000001"/>
    <n v="4.8802000000000003"/>
  </r>
  <r>
    <x v="3"/>
    <x v="9"/>
    <d v="2023-08-23T00:00:00"/>
    <n v="83.21"/>
    <n v="78.89"/>
    <n v="3.1291000000000002"/>
    <n v="2.7688000000000001"/>
    <n v="2.4969999999999999"/>
    <n v="4.8571999999999997"/>
  </r>
  <r>
    <x v="3"/>
    <x v="9"/>
    <d v="2023-08-22T00:00:00"/>
    <n v="84.03"/>
    <n v="80.349999999999994"/>
    <n v="3.1387999999999998"/>
    <n v="2.7890999999999999"/>
    <n v="2.56"/>
    <n v="4.9386000000000001"/>
  </r>
  <r>
    <x v="3"/>
    <x v="9"/>
    <d v="2023-08-21T00:00:00"/>
    <n v="84.46"/>
    <n v="80.72"/>
    <n v="3.1162000000000001"/>
    <n v="2.7726000000000002"/>
    <n v="2.6320000000000001"/>
    <n v="4.9793000000000003"/>
  </r>
  <r>
    <x v="3"/>
    <x v="9"/>
    <d v="2023-08-18T00:00:00"/>
    <n v="84.8"/>
    <n v="81.25"/>
    <n v="3.1597"/>
    <n v="2.8231999999999999"/>
    <n v="2.5510000000000002"/>
    <n v="4.9694000000000003"/>
  </r>
  <r>
    <x v="3"/>
    <x v="9"/>
    <d v="2023-08-17T00:00:00"/>
    <n v="84.12"/>
    <n v="80.39"/>
    <n v="3.0937999999999999"/>
    <n v="2.8216999999999999"/>
    <n v="2.621"/>
    <n v="4.9757999999999996"/>
  </r>
  <r>
    <x v="3"/>
    <x v="9"/>
    <d v="2023-08-16T00:00:00"/>
    <n v="83.45"/>
    <n v="79.38"/>
    <n v="3.0209000000000001"/>
    <n v="2.8671000000000002"/>
    <n v="2.5920000000000001"/>
    <n v="4.9878999999999998"/>
  </r>
  <r>
    <x v="3"/>
    <x v="9"/>
    <d v="2023-08-15T00:00:00"/>
    <n v="84.89"/>
    <n v="80.989999999999995"/>
    <n v="3.028"/>
    <n v="2.8475999999999999"/>
    <n v="2.6589999999999998"/>
    <n v="4.9844999999999997"/>
  </r>
  <r>
    <x v="3"/>
    <x v="9"/>
    <d v="2023-08-14T00:00:00"/>
    <n v="86.21"/>
    <n v="82.51"/>
    <n v="3.0882999999999998"/>
    <n v="2.9062000000000001"/>
    <n v="2.7949999999999999"/>
    <n v="4.9615"/>
  </r>
  <r>
    <x v="3"/>
    <x v="9"/>
    <d v="2023-08-11T00:00:00"/>
    <n v="86.81"/>
    <n v="83.19"/>
    <n v="3.1215000000000002"/>
    <n v="2.9649000000000001"/>
    <n v="2.77"/>
    <n v="4.9047999999999998"/>
  </r>
  <r>
    <x v="3"/>
    <x v="9"/>
    <d v="2023-08-10T00:00:00"/>
    <n v="86.4"/>
    <n v="82.82"/>
    <n v="3.1533000000000002"/>
    <n v="2.9047000000000001"/>
    <n v="2.7629999999999999"/>
    <n v="4.8924000000000003"/>
  </r>
  <r>
    <x v="3"/>
    <x v="9"/>
    <d v="2023-08-09T00:00:00"/>
    <n v="87.55"/>
    <n v="84.4"/>
    <n v="3.2069999999999999"/>
    <n v="2.9283999999999999"/>
    <n v="2.9590000000000001"/>
    <n v="4.9020000000000001"/>
  </r>
  <r>
    <x v="3"/>
    <x v="9"/>
    <d v="2023-08-08T00:00:00"/>
    <n v="86.17"/>
    <n v="82.92"/>
    <n v="3.0855999999999999"/>
    <n v="2.8451"/>
    <n v="2.7770000000000001"/>
    <n v="4.8996000000000004"/>
  </r>
  <r>
    <x v="3"/>
    <x v="9"/>
    <d v="2023-08-07T00:00:00"/>
    <n v="85.34"/>
    <n v="81.94"/>
    <n v="3.0154999999999998"/>
    <n v="2.8043999999999998"/>
    <n v="2.7250000000000001"/>
    <n v="4.8998999999999997"/>
  </r>
  <r>
    <x v="3"/>
    <x v="9"/>
    <d v="2023-08-04T00:00:00"/>
    <n v="86.24"/>
    <n v="82.82"/>
    <n v="3.0621999999999998"/>
    <n v="2.7831000000000001"/>
    <n v="2.577"/>
    <n v="4.8733000000000004"/>
  </r>
  <r>
    <x v="3"/>
    <x v="9"/>
    <d v="2023-08-03T00:00:00"/>
    <n v="85.14"/>
    <n v="81.55"/>
    <n v="3.0749"/>
    <n v="2.7646999999999999"/>
    <n v="2.5649999999999999"/>
    <n v="4.9169999999999998"/>
  </r>
  <r>
    <x v="3"/>
    <x v="9"/>
    <d v="2023-08-02T00:00:00"/>
    <n v="83.2"/>
    <n v="79.489999999999995"/>
    <n v="3.0043000000000002"/>
    <n v="2.7757999999999998"/>
    <n v="2.4769999999999999"/>
    <n v="4.8120000000000003"/>
  </r>
  <r>
    <x v="3"/>
    <x v="9"/>
    <d v="2023-08-01T00:00:00"/>
    <n v="84.91"/>
    <n v="81.37"/>
    <n v="3.0234000000000001"/>
    <n v="2.8730000000000002"/>
    <n v="2.56"/>
    <n v="4.7911000000000001"/>
  </r>
  <r>
    <x v="3"/>
    <x v="10"/>
    <d v="2023-07-31T00:00:00"/>
    <n v="85.56"/>
    <n v="81.8"/>
    <n v="2.9908999999999999"/>
    <n v="2.9289999999999998"/>
    <n v="2.6339999999999999"/>
    <n v="4.7241"/>
  </r>
  <r>
    <x v="3"/>
    <x v="10"/>
    <d v="2023-07-28T00:00:00"/>
    <n v="84.99"/>
    <n v="80.58"/>
    <n v="2.9586000000000001"/>
    <n v="2.9558"/>
    <n v="2.6379999999999999"/>
    <n v="4.7336"/>
  </r>
  <r>
    <x v="3"/>
    <x v="10"/>
    <d v="2023-07-27T00:00:00"/>
    <n v="84.24"/>
    <n v="80.09"/>
    <n v="2.9169"/>
    <n v="2.9504999999999999"/>
    <n v="2.492"/>
    <n v="4.7423999999999999"/>
  </r>
  <r>
    <x v="3"/>
    <x v="10"/>
    <d v="2023-07-26T00:00:00"/>
    <n v="82.92"/>
    <n v="78.78"/>
    <n v="2.8429000000000002"/>
    <n v="2.9072"/>
    <n v="2.665"/>
    <n v="4.7363999999999997"/>
  </r>
  <r>
    <x v="3"/>
    <x v="10"/>
    <d v="2023-07-25T00:00:00"/>
    <n v="83.64"/>
    <n v="79.63"/>
    <n v="2.7776000000000001"/>
    <n v="2.8532999999999999"/>
    <n v="2.73"/>
    <n v="4.7497999999999996"/>
  </r>
  <r>
    <x v="3"/>
    <x v="10"/>
    <d v="2023-07-24T00:00:00"/>
    <n v="82.74"/>
    <n v="78.739999999999995"/>
    <n v="2.7705000000000002"/>
    <n v="2.8950999999999998"/>
    <n v="2.6850000000000001"/>
    <n v="4.7271000000000001"/>
  </r>
  <r>
    <x v="3"/>
    <x v="10"/>
    <d v="2023-07-21T00:00:00"/>
    <n v="81.069999999999993"/>
    <n v="77.069999999999993"/>
    <n v="2.7456999999999998"/>
    <n v="2.8018000000000001"/>
    <n v="2.7130000000000001"/>
    <n v="4.7794999999999996"/>
  </r>
  <r>
    <x v="3"/>
    <x v="10"/>
    <d v="2023-07-20T00:00:00"/>
    <n v="79.64"/>
    <n v="75.63"/>
    <n v="2.6644000000000001"/>
    <n v="2.7431999999999999"/>
    <n v="2.7570000000000001"/>
    <n v="4.798"/>
  </r>
  <r>
    <x v="3"/>
    <x v="10"/>
    <d v="2023-07-19T00:00:00"/>
    <n v="79.459999999999994"/>
    <n v="75.349999999999994"/>
    <n v="2.6417999999999999"/>
    <n v="2.7204999999999999"/>
    <n v="2.6030000000000002"/>
    <n v="4.7908999999999997"/>
  </r>
  <r>
    <x v="3"/>
    <x v="10"/>
    <d v="2023-07-18T00:00:00"/>
    <n v="79.63"/>
    <n v="75.75"/>
    <n v="2.5994000000000002"/>
    <n v="2.6943999999999999"/>
    <n v="2.629"/>
    <n v="4.8105000000000002"/>
  </r>
  <r>
    <x v="3"/>
    <x v="10"/>
    <d v="2023-07-17T00:00:00"/>
    <n v="78.5"/>
    <n v="74.150000000000006"/>
    <n v="2.5642"/>
    <n v="2.6316999999999999"/>
    <n v="2.512"/>
    <n v="4.8066000000000004"/>
  </r>
  <r>
    <x v="3"/>
    <x v="10"/>
    <d v="2023-07-14T00:00:00"/>
    <n v="79.87"/>
    <n v="75.42"/>
    <n v="2.5979000000000001"/>
    <n v="2.6436999999999999"/>
    <n v="2.5390000000000001"/>
    <n v="4.7893999999999997"/>
  </r>
  <r>
    <x v="3"/>
    <x v="10"/>
    <d v="2023-07-13T00:00:00"/>
    <n v="81.36"/>
    <n v="76.89"/>
    <n v="2.6103999999999998"/>
    <n v="2.6785999999999999"/>
    <n v="2.5449999999999999"/>
    <n v="4.7971000000000004"/>
  </r>
  <r>
    <x v="3"/>
    <x v="10"/>
    <d v="2023-07-12T00:00:00"/>
    <n v="80.11"/>
    <n v="75.75"/>
    <n v="2.5996000000000001"/>
    <n v="2.6669999999999998"/>
    <n v="2.6320000000000001"/>
    <n v="4.8183999999999996"/>
  </r>
  <r>
    <x v="3"/>
    <x v="10"/>
    <d v="2023-07-11T00:00:00"/>
    <n v="79.400000000000006"/>
    <n v="74.83"/>
    <n v="2.5836999999999999"/>
    <n v="2.6227"/>
    <n v="2.7309999999999999"/>
    <n v="4.8537999999999997"/>
  </r>
  <r>
    <x v="3"/>
    <x v="10"/>
    <d v="2023-07-10T00:00:00"/>
    <n v="77.69"/>
    <n v="72.989999999999995"/>
    <n v="2.5531999999999999"/>
    <n v="2.5695999999999999"/>
    <n v="2.669"/>
    <n v="4.8978000000000002"/>
  </r>
  <r>
    <x v="3"/>
    <x v="10"/>
    <d v="2023-07-07T00:00:00"/>
    <n v="78.47"/>
    <n v="73.86"/>
    <n v="2.5590999999999999"/>
    <n v="2.5893000000000002"/>
    <n v="2.5819999999999999"/>
    <n v="4.8719999999999999"/>
  </r>
  <r>
    <x v="3"/>
    <x v="10"/>
    <d v="2023-07-06T00:00:00"/>
    <n v="76.52"/>
    <n v="71.8"/>
    <n v="2.4794"/>
    <n v="2.5438000000000001"/>
    <n v="2.609"/>
    <n v="4.9192999999999998"/>
  </r>
  <r>
    <x v="3"/>
    <x v="10"/>
    <d v="2023-07-05T00:00:00"/>
    <n v="76.650000000000006"/>
    <n v="71.790000000000006"/>
    <n v="2.4933000000000001"/>
    <n v="2.5183"/>
    <n v="2.657"/>
    <n v="4.8478000000000003"/>
  </r>
  <r>
    <x v="3"/>
    <x v="10"/>
    <d v="2023-07-04T00:00:00"/>
    <n v="76.25"/>
    <m/>
    <m/>
    <m/>
    <m/>
    <n v="4.8407999999999998"/>
  </r>
  <r>
    <x v="3"/>
    <x v="10"/>
    <d v="2023-07-03T00:00:00"/>
    <n v="74.650000000000006"/>
    <n v="69.790000000000006"/>
    <n v="2.3773"/>
    <n v="2.4624000000000001"/>
    <n v="2.7090000000000001"/>
    <n v="4.8076999999999996"/>
  </r>
  <r>
    <x v="3"/>
    <x v="11"/>
    <d v="2023-06-30T00:00:00"/>
    <n v="74.900000000000006"/>
    <n v="70.64"/>
    <n v="2.4481999999999999"/>
    <n v="2.6339999999999999"/>
    <n v="2.798"/>
    <n v="4.7859999999999996"/>
  </r>
  <r>
    <x v="3"/>
    <x v="11"/>
    <d v="2023-06-29T00:00:00"/>
    <n v="74.34"/>
    <n v="69.86"/>
    <n v="2.4156"/>
    <n v="2.6177000000000001"/>
    <n v="2.7010000000000001"/>
    <n v="4.8552999999999997"/>
  </r>
  <r>
    <x v="3"/>
    <x v="11"/>
    <d v="2023-06-28T00:00:00"/>
    <n v="74.03"/>
    <n v="69.56"/>
    <n v="2.4066999999999998"/>
    <n v="2.6034000000000002"/>
    <n v="2.6030000000000002"/>
    <n v="4.8506"/>
  </r>
  <r>
    <x v="3"/>
    <x v="11"/>
    <d v="2023-06-27T00:00:00"/>
    <n v="72.260000000000005"/>
    <n v="67.7"/>
    <n v="2.399"/>
    <n v="2.5167999999999999"/>
    <n v="2.7629999999999999"/>
    <n v="4.8102999999999998"/>
  </r>
  <r>
    <x v="3"/>
    <x v="11"/>
    <d v="2023-06-26T00:00:00"/>
    <n v="74.180000000000007"/>
    <n v="69.37"/>
    <n v="2.4388000000000001"/>
    <n v="2.5375000000000001"/>
    <n v="2.7909999999999999"/>
    <n v="4.7675000000000001"/>
  </r>
  <r>
    <x v="3"/>
    <x v="11"/>
    <d v="2023-06-23T00:00:00"/>
    <n v="73.849999999999994"/>
    <n v="69.16"/>
    <n v="2.4070999999999998"/>
    <n v="2.5171999999999999"/>
    <n v="2.7290000000000001"/>
    <n v="4.7864000000000004"/>
  </r>
  <r>
    <x v="3"/>
    <x v="11"/>
    <d v="2023-06-22T00:00:00"/>
    <n v="74.14"/>
    <n v="69.510000000000005"/>
    <n v="2.4655"/>
    <n v="2.5501"/>
    <n v="2.6080000000000001"/>
    <n v="4.7689000000000004"/>
  </r>
  <r>
    <x v="3"/>
    <x v="11"/>
    <d v="2023-06-21T00:00:00"/>
    <n v="77.12"/>
    <n v="72.53"/>
    <n v="2.5642"/>
    <n v="2.6240999999999999"/>
    <n v="2.597"/>
    <n v="4.7629999999999999"/>
  </r>
  <r>
    <x v="3"/>
    <x v="11"/>
    <d v="2023-06-20T00:00:00"/>
    <n v="75.900000000000006"/>
    <n v="70.5"/>
    <n v="2.4754"/>
    <n v="2.6092"/>
    <n v="2.492"/>
    <n v="4.7901999999999996"/>
  </r>
  <r>
    <x v="3"/>
    <x v="11"/>
    <d v="2023-06-19T00:00:00"/>
    <n v="76.09"/>
    <m/>
    <m/>
    <m/>
    <m/>
    <n v="4.7771999999999997"/>
  </r>
  <r>
    <x v="3"/>
    <x v="11"/>
    <d v="2023-06-16T00:00:00"/>
    <n v="76.61"/>
    <n v="71.78"/>
    <n v="2.5514000000000001"/>
    <n v="2.6804999999999999"/>
    <n v="2.6320000000000001"/>
    <n v="4.8198999999999996"/>
  </r>
  <r>
    <x v="3"/>
    <x v="11"/>
    <d v="2023-06-15T00:00:00"/>
    <n v="75.67"/>
    <n v="70.62"/>
    <n v="2.4796"/>
    <n v="2.6417000000000002"/>
    <n v="2.5329999999999999"/>
    <n v="4.8102"/>
  </r>
  <r>
    <x v="3"/>
    <x v="11"/>
    <d v="2023-06-14T00:00:00"/>
    <n v="73.2"/>
    <n v="68.27"/>
    <n v="2.3576999999999999"/>
    <n v="2.5546000000000002"/>
    <n v="2.3420000000000001"/>
    <n v="4.8146000000000004"/>
  </r>
  <r>
    <x v="3"/>
    <x v="11"/>
    <d v="2023-06-13T00:00:00"/>
    <n v="74.290000000000006"/>
    <n v="69.42"/>
    <n v="2.3955000000000002"/>
    <n v="2.5579000000000001"/>
    <n v="2.34"/>
    <n v="4.8621999999999996"/>
  </r>
  <r>
    <x v="3"/>
    <x v="11"/>
    <d v="2023-06-12T00:00:00"/>
    <n v="71.84"/>
    <n v="67.12"/>
    <n v="2.3090999999999999"/>
    <n v="2.4826000000000001"/>
    <n v="2.266"/>
    <n v="4.8613"/>
  </r>
  <r>
    <x v="3"/>
    <x v="11"/>
    <d v="2023-06-09T00:00:00"/>
    <n v="74.790000000000006"/>
    <n v="70.17"/>
    <n v="2.3610000000000002"/>
    <n v="2.5931999999999999"/>
    <n v="2.254"/>
    <n v="4.8791000000000002"/>
  </r>
  <r>
    <x v="3"/>
    <x v="11"/>
    <d v="2023-06-08T00:00:00"/>
    <n v="75.959999999999994"/>
    <n v="71.290000000000006"/>
    <n v="2.3898000000000001"/>
    <n v="2.6126999999999998"/>
    <n v="2.3519999999999999"/>
    <n v="4.9234999999999998"/>
  </r>
  <r>
    <x v="3"/>
    <x v="11"/>
    <d v="2023-06-07T00:00:00"/>
    <n v="76.95"/>
    <n v="72.53"/>
    <n v="2.4018000000000002"/>
    <n v="2.6412"/>
    <n v="2.3290000000000002"/>
    <n v="4.9234999999999998"/>
  </r>
  <r>
    <x v="3"/>
    <x v="11"/>
    <d v="2023-06-06T00:00:00"/>
    <n v="76.290000000000006"/>
    <n v="71.739999999999995"/>
    <n v="2.3677999999999999"/>
    <n v="2.5642999999999998"/>
    <n v="2.262"/>
    <n v="4.9124999999999996"/>
  </r>
  <r>
    <x v="3"/>
    <x v="11"/>
    <d v="2023-06-05T00:00:00"/>
    <n v="76.709999999999994"/>
    <n v="72.150000000000006"/>
    <n v="2.3774999999999999"/>
    <n v="2.5244"/>
    <n v="2.2450000000000001"/>
    <n v="4.9288999999999996"/>
  </r>
  <r>
    <x v="3"/>
    <x v="11"/>
    <d v="2023-06-02T00:00:00"/>
    <n v="76.13"/>
    <n v="71.739999999999995"/>
    <n v="2.3569"/>
    <n v="2.5007000000000001"/>
    <n v="2.1720000000000002"/>
    <n v="4.9570999999999996"/>
  </r>
  <r>
    <x v="3"/>
    <x v="11"/>
    <d v="2023-06-01T00:00:00"/>
    <n v="74.28"/>
    <n v="70.099999999999994"/>
    <n v="2.3147000000000002"/>
    <n v="2.4361999999999999"/>
    <n v="2.1579999999999999"/>
    <n v="5.0140000000000002"/>
  </r>
  <r>
    <x v="3"/>
    <x v="0"/>
    <d v="2023-05-31T00:00:00"/>
    <n v="72.66"/>
    <n v="68.09"/>
    <n v="2.2595999999999998"/>
    <n v="2.5598999999999998"/>
    <n v="2.266"/>
    <n v="5.0574000000000003"/>
  </r>
  <r>
    <x v="3"/>
    <x v="0"/>
    <d v="2023-05-30T00:00:00"/>
    <n v="73.540000000000006"/>
    <n v="69.459999999999994"/>
    <n v="2.2808000000000002"/>
    <n v="2.5958999999999999"/>
    <n v="2.327"/>
    <n v="5.0357000000000003"/>
  </r>
  <r>
    <x v="3"/>
    <x v="0"/>
    <d v="2023-05-29T00:00:00"/>
    <n v="77.069999999999993"/>
    <m/>
    <m/>
    <m/>
    <m/>
    <n v="5.0171000000000001"/>
  </r>
  <r>
    <x v="3"/>
    <x v="0"/>
    <d v="2023-05-26T00:00:00"/>
    <n v="76.95"/>
    <n v="72.67"/>
    <n v="2.3693"/>
    <n v="2.7033999999999998"/>
    <n v="2.181"/>
    <n v="4.9939"/>
  </r>
  <r>
    <x v="3"/>
    <x v="0"/>
    <d v="2023-05-25T00:00:00"/>
    <n v="76.260000000000005"/>
    <n v="71.83"/>
    <n v="2.3462000000000001"/>
    <n v="2.6735000000000002"/>
    <n v="2.3069999999999999"/>
    <n v="5.0355999999999996"/>
  </r>
  <r>
    <x v="3"/>
    <x v="0"/>
    <d v="2023-05-24T00:00:00"/>
    <n v="78.36"/>
    <n v="74.34"/>
    <n v="2.4137"/>
    <n v="2.7212000000000001"/>
    <n v="2.3980000000000001"/>
    <n v="4.9619"/>
  </r>
  <r>
    <x v="3"/>
    <x v="0"/>
    <d v="2023-05-23T00:00:00"/>
    <n v="76.84"/>
    <n v="72.91"/>
    <n v="2.3616999999999999"/>
    <n v="2.6621999999999999"/>
    <n v="2.3210000000000002"/>
    <n v="4.9714"/>
  </r>
  <r>
    <x v="3"/>
    <x v="0"/>
    <d v="2023-05-22T00:00:00"/>
    <n v="75.989999999999995"/>
    <n v="71.989999999999995"/>
    <n v="2.3664000000000001"/>
    <n v="2.6488999999999998"/>
    <n v="2.4"/>
    <n v="4.9667000000000003"/>
  </r>
  <r>
    <x v="3"/>
    <x v="0"/>
    <d v="2023-05-19T00:00:00"/>
    <n v="75.58"/>
    <n v="71.55"/>
    <n v="2.3622000000000001"/>
    <n v="2.5760999999999998"/>
    <n v="2.585"/>
    <n v="4.9981"/>
  </r>
  <r>
    <x v="3"/>
    <x v="0"/>
    <d v="2023-05-18T00:00:00"/>
    <n v="75.86"/>
    <n v="71.86"/>
    <n v="2.4026000000000001"/>
    <n v="2.5682999999999998"/>
    <n v="2.5920000000000001"/>
    <n v="4.9652000000000003"/>
  </r>
  <r>
    <x v="3"/>
    <x v="0"/>
    <d v="2023-05-17T00:00:00"/>
    <n v="76.959999999999994"/>
    <n v="72.83"/>
    <n v="2.4226000000000001"/>
    <n v="2.5691999999999999"/>
    <n v="2.3650000000000002"/>
    <n v="4.9396000000000004"/>
  </r>
  <r>
    <x v="3"/>
    <x v="0"/>
    <d v="2023-05-16T00:00:00"/>
    <n v="74.91"/>
    <n v="70.86"/>
    <n v="2.3639000000000001"/>
    <n v="2.4790999999999999"/>
    <n v="2.3759999999999999"/>
    <n v="4.9401999999999999"/>
  </r>
  <r>
    <x v="3"/>
    <x v="0"/>
    <d v="2023-05-15T00:00:00"/>
    <n v="75.23"/>
    <n v="71.11"/>
    <n v="2.3780000000000001"/>
    <n v="2.472"/>
    <n v="2.375"/>
    <n v="4.8903999999999996"/>
  </r>
  <r>
    <x v="3"/>
    <x v="0"/>
    <d v="2023-05-12T00:00:00"/>
    <n v="74.17"/>
    <n v="70.040000000000006"/>
    <n v="2.3054999999999999"/>
    <n v="2.4302000000000001"/>
    <n v="2.266"/>
    <n v="4.9195000000000002"/>
  </r>
  <r>
    <x v="3"/>
    <x v="0"/>
    <d v="2023-05-11T00:00:00"/>
    <n v="74.98"/>
    <n v="70.87"/>
    <n v="2.3494999999999999"/>
    <n v="2.4577"/>
    <n v="2.19"/>
    <n v="4.9295"/>
  </r>
  <r>
    <x v="3"/>
    <x v="0"/>
    <d v="2023-05-10T00:00:00"/>
    <n v="76.41"/>
    <n v="72.56"/>
    <n v="2.3934000000000002"/>
    <n v="2.4948999999999999"/>
    <n v="2.1909999999999998"/>
    <n v="4.9424000000000001"/>
  </r>
  <r>
    <x v="3"/>
    <x v="0"/>
    <d v="2023-05-09T00:00:00"/>
    <n v="77.44"/>
    <n v="73.709999999999994"/>
    <n v="2.3902000000000001"/>
    <n v="2.4799000000000002"/>
    <n v="2.2669999999999999"/>
    <n v="4.9862000000000002"/>
  </r>
  <r>
    <x v="3"/>
    <x v="0"/>
    <d v="2023-05-08T00:00:00"/>
    <n v="77.010000000000005"/>
    <n v="73.16"/>
    <n v="2.3776999999999999"/>
    <n v="2.4615999999999998"/>
    <n v="2.238"/>
    <n v="5.0096999999999996"/>
  </r>
  <r>
    <x v="3"/>
    <x v="0"/>
    <d v="2023-05-05T00:00:00"/>
    <n v="75.3"/>
    <n v="71.34"/>
    <n v="2.3147000000000002"/>
    <n v="2.379"/>
    <n v="2.137"/>
    <n v="4.9518000000000004"/>
  </r>
  <r>
    <x v="3"/>
    <x v="0"/>
    <d v="2023-05-04T00:00:00"/>
    <n v="72.5"/>
    <n v="68.56"/>
    <n v="2.2387000000000001"/>
    <n v="2.3258999999999999"/>
    <n v="2.101"/>
    <n v="4.9821999999999997"/>
  </r>
  <r>
    <x v="3"/>
    <x v="0"/>
    <d v="2023-05-03T00:00:00"/>
    <n v="72.33"/>
    <n v="68.599999999999994"/>
    <n v="2.2323"/>
    <n v="2.3220999999999998"/>
    <n v="2.17"/>
    <n v="4.9949000000000003"/>
  </r>
  <r>
    <x v="3"/>
    <x v="0"/>
    <d v="2023-05-02T00:00:00"/>
    <n v="75.319999999999993"/>
    <n v="71.66"/>
    <n v="2.2892000000000001"/>
    <n v="2.4357000000000002"/>
    <n v="2.214"/>
    <n v="5.0387000000000004"/>
  </r>
  <r>
    <x v="3"/>
    <x v="0"/>
    <d v="2023-05-01T00:00:00"/>
    <n v="79.31"/>
    <n v="75.66"/>
    <n v="2.3822999999999999"/>
    <n v="2.5503999999999998"/>
    <n v="2.3180000000000001"/>
    <n v="4.9889000000000001"/>
  </r>
  <r>
    <x v="3"/>
    <x v="1"/>
    <d v="2023-04-28T00:00:00"/>
    <n v="79.540000000000006"/>
    <n v="76.78"/>
    <n v="2.3786999999999998"/>
    <n v="2.5779999999999998"/>
    <n v="2.41"/>
    <n v="4.9865000000000004"/>
  </r>
  <r>
    <x v="3"/>
    <x v="1"/>
    <d v="2023-04-27T00:00:00"/>
    <n v="78.37"/>
    <n v="74.760000000000005"/>
    <n v="2.3542000000000001"/>
    <n v="2.5327999999999999"/>
    <n v="2.355"/>
    <n v="4.9771000000000001"/>
  </r>
  <r>
    <x v="3"/>
    <x v="1"/>
    <d v="2023-04-26T00:00:00"/>
    <n v="77.69"/>
    <n v="74.3"/>
    <n v="2.3730000000000002"/>
    <n v="2.5493999999999999"/>
    <n v="2.117"/>
    <n v="5.0434999999999999"/>
  </r>
  <r>
    <x v="3"/>
    <x v="1"/>
    <d v="2023-04-25T00:00:00"/>
    <n v="80.77"/>
    <n v="77.069999999999993"/>
    <n v="2.4510999999999998"/>
    <n v="2.5886"/>
    <n v="2.3069999999999999"/>
    <n v="5.0496999999999996"/>
  </r>
  <r>
    <x v="3"/>
    <x v="1"/>
    <d v="2023-04-24T00:00:00"/>
    <n v="82.73"/>
    <n v="78.760000000000005"/>
    <n v="2.5310000000000001"/>
    <n v="2.6318000000000001"/>
    <n v="2.2730000000000001"/>
    <n v="5.0336999999999996"/>
  </r>
  <r>
    <x v="3"/>
    <x v="1"/>
    <d v="2023-04-21T00:00:00"/>
    <n v="81.66"/>
    <n v="77.87"/>
    <n v="2.4885999999999999"/>
    <n v="2.6015999999999999"/>
    <n v="2.2330000000000001"/>
    <n v="5.0486000000000004"/>
  </r>
  <r>
    <x v="3"/>
    <x v="1"/>
    <d v="2023-04-20T00:00:00"/>
    <n v="81.099999999999994"/>
    <n v="77.290000000000006"/>
    <n v="2.4948999999999999"/>
    <n v="2.5863999999999998"/>
    <n v="2.2490000000000001"/>
    <n v="5.0486000000000004"/>
  </r>
  <r>
    <x v="3"/>
    <x v="1"/>
    <d v="2023-04-19T00:00:00"/>
    <n v="83.12"/>
    <n v="79.16"/>
    <n v="2.5577000000000001"/>
    <n v="2.6455000000000002"/>
    <n v="2.222"/>
    <n v="5.0753000000000004"/>
  </r>
  <r>
    <x v="3"/>
    <x v="1"/>
    <d v="2023-04-18T00:00:00"/>
    <n v="84.77"/>
    <n v="80.86"/>
    <n v="2.5998999999999999"/>
    <n v="2.7509000000000001"/>
    <n v="2.3660000000000001"/>
    <n v="4.984"/>
  </r>
  <r>
    <x v="3"/>
    <x v="1"/>
    <d v="2023-04-17T00:00:00"/>
    <n v="84.76"/>
    <n v="80.83"/>
    <n v="2.6147"/>
    <n v="2.774"/>
    <n v="2.2749999999999999"/>
    <n v="4.9413"/>
  </r>
  <r>
    <x v="3"/>
    <x v="1"/>
    <d v="2023-04-14T00:00:00"/>
    <n v="86.31"/>
    <n v="82.52"/>
    <n v="2.6392000000000002"/>
    <n v="2.8359000000000001"/>
    <n v="2.1139999999999999"/>
    <n v="4.9096000000000002"/>
  </r>
  <r>
    <x v="3"/>
    <x v="1"/>
    <d v="2023-04-13T00:00:00"/>
    <n v="86.09"/>
    <n v="82.16"/>
    <n v="2.6728000000000001"/>
    <n v="2.8317000000000001"/>
    <n v="2.0070000000000001"/>
    <n v="4.9272"/>
  </r>
  <r>
    <x v="3"/>
    <x v="1"/>
    <d v="2023-04-12T00:00:00"/>
    <n v="87.33"/>
    <n v="83.26"/>
    <n v="2.7031000000000001"/>
    <n v="2.8727"/>
    <n v="2.093"/>
    <n v="4.9180999999999999"/>
  </r>
  <r>
    <x v="3"/>
    <x v="1"/>
    <d v="2023-04-11T00:00:00"/>
    <n v="85.61"/>
    <n v="81.53"/>
    <n v="2.6682000000000001"/>
    <n v="2.8652000000000002"/>
    <n v="2.1859999999999999"/>
    <n v="5.0053999999999998"/>
  </r>
  <r>
    <x v="3"/>
    <x v="1"/>
    <d v="2023-04-10T00:00:00"/>
    <n v="84.18"/>
    <n v="79.739999999999995"/>
    <n v="2.6814"/>
    <n v="2.8079000000000001"/>
    <n v="2.1720000000000002"/>
    <n v="5.0655000000000001"/>
  </r>
  <r>
    <x v="3"/>
    <x v="1"/>
    <d v="2023-04-07T00:00:00"/>
    <m/>
    <m/>
    <m/>
    <m/>
    <m/>
    <n v="5.0548999999999999"/>
  </r>
  <r>
    <x v="3"/>
    <x v="1"/>
    <d v="2023-04-06T00:00:00"/>
    <n v="85.12"/>
    <n v="80.7"/>
    <n v="2.6604999999999999"/>
    <n v="2.8132999999999999"/>
    <n v="2.0110000000000001"/>
    <n v="5.0570000000000004"/>
  </r>
  <r>
    <x v="3"/>
    <x v="1"/>
    <d v="2023-04-05T00:00:00"/>
    <n v="84.99"/>
    <n v="80.61"/>
    <n v="2.7309999999999999"/>
    <n v="2.8201000000000001"/>
    <n v="2.1549999999999998"/>
    <n v="5.0339999999999998"/>
  </r>
  <r>
    <x v="3"/>
    <x v="1"/>
    <d v="2023-04-04T00:00:00"/>
    <n v="84.94"/>
    <n v="80.709999999999994"/>
    <n v="2.6667000000000001"/>
    <n v="2.7370999999999999"/>
    <n v="2.1059999999999999"/>
    <n v="5.0716000000000001"/>
  </r>
  <r>
    <x v="3"/>
    <x v="1"/>
    <d v="2023-04-03T00:00:00"/>
    <n v="84.93"/>
    <n v="80.42"/>
    <n v="2.6625999999999999"/>
    <n v="2.7574999999999998"/>
    <n v="2.097"/>
    <n v="5.0632000000000001"/>
  </r>
  <r>
    <x v="3"/>
    <x v="2"/>
    <d v="2023-03-31T00:00:00"/>
    <n v="79.77"/>
    <n v="75.67"/>
    <n v="2.6762999999999999"/>
    <n v="2.7004999999999999"/>
    <n v="2.2160000000000002"/>
    <n v="5.0631000000000004"/>
  </r>
  <r>
    <x v="3"/>
    <x v="2"/>
    <d v="2023-03-30T00:00:00"/>
    <n v="79.27"/>
    <n v="74.37"/>
    <n v="2.6236999999999999"/>
    <n v="2.6614"/>
    <n v="2.1040000000000001"/>
    <n v="5.0937999999999999"/>
  </r>
  <r>
    <x v="3"/>
    <x v="2"/>
    <d v="2023-03-29T00:00:00"/>
    <n v="78.28"/>
    <n v="72.97"/>
    <n v="2.6581000000000001"/>
    <n v="2.6680999999999999"/>
    <n v="1.9910000000000001"/>
    <n v="5.1356000000000002"/>
  </r>
  <r>
    <x v="3"/>
    <x v="2"/>
    <d v="2023-03-28T00:00:00"/>
    <n v="78.650000000000006"/>
    <n v="73.2"/>
    <n v="2.7696000000000001"/>
    <n v="2.7121"/>
    <n v="2.0299999999999998"/>
    <n v="5.1654999999999998"/>
  </r>
  <r>
    <x v="3"/>
    <x v="2"/>
    <d v="2023-03-27T00:00:00"/>
    <n v="78.12"/>
    <n v="72.81"/>
    <n v="2.7704"/>
    <n v="2.6842000000000001"/>
    <n v="2.0880000000000001"/>
    <n v="5.1982999999999997"/>
  </r>
  <r>
    <x v="3"/>
    <x v="2"/>
    <d v="2023-03-24T00:00:00"/>
    <n v="74.989999999999995"/>
    <n v="69.260000000000005"/>
    <n v="2.6951999999999998"/>
    <n v="2.5884999999999998"/>
    <n v="2.2160000000000002"/>
    <n v="5.2462999999999997"/>
  </r>
  <r>
    <x v="3"/>
    <x v="2"/>
    <d v="2023-03-23T00:00:00"/>
    <n v="75.91"/>
    <n v="69.959999999999994"/>
    <n v="2.6846999999999999"/>
    <n v="2.6059000000000001"/>
    <n v="2.1539999999999999"/>
    <n v="5.2972999999999999"/>
  </r>
  <r>
    <x v="3"/>
    <x v="2"/>
    <d v="2023-03-22T00:00:00"/>
    <n v="76.69"/>
    <n v="70.900000000000006"/>
    <n v="2.7403"/>
    <n v="2.5931999999999999"/>
    <n v="2.1709999999999998"/>
    <n v="5.2369000000000003"/>
  </r>
  <r>
    <x v="3"/>
    <x v="2"/>
    <d v="2023-03-21T00:00:00"/>
    <n v="75.319999999999993"/>
    <n v="69.33"/>
    <n v="2.6901999999999999"/>
    <n v="2.5388999999999999"/>
    <n v="2.3479999999999999"/>
    <n v="5.2430000000000003"/>
  </r>
  <r>
    <x v="3"/>
    <x v="2"/>
    <d v="2023-03-20T00:00:00"/>
    <n v="73.790000000000006"/>
    <n v="67.64"/>
    <n v="2.6871"/>
    <n v="2.536"/>
    <n v="2.2229999999999999"/>
    <n v="5.2367999999999997"/>
  </r>
  <r>
    <x v="3"/>
    <x v="2"/>
    <d v="2023-03-17T00:00:00"/>
    <n v="72.97"/>
    <n v="66.739999999999995"/>
    <n v="2.6787000000000001"/>
    <n v="2.5015000000000001"/>
    <n v="2.3380000000000001"/>
    <n v="5.2778"/>
  </r>
  <r>
    <x v="3"/>
    <x v="2"/>
    <d v="2023-03-16T00:00:00"/>
    <n v="74.7"/>
    <n v="68.349999999999994"/>
    <n v="2.6435"/>
    <n v="2.5034999999999998"/>
    <n v="2.5139999999999998"/>
    <n v="5.2285000000000004"/>
  </r>
  <r>
    <x v="3"/>
    <x v="2"/>
    <d v="2023-03-15T00:00:00"/>
    <n v="73.69"/>
    <n v="67.61"/>
    <n v="2.6049000000000002"/>
    <n v="2.4384000000000001"/>
    <n v="2.4390000000000001"/>
    <n v="5.2881999999999998"/>
  </r>
  <r>
    <x v="3"/>
    <x v="2"/>
    <d v="2023-03-14T00:00:00"/>
    <n v="77.45"/>
    <n v="71.33"/>
    <n v="2.7143999999999999"/>
    <n v="2.5529999999999999"/>
    <n v="2.573"/>
    <n v="5.2542999999999997"/>
  </r>
  <r>
    <x v="3"/>
    <x v="2"/>
    <d v="2023-03-13T00:00:00"/>
    <n v="80.77"/>
    <n v="74.8"/>
    <n v="2.7614999999999998"/>
    <n v="2.5914000000000001"/>
    <n v="2.6059999999999999"/>
    <n v="5.2458999999999998"/>
  </r>
  <r>
    <x v="3"/>
    <x v="2"/>
    <d v="2023-03-10T00:00:00"/>
    <n v="82.78"/>
    <n v="76.680000000000007"/>
    <n v="2.7728999999999999"/>
    <n v="2.6457999999999999"/>
    <n v="2.4300000000000002"/>
    <n v="5.2165999999999997"/>
  </r>
  <r>
    <x v="3"/>
    <x v="2"/>
    <d v="2023-03-09T00:00:00"/>
    <n v="81.59"/>
    <n v="75.72"/>
    <n v="2.6688999999999998"/>
    <n v="2.6051000000000002"/>
    <n v="2.5430000000000001"/>
    <n v="5.1645000000000003"/>
  </r>
  <r>
    <x v="3"/>
    <x v="2"/>
    <d v="2023-03-08T00:00:00"/>
    <n v="82.66"/>
    <n v="76.66"/>
    <n v="2.7418999999999998"/>
    <n v="2.6888999999999998"/>
    <n v="2.5510000000000002"/>
    <n v="5.1452999999999998"/>
  </r>
  <r>
    <x v="3"/>
    <x v="2"/>
    <d v="2023-03-07T00:00:00"/>
    <n v="83.29"/>
    <n v="77.58"/>
    <n v="2.7974999999999999"/>
    <n v="2.7006999999999999"/>
    <n v="2.6869999999999998"/>
    <n v="5.1909999999999998"/>
  </r>
  <r>
    <x v="3"/>
    <x v="2"/>
    <d v="2023-03-06T00:00:00"/>
    <n v="86.18"/>
    <n v="80.459999999999994"/>
    <n v="2.8866000000000001"/>
    <n v="2.7965"/>
    <n v="2.5720000000000001"/>
    <n v="5.1534000000000004"/>
  </r>
  <r>
    <x v="3"/>
    <x v="2"/>
    <d v="2023-03-03T00:00:00"/>
    <n v="85.83"/>
    <n v="79.680000000000007"/>
    <n v="2.9131"/>
    <n v="2.7504"/>
    <n v="3.0089999999999999"/>
    <n v="5.1955999999999998"/>
  </r>
  <r>
    <x v="3"/>
    <x v="2"/>
    <d v="2023-03-02T00:00:00"/>
    <n v="84.75"/>
    <n v="78.16"/>
    <n v="2.8662000000000001"/>
    <n v="2.7002999999999999"/>
    <n v="2.7650000000000001"/>
    <n v="5.2005999999999997"/>
  </r>
  <r>
    <x v="3"/>
    <x v="2"/>
    <d v="2023-03-01T00:00:00"/>
    <n v="84.31"/>
    <n v="77.69"/>
    <n v="2.8738000000000001"/>
    <n v="2.6747999999999998"/>
    <n v="2.8109999999999999"/>
    <n v="5.1794000000000002"/>
  </r>
  <r>
    <x v="3"/>
    <x v="3"/>
    <d v="2023-02-28T00:00:00"/>
    <n v="83.89"/>
    <n v="77.05"/>
    <n v="2.8209"/>
    <n v="2.4342999999999999"/>
    <n v="2.7469999999999999"/>
    <n v="5.2366999999999999"/>
  </r>
  <r>
    <x v="3"/>
    <x v="3"/>
    <d v="2023-02-27T00:00:00"/>
    <n v="82.45"/>
    <n v="75.680000000000007"/>
    <n v="2.8197999999999999"/>
    <n v="2.3683000000000001"/>
    <n v="2.7309999999999999"/>
    <n v="5.2008000000000001"/>
  </r>
  <r>
    <x v="3"/>
    <x v="3"/>
    <d v="2023-02-24T00:00:00"/>
    <n v="83.16"/>
    <n v="76.319999999999993"/>
    <n v="2.7961999999999998"/>
    <n v="2.3586999999999998"/>
    <n v="2.4510000000000001"/>
    <n v="5.21"/>
  </r>
  <r>
    <x v="3"/>
    <x v="3"/>
    <d v="2023-02-23T00:00:00"/>
    <n v="82.21"/>
    <n v="75.39"/>
    <n v="2.7081"/>
    <n v="2.3795000000000002"/>
    <n v="2.3140000000000001"/>
    <n v="5.1372999999999998"/>
  </r>
  <r>
    <x v="3"/>
    <x v="3"/>
    <d v="2023-02-22T00:00:00"/>
    <n v="80.599999999999994"/>
    <n v="73.95"/>
    <n v="2.7147999999999999"/>
    <n v="2.3376000000000001"/>
    <n v="2.1739999999999999"/>
    <n v="5.1521999999999997"/>
  </r>
  <r>
    <x v="3"/>
    <x v="3"/>
    <d v="2023-02-21T00:00:00"/>
    <n v="83.05"/>
    <n v="76.16"/>
    <n v="2.7919"/>
    <n v="2.4156"/>
    <n v="2.073"/>
    <n v="5.1675000000000004"/>
  </r>
  <r>
    <x v="3"/>
    <x v="3"/>
    <d v="2023-02-20T00:00:00"/>
    <n v="84.07"/>
    <m/>
    <m/>
    <m/>
    <m/>
    <n v="5.1673999999999998"/>
  </r>
  <r>
    <x v="3"/>
    <x v="3"/>
    <d v="2023-02-17T00:00:00"/>
    <n v="83"/>
    <n v="76.34"/>
    <n v="2.7121"/>
    <n v="2.4081999999999999"/>
    <n v="2.2749999999999999"/>
    <n v="5.1673999999999998"/>
  </r>
  <r>
    <x v="3"/>
    <x v="3"/>
    <d v="2023-02-16T00:00:00"/>
    <n v="85.14"/>
    <n v="78.489999999999995"/>
    <n v="2.8108"/>
    <n v="2.4355000000000002"/>
    <n v="2.3889999999999998"/>
    <n v="5.2178000000000004"/>
  </r>
  <r>
    <x v="3"/>
    <x v="3"/>
    <d v="2023-02-15T00:00:00"/>
    <n v="85.38"/>
    <n v="78.59"/>
    <n v="2.8443999999999998"/>
    <n v="2.4977999999999998"/>
    <n v="2.4710000000000001"/>
    <n v="5.2190000000000003"/>
  </r>
  <r>
    <x v="3"/>
    <x v="3"/>
    <d v="2023-02-14T00:00:00"/>
    <n v="85.58"/>
    <n v="79.06"/>
    <n v="2.9401000000000002"/>
    <n v="2.4885000000000002"/>
    <n v="2.5670000000000002"/>
    <n v="5.1923000000000004"/>
  </r>
  <r>
    <x v="3"/>
    <x v="3"/>
    <d v="2023-02-13T00:00:00"/>
    <n v="86.61"/>
    <n v="80.14"/>
    <n v="2.9056999999999999"/>
    <n v="2.5310999999999999"/>
    <n v="2.4049999999999998"/>
    <n v="5.1596000000000002"/>
  </r>
  <r>
    <x v="3"/>
    <x v="3"/>
    <d v="2023-02-10T00:00:00"/>
    <n v="86.39"/>
    <n v="79.72"/>
    <n v="2.8645999999999998"/>
    <n v="2.5036999999999998"/>
    <n v="2.5139999999999998"/>
    <n v="5.2150999999999996"/>
  </r>
  <r>
    <x v="3"/>
    <x v="3"/>
    <d v="2023-02-09T00:00:00"/>
    <n v="84.5"/>
    <n v="78.06"/>
    <n v="2.8153999999999999"/>
    <n v="2.4474999999999998"/>
    <n v="2.4300000000000002"/>
    <n v="5.2911000000000001"/>
  </r>
  <r>
    <x v="3"/>
    <x v="3"/>
    <d v="2023-02-08T00:00:00"/>
    <n v="85.09"/>
    <n v="78.47"/>
    <n v="2.8933"/>
    <n v="2.4628000000000001"/>
    <n v="2.3959999999999999"/>
    <n v="5.2007000000000003"/>
  </r>
  <r>
    <x v="3"/>
    <x v="3"/>
    <d v="2023-02-07T00:00:00"/>
    <n v="83.69"/>
    <n v="77.14"/>
    <n v="2.9043999999999999"/>
    <n v="2.4567999999999999"/>
    <n v="2.5840000000000001"/>
    <n v="5.2100999999999997"/>
  </r>
  <r>
    <x v="3"/>
    <x v="3"/>
    <d v="2023-02-06T00:00:00"/>
    <n v="80.989999999999995"/>
    <n v="74.11"/>
    <n v="2.7686999999999999"/>
    <n v="2.3734000000000002"/>
    <n v="2.4569999999999999"/>
    <n v="5.1463999999999999"/>
  </r>
  <r>
    <x v="3"/>
    <x v="3"/>
    <d v="2023-02-03T00:00:00"/>
    <n v="79.94"/>
    <n v="73.39"/>
    <n v="2.7753000000000001"/>
    <n v="2.3210000000000002"/>
    <n v="2.41"/>
    <n v="5.1521999999999997"/>
  </r>
  <r>
    <x v="3"/>
    <x v="3"/>
    <d v="2023-02-02T00:00:00"/>
    <n v="82.17"/>
    <n v="75.88"/>
    <n v="2.8967000000000001"/>
    <n v="2.4523000000000001"/>
    <n v="2.456"/>
    <n v="5.0503999999999998"/>
  </r>
  <r>
    <x v="3"/>
    <x v="3"/>
    <d v="2023-02-01T00:00:00"/>
    <n v="82.84"/>
    <n v="76.41"/>
    <n v="2.9510999999999998"/>
    <n v="2.4538000000000002"/>
    <n v="2.468"/>
    <n v="5.0547000000000004"/>
  </r>
  <r>
    <x v="3"/>
    <x v="4"/>
    <d v="2023-01-31T00:00:00"/>
    <n v="84.49"/>
    <n v="78.87"/>
    <n v="3.1823000000000001"/>
    <n v="2.5434999999999999"/>
    <n v="2.6840000000000002"/>
    <n v="5.0731000000000002"/>
  </r>
  <r>
    <x v="3"/>
    <x v="4"/>
    <d v="2023-01-30T00:00:00"/>
    <n v="84.9"/>
    <n v="77.900000000000006"/>
    <n v="3.1107999999999998"/>
    <n v="2.4988999999999999"/>
    <n v="2.677"/>
    <n v="5.1162000000000001"/>
  </r>
  <r>
    <x v="3"/>
    <x v="4"/>
    <d v="2023-01-27T00:00:00"/>
    <n v="86.66"/>
    <n v="79.680000000000007"/>
    <n v="3.2654999999999998"/>
    <n v="2.5886"/>
    <n v="3.109"/>
    <n v="5.1089000000000002"/>
  </r>
  <r>
    <x v="3"/>
    <x v="4"/>
    <d v="2023-01-26T00:00:00"/>
    <n v="87.47"/>
    <n v="81.010000000000005"/>
    <n v="3.3965000000000001"/>
    <n v="2.6120999999999999"/>
    <n v="2.944"/>
    <n v="5.0658000000000003"/>
  </r>
  <r>
    <x v="3"/>
    <x v="4"/>
    <d v="2023-01-25T00:00:00"/>
    <n v="86.12"/>
    <n v="80.150000000000006"/>
    <n v="3.3613"/>
    <n v="2.5933999999999999"/>
    <n v="3.0670000000000002"/>
    <n v="5.0734000000000004"/>
  </r>
  <r>
    <x v="3"/>
    <x v="4"/>
    <d v="2023-01-24T00:00:00"/>
    <n v="86.13"/>
    <n v="80.13"/>
    <n v="3.4272"/>
    <n v="2.6486999999999998"/>
    <n v="3.258"/>
    <n v="5.1391999999999998"/>
  </r>
  <r>
    <x v="3"/>
    <x v="4"/>
    <d v="2023-01-23T00:00:00"/>
    <n v="88.19"/>
    <n v="81.62"/>
    <n v="3.5508999999999999"/>
    <n v="2.6964999999999999"/>
    <n v="3.4470000000000001"/>
    <n v="5.2076000000000002"/>
  </r>
  <r>
    <x v="3"/>
    <x v="4"/>
    <d v="2023-01-20T00:00:00"/>
    <n v="87.63"/>
    <n v="81.31"/>
    <n v="3.4668000000000001"/>
    <n v="2.6454"/>
    <n v="3.1739999999999999"/>
    <n v="5.2073999999999998"/>
  </r>
  <r>
    <x v="3"/>
    <x v="4"/>
    <d v="2023-01-19T00:00:00"/>
    <n v="86.16"/>
    <n v="80.33"/>
    <n v="3.3759000000000001"/>
    <n v="2.5968"/>
    <n v="3.2749999999999999"/>
    <n v="5.1741000000000001"/>
  </r>
  <r>
    <x v="3"/>
    <x v="4"/>
    <d v="2023-01-18T00:00:00"/>
    <n v="84.98"/>
    <n v="79.48"/>
    <n v="3.2629999999999999"/>
    <n v="2.5234999999999999"/>
    <n v="3.3109999999999999"/>
    <n v="5.1863000000000001"/>
  </r>
  <r>
    <x v="3"/>
    <x v="4"/>
    <d v="2023-01-17T00:00:00"/>
    <n v="85.92"/>
    <n v="80.180000000000007"/>
    <n v="3.2509999999999999"/>
    <n v="2.5451000000000001"/>
    <n v="3.5859999999999999"/>
    <n v="5.1002999999999998"/>
  </r>
  <r>
    <x v="3"/>
    <x v="4"/>
    <d v="2023-01-16T00:00:00"/>
    <n v="84.46"/>
    <m/>
    <m/>
    <m/>
    <m/>
    <n v="5.1474000000000002"/>
  </r>
  <r>
    <x v="3"/>
    <x v="4"/>
    <d v="2023-01-13T00:00:00"/>
    <n v="85.28"/>
    <n v="79.86"/>
    <n v="3.2559"/>
    <n v="2.5327999999999999"/>
    <n v="3.419"/>
    <n v="5.0956000000000001"/>
  </r>
  <r>
    <x v="3"/>
    <x v="4"/>
    <d v="2023-01-12T00:00:00"/>
    <n v="84.03"/>
    <n v="78.39"/>
    <n v="3.2189999999999999"/>
    <n v="2.4752999999999998"/>
    <n v="3.6949999999999998"/>
    <n v="5.1082000000000001"/>
  </r>
  <r>
    <x v="3"/>
    <x v="4"/>
    <d v="2023-01-11T00:00:00"/>
    <n v="82.67"/>
    <n v="77.41"/>
    <n v="3.2179000000000002"/>
    <n v="2.4344999999999999"/>
    <n v="3.6709999999999998"/>
    <n v="5.16"/>
  </r>
  <r>
    <x v="3"/>
    <x v="4"/>
    <d v="2023-01-10T00:00:00"/>
    <n v="80.099999999999994"/>
    <n v="75.12"/>
    <n v="3.1356999999999999"/>
    <n v="2.3277000000000001"/>
    <n v="3.6389999999999998"/>
    <n v="5.1997"/>
  </r>
  <r>
    <x v="3"/>
    <x v="4"/>
    <d v="2023-01-09T00:00:00"/>
    <n v="79.650000000000006"/>
    <n v="74.63"/>
    <n v="3.036"/>
    <n v="2.2928999999999999"/>
    <n v="3.91"/>
    <n v="5.2545999999999999"/>
  </r>
  <r>
    <x v="3"/>
    <x v="4"/>
    <d v="2023-01-06T00:00:00"/>
    <n v="78.569999999999993"/>
    <n v="73.77"/>
    <n v="3.0045000000000002"/>
    <n v="2.2446000000000002"/>
    <n v="3.71"/>
    <n v="5.2253999999999996"/>
  </r>
  <r>
    <x v="3"/>
    <x v="4"/>
    <d v="2023-01-05T00:00:00"/>
    <n v="78.69"/>
    <n v="73.67"/>
    <n v="2.9723000000000002"/>
    <n v="2.2671000000000001"/>
    <n v="3.72"/>
    <n v="5.3509000000000002"/>
  </r>
  <r>
    <x v="3"/>
    <x v="4"/>
    <d v="2023-01-04T00:00:00"/>
    <n v="77.84"/>
    <n v="72.84"/>
    <n v="2.9719000000000002"/>
    <n v="2.2591999999999999"/>
    <n v="4.1719999999999997"/>
    <n v="5.4311999999999996"/>
  </r>
  <r>
    <x v="3"/>
    <x v="4"/>
    <d v="2023-01-03T00:00:00"/>
    <n v="82.1"/>
    <n v="76.930000000000007"/>
    <n v="3.0865"/>
    <n v="2.3612000000000002"/>
    <n v="3.988"/>
    <n v="5.4797000000000002"/>
  </r>
  <r>
    <x v="3"/>
    <x v="4"/>
    <d v="2023-01-02T00:00:00"/>
    <m/>
    <m/>
    <m/>
    <m/>
    <m/>
    <n v="5.3632999999999997"/>
  </r>
  <r>
    <x v="4"/>
    <x v="5"/>
    <d v="2022-12-30T00:00:00"/>
    <n v="85.91"/>
    <n v="80.260000000000005"/>
    <n v="3.3622000000000001"/>
    <n v="2.4594999999999998"/>
    <n v="4.4749999999999996"/>
    <n v="5.2859999999999996"/>
  </r>
  <r>
    <x v="4"/>
    <x v="5"/>
    <d v="2022-12-29T00:00:00"/>
    <n v="82.26"/>
    <n v="78.400000000000006"/>
    <n v="3.3130000000000002"/>
    <n v="2.3706999999999998"/>
    <n v="4.5590000000000002"/>
    <n v="5.2859999999999996"/>
  </r>
  <r>
    <x v="4"/>
    <x v="5"/>
    <d v="2022-12-28T00:00:00"/>
    <n v="83.26"/>
    <n v="78.959999999999994"/>
    <n v="3.3778000000000001"/>
    <n v="2.3628999999999998"/>
    <n v="4.7089999999999996"/>
    <n v="5.2675999999999998"/>
  </r>
  <r>
    <x v="4"/>
    <x v="5"/>
    <d v="2022-12-27T00:00:00"/>
    <n v="84.33"/>
    <n v="79.53"/>
    <n v="3.3536999999999999"/>
    <n v="2.3601999999999999"/>
    <n v="5.282"/>
    <n v="5.2927999999999997"/>
  </r>
  <r>
    <x v="4"/>
    <x v="5"/>
    <d v="2022-12-26T00:00:00"/>
    <m/>
    <m/>
    <m/>
    <m/>
    <m/>
    <n v="5.2186000000000003"/>
  </r>
  <r>
    <x v="4"/>
    <x v="5"/>
    <d v="2022-12-23T00:00:00"/>
    <n v="83.92"/>
    <n v="79.56"/>
    <n v="3.2660999999999998"/>
    <n v="2.3835999999999999"/>
    <n v="5.0789999999999997"/>
    <n v="5.1651999999999996"/>
  </r>
  <r>
    <x v="4"/>
    <x v="5"/>
    <d v="2022-12-22T00:00:00"/>
    <n v="80.98"/>
    <n v="77.489999999999995"/>
    <n v="3.1314000000000002"/>
    <n v="2.2488000000000001"/>
    <n v="4.9989999999999997"/>
    <n v="5.1665000000000001"/>
  </r>
  <r>
    <x v="4"/>
    <x v="5"/>
    <d v="2022-12-21T00:00:00"/>
    <n v="82.2"/>
    <n v="78.290000000000006"/>
    <n v="3.1395"/>
    <n v="2.2557999999999998"/>
    <n v="5.3319999999999999"/>
    <n v="5.2008999999999999"/>
  </r>
  <r>
    <x v="4"/>
    <x v="5"/>
    <d v="2022-12-20T00:00:00"/>
    <n v="79.989999999999995"/>
    <n v="76.09"/>
    <n v="3.0589"/>
    <n v="2.2227999999999999"/>
    <n v="5.3259999999999996"/>
    <n v="5.1996000000000002"/>
  </r>
  <r>
    <x v="4"/>
    <x v="5"/>
    <d v="2022-12-19T00:00:00"/>
    <n v="79.8"/>
    <n v="75.19"/>
    <n v="3.0535000000000001"/>
    <n v="2.1776"/>
    <n v="5.851"/>
    <n v="5.2930000000000001"/>
  </r>
  <r>
    <x v="4"/>
    <x v="5"/>
    <d v="2022-12-16T00:00:00"/>
    <n v="79.040000000000006"/>
    <n v="74.290000000000006"/>
    <n v="3.1198999999999999"/>
    <n v="2.1322999999999999"/>
    <n v="6.6"/>
    <n v="5.3140000000000001"/>
  </r>
  <r>
    <x v="4"/>
    <x v="5"/>
    <d v="2022-12-15T00:00:00"/>
    <n v="81.209999999999994"/>
    <n v="76.11"/>
    <n v="3.2833999999999999"/>
    <n v="2.1667999999999998"/>
    <n v="6.97"/>
    <n v="5.3129999999999997"/>
  </r>
  <r>
    <x v="4"/>
    <x v="5"/>
    <d v="2022-12-14T00:00:00"/>
    <n v="82.7"/>
    <n v="77.28"/>
    <n v="3.2768000000000002"/>
    <n v="2.2444000000000002"/>
    <n v="6.43"/>
    <n v="5.2786999999999997"/>
  </r>
  <r>
    <x v="4"/>
    <x v="5"/>
    <d v="2022-12-13T00:00:00"/>
    <n v="80.680000000000007"/>
    <n v="75.39"/>
    <n v="3.0922000000000001"/>
    <n v="2.1608999999999998"/>
    <n v="6.9349999999999996"/>
    <n v="5.2938000000000001"/>
  </r>
  <r>
    <x v="4"/>
    <x v="5"/>
    <d v="2022-12-12T00:00:00"/>
    <n v="77.989999999999995"/>
    <n v="73.17"/>
    <n v="2.9685000000000001"/>
    <n v="2.081"/>
    <n v="6.5869999999999997"/>
    <n v="5.3226000000000004"/>
  </r>
  <r>
    <x v="4"/>
    <x v="5"/>
    <d v="2022-12-09T00:00:00"/>
    <n v="76.099999999999994"/>
    <n v="71.02"/>
    <n v="2.7936999999999999"/>
    <n v="2.0560999999999998"/>
    <n v="6.2450000000000001"/>
    <n v="5.24"/>
  </r>
  <r>
    <x v="4"/>
    <x v="5"/>
    <d v="2022-12-08T00:00:00"/>
    <n v="76.150000000000006"/>
    <n v="71.459999999999994"/>
    <n v="2.8797999999999999"/>
    <n v="2.0491000000000001"/>
    <n v="5.9619999999999997"/>
    <n v="5.2252999999999998"/>
  </r>
  <r>
    <x v="4"/>
    <x v="5"/>
    <d v="2022-12-07T00:00:00"/>
    <n v="77.17"/>
    <n v="72.010000000000005"/>
    <n v="2.7805"/>
    <n v="2.0771999999999999"/>
    <n v="5.7229999999999999"/>
    <n v="5.2047999999999996"/>
  </r>
  <r>
    <x v="4"/>
    <x v="5"/>
    <d v="2022-12-06T00:00:00"/>
    <n v="79.349999999999994"/>
    <n v="74.25"/>
    <n v="2.9155000000000002"/>
    <n v="2.1490999999999998"/>
    <n v="5.4690000000000003"/>
    <n v="5.2351999999999999"/>
  </r>
  <r>
    <x v="4"/>
    <x v="5"/>
    <d v="2022-12-05T00:00:00"/>
    <n v="82.68"/>
    <n v="76.930000000000007"/>
    <n v="2.9998"/>
    <n v="2.2019000000000002"/>
    <n v="5.577"/>
    <n v="5.2808999999999999"/>
  </r>
  <r>
    <x v="4"/>
    <x v="5"/>
    <d v="2022-12-02T00:00:00"/>
    <n v="85.57"/>
    <n v="79.98"/>
    <n v="3.1684999999999999"/>
    <n v="2.2804000000000002"/>
    <n v="6.2809999999999997"/>
    <n v="5.2188999999999997"/>
  </r>
  <r>
    <x v="4"/>
    <x v="5"/>
    <d v="2022-12-01T00:00:00"/>
    <n v="86.88"/>
    <n v="81.22"/>
    <n v="3.2624"/>
    <n v="2.3420000000000001"/>
    <n v="6.7380000000000004"/>
    <n v="5.1848000000000001"/>
  </r>
  <r>
    <x v="4"/>
    <x v="6"/>
    <d v="2022-11-30T00:00:00"/>
    <n v="85.43"/>
    <n v="80.55"/>
    <n v="3.3628999999999998"/>
    <n v="2.4184999999999999"/>
    <n v="6.93"/>
    <n v="5.1851000000000003"/>
  </r>
  <r>
    <x v="4"/>
    <x v="6"/>
    <d v="2022-11-29T00:00:00"/>
    <n v="83.03"/>
    <n v="78.2"/>
    <n v="3.2959000000000001"/>
    <n v="2.3321000000000001"/>
    <n v="7.2350000000000003"/>
    <n v="5.2694999999999999"/>
  </r>
  <r>
    <x v="4"/>
    <x v="6"/>
    <d v="2022-11-28T00:00:00"/>
    <n v="83.19"/>
    <n v="77.239999999999995"/>
    <n v="3.2153999999999998"/>
    <n v="2.3306"/>
    <n v="6.7119999999999997"/>
    <n v="5.3654000000000002"/>
  </r>
  <r>
    <x v="4"/>
    <x v="6"/>
    <d v="2022-11-25T00:00:00"/>
    <n v="83.63"/>
    <n v="76.28"/>
    <n v="3.2391000000000001"/>
    <n v="2.3281999999999998"/>
    <n v="7.024"/>
    <n v="5.4097999999999997"/>
  </r>
  <r>
    <x v="4"/>
    <x v="6"/>
    <d v="2022-11-24T00:00:00"/>
    <n v="85.34"/>
    <m/>
    <m/>
    <m/>
    <m/>
    <n v="5.3208000000000002"/>
  </r>
  <r>
    <x v="4"/>
    <x v="6"/>
    <d v="2022-11-23T00:00:00"/>
    <n v="85.41"/>
    <n v="77.94"/>
    <n v="3.3593000000000002"/>
    <n v="2.4744000000000002"/>
    <n v="7.3079999999999998"/>
    <n v="5.3590999999999998"/>
  </r>
  <r>
    <x v="4"/>
    <x v="6"/>
    <d v="2022-11-22T00:00:00"/>
    <n v="88.36"/>
    <n v="80.95"/>
    <n v="3.4712999999999998"/>
    <n v="2.5405000000000002"/>
    <n v="6.7789999999999999"/>
    <n v="5.3586"/>
  </r>
  <r>
    <x v="4"/>
    <x v="6"/>
    <d v="2022-11-21T00:00:00"/>
    <n v="87.45"/>
    <n v="79.73"/>
    <n v="3.4973000000000001"/>
    <n v="2.4371"/>
    <n v="6.7759999999999998"/>
    <n v="5.32"/>
  </r>
  <r>
    <x v="4"/>
    <x v="6"/>
    <d v="2022-11-18T00:00:00"/>
    <n v="87.62"/>
    <n v="80.08"/>
    <n v="3.5181"/>
    <n v="2.4207999999999998"/>
    <n v="6.3029999999999999"/>
    <n v="5.3826999999999998"/>
  </r>
  <r>
    <x v="4"/>
    <x v="6"/>
    <d v="2022-11-17T00:00:00"/>
    <n v="89.78"/>
    <n v="81.64"/>
    <n v="3.5247999999999999"/>
    <n v="2.4546999999999999"/>
    <n v="6.3689999999999998"/>
    <n v="5.4230999999999998"/>
  </r>
  <r>
    <x v="4"/>
    <x v="6"/>
    <d v="2022-11-16T00:00:00"/>
    <n v="92.86"/>
    <n v="85.59"/>
    <n v="3.6135999999999999"/>
    <n v="2.508"/>
    <n v="6.2"/>
    <n v="5.3997999999999999"/>
  </r>
  <r>
    <x v="4"/>
    <x v="6"/>
    <d v="2022-11-15T00:00:00"/>
    <n v="93.86"/>
    <n v="86.92"/>
    <n v="3.6413000000000002"/>
    <n v="2.5160999999999998"/>
    <n v="6.0339999999999998"/>
    <n v="5.3324999999999996"/>
  </r>
  <r>
    <x v="4"/>
    <x v="6"/>
    <d v="2022-11-14T00:00:00"/>
    <n v="93.14"/>
    <n v="85.87"/>
    <n v="3.544"/>
    <n v="2.5285000000000002"/>
    <n v="5.9329999999999998"/>
    <n v="5.3320999999999996"/>
  </r>
  <r>
    <x v="4"/>
    <x v="6"/>
    <d v="2022-11-11T00:00:00"/>
    <n v="95.99"/>
    <n v="88.96"/>
    <n v="3.5552999999999999"/>
    <n v="2.6095999999999999"/>
    <n v="5.8789999999999996"/>
    <n v="5.3250000000000002"/>
  </r>
  <r>
    <x v="4"/>
    <x v="6"/>
    <d v="2022-11-10T00:00:00"/>
    <n v="93.67"/>
    <n v="86.47"/>
    <n v="3.5693999999999999"/>
    <n v="2.5663"/>
    <n v="6.2389999999999999"/>
    <n v="5.3449"/>
  </r>
  <r>
    <x v="4"/>
    <x v="6"/>
    <d v="2022-11-09T00:00:00"/>
    <n v="92.65"/>
    <n v="85.83"/>
    <n v="3.6562999999999999"/>
    <n v="2.5446"/>
    <n v="5.8650000000000002"/>
    <n v="5.1863999999999999"/>
  </r>
  <r>
    <x v="4"/>
    <x v="6"/>
    <d v="2022-11-08T00:00:00"/>
    <n v="95.36"/>
    <n v="88.91"/>
    <n v="3.7707000000000002"/>
    <n v="2.6366999999999998"/>
    <n v="6.1379999999999999"/>
    <n v="5.1440000000000001"/>
  </r>
  <r>
    <x v="4"/>
    <x v="6"/>
    <d v="2022-11-07T00:00:00"/>
    <n v="97.92"/>
    <n v="91.79"/>
    <n v="3.7810999999999999"/>
    <n v="2.6530999999999998"/>
    <n v="6.944"/>
    <n v="5.1566999999999998"/>
  </r>
  <r>
    <x v="4"/>
    <x v="6"/>
    <d v="2022-11-04T00:00:00"/>
    <n v="98.57"/>
    <n v="92.61"/>
    <n v="3.9148000000000001"/>
    <n v="2.7347999999999999"/>
    <n v="6.4"/>
    <n v="5.0556999999999999"/>
  </r>
  <r>
    <x v="4"/>
    <x v="6"/>
    <d v="2022-11-03T00:00:00"/>
    <n v="94.67"/>
    <n v="88.17"/>
    <n v="3.8653"/>
    <n v="2.6939000000000002"/>
    <n v="5.9749999999999996"/>
    <n v="5.1136999999999997"/>
  </r>
  <r>
    <x v="4"/>
    <x v="6"/>
    <d v="2022-11-02T00:00:00"/>
    <n v="96.16"/>
    <n v="90"/>
    <n v="3.6774"/>
    <n v="2.6972"/>
    <n v="6.2679999999999998"/>
    <n v="5.1432000000000002"/>
  </r>
  <r>
    <x v="4"/>
    <x v="6"/>
    <d v="2022-11-01T00:00:00"/>
    <n v="94.65"/>
    <n v="88.37"/>
    <n v="3.6211000000000002"/>
    <n v="2.5945"/>
    <n v="5.7140000000000004"/>
    <n v="5.1475"/>
  </r>
  <r>
    <x v="4"/>
    <x v="7"/>
    <d v="2022-10-31T00:00:00"/>
    <n v="94.83"/>
    <n v="86.53"/>
    <n v="4.1909000000000001"/>
    <n v="2.8107000000000002"/>
    <n v="6.3550000000000004"/>
    <n v="5.1791"/>
  </r>
  <r>
    <x v="4"/>
    <x v="7"/>
    <d v="2022-10-28T00:00:00"/>
    <n v="95.77"/>
    <n v="87.9"/>
    <n v="4.5498000000000003"/>
    <n v="2.9066000000000001"/>
    <n v="5.6840000000000002"/>
    <n v="5.2949000000000002"/>
  </r>
  <r>
    <x v="4"/>
    <x v="7"/>
    <d v="2022-10-27T00:00:00"/>
    <n v="96.96"/>
    <n v="89.08"/>
    <n v="4.3338999999999999"/>
    <n v="3.0116000000000001"/>
    <n v="5.1859999999999999"/>
    <n v="5.3449"/>
  </r>
  <r>
    <x v="4"/>
    <x v="7"/>
    <d v="2022-10-26T00:00:00"/>
    <n v="95.69"/>
    <n v="87.91"/>
    <n v="4.1200999999999999"/>
    <n v="2.8994"/>
    <n v="5.6059999999999999"/>
    <n v="5.3803999999999998"/>
  </r>
  <r>
    <x v="4"/>
    <x v="7"/>
    <d v="2022-10-25T00:00:00"/>
    <n v="93.52"/>
    <n v="85.32"/>
    <n v="3.9672000000000001"/>
    <n v="2.9159999999999999"/>
    <n v="5.6130000000000004"/>
    <n v="5.3167"/>
  </r>
  <r>
    <x v="4"/>
    <x v="7"/>
    <d v="2022-10-24T00:00:00"/>
    <n v="93.26"/>
    <n v="84.58"/>
    <n v="3.9201000000000001"/>
    <n v="2.7302"/>
    <n v="5.1989999999999998"/>
    <n v="5.3032000000000004"/>
  </r>
  <r>
    <x v="4"/>
    <x v="7"/>
    <d v="2022-10-21T00:00:00"/>
    <n v="93.5"/>
    <n v="85.05"/>
    <n v="3.8323"/>
    <n v="2.6619999999999999"/>
    <n v="4.9589999999999996"/>
    <n v="5.1604999999999999"/>
  </r>
  <r>
    <x v="4"/>
    <x v="7"/>
    <d v="2022-10-20T00:00:00"/>
    <n v="92.38"/>
    <n v="85.98"/>
    <n v="3.7568000000000001"/>
    <n v="2.6478000000000002"/>
    <n v="5.3579999999999997"/>
    <n v="5.2146999999999997"/>
  </r>
  <r>
    <x v="4"/>
    <x v="7"/>
    <d v="2022-10-19T00:00:00"/>
    <n v="92.41"/>
    <n v="85.55"/>
    <n v="3.9043000000000001"/>
    <n v="2.6522000000000001"/>
    <n v="5.4619999999999997"/>
    <n v="5.27"/>
  </r>
  <r>
    <x v="4"/>
    <x v="7"/>
    <d v="2022-10-18T00:00:00"/>
    <n v="90.03"/>
    <n v="82.82"/>
    <n v="3.9935"/>
    <n v="2.5506000000000002"/>
    <n v="5.7450000000000001"/>
    <n v="5.2404999999999999"/>
  </r>
  <r>
    <x v="4"/>
    <x v="7"/>
    <d v="2022-10-17T00:00:00"/>
    <n v="91.62"/>
    <n v="85.46"/>
    <n v="4.0852000000000004"/>
    <n v="2.5931000000000002"/>
    <n v="5.9989999999999997"/>
    <n v="5.2808000000000002"/>
  </r>
  <r>
    <x v="4"/>
    <x v="7"/>
    <d v="2022-10-14T00:00:00"/>
    <n v="91.63"/>
    <n v="85.61"/>
    <n v="3.9802"/>
    <n v="2.6309"/>
    <n v="6.4530000000000003"/>
    <n v="5.3251999999999997"/>
  </r>
  <r>
    <x v="4"/>
    <x v="7"/>
    <d v="2022-10-13T00:00:00"/>
    <n v="94.57"/>
    <n v="89.11"/>
    <n v="4.0948000000000002"/>
    <n v="2.7033999999999998"/>
    <n v="6.7409999999999997"/>
    <n v="5.2625999999999999"/>
  </r>
  <r>
    <x v="4"/>
    <x v="7"/>
    <d v="2022-10-12T00:00:00"/>
    <n v="92.45"/>
    <n v="87.27"/>
    <n v="3.9327999999999999"/>
    <n v="2.6303000000000001"/>
    <n v="6.4349999999999996"/>
    <n v="5.2930000000000001"/>
  </r>
  <r>
    <x v="4"/>
    <x v="7"/>
    <d v="2022-10-11T00:00:00"/>
    <n v="94.29"/>
    <n v="89.35"/>
    <n v="3.9308000000000001"/>
    <n v="2.6273"/>
    <n v="6.5960000000000001"/>
    <n v="5.3005000000000004"/>
  </r>
  <r>
    <x v="4"/>
    <x v="7"/>
    <d v="2022-10-10T00:00:00"/>
    <n v="96.19"/>
    <n v="91.13"/>
    <n v="3.9146999999999998"/>
    <n v="2.6227999999999998"/>
    <n v="6.4349999999999996"/>
    <n v="5.1901000000000002"/>
  </r>
  <r>
    <x v="4"/>
    <x v="7"/>
    <d v="2022-10-07T00:00:00"/>
    <n v="97.92"/>
    <n v="92.64"/>
    <n v="4.0186999999999999"/>
    <n v="2.7345999999999999"/>
    <n v="6.7480000000000002"/>
    <n v="5.1996000000000002"/>
  </r>
  <r>
    <x v="4"/>
    <x v="7"/>
    <d v="2022-10-06T00:00:00"/>
    <n v="94.42"/>
    <n v="88.45"/>
    <n v="3.8649"/>
    <n v="2.6814"/>
    <n v="6.9720000000000004"/>
    <n v="5.2217000000000002"/>
  </r>
  <r>
    <x v="4"/>
    <x v="7"/>
    <d v="2022-10-05T00:00:00"/>
    <n v="93.37"/>
    <n v="87.76"/>
    <n v="3.6869000000000001"/>
    <n v="2.6684999999999999"/>
    <n v="6.93"/>
    <n v="5.194"/>
  </r>
  <r>
    <x v="4"/>
    <x v="7"/>
    <d v="2022-10-04T00:00:00"/>
    <n v="91.8"/>
    <n v="86.52"/>
    <n v="3.5358000000000001"/>
    <n v="2.6829999999999998"/>
    <n v="6.8369999999999997"/>
    <n v="5.1769999999999996"/>
  </r>
  <r>
    <x v="4"/>
    <x v="7"/>
    <d v="2022-10-03T00:00:00"/>
    <n v="88.86"/>
    <n v="83.63"/>
    <n v="3.3691"/>
    <n v="2.5129000000000001"/>
    <n v="6.47"/>
    <n v="5.1672000000000002"/>
  </r>
  <r>
    <x v="4"/>
    <x v="8"/>
    <d v="2022-09-30T00:00:00"/>
    <n v="87.96"/>
    <n v="79.489999999999995"/>
    <n v="3.3690000000000002"/>
    <n v="2.4725999999999999"/>
    <n v="6.766"/>
    <n v="5.4154"/>
  </r>
  <r>
    <x v="4"/>
    <x v="8"/>
    <d v="2022-09-29T00:00:00"/>
    <n v="88.49"/>
    <n v="81.23"/>
    <n v="3.4146000000000001"/>
    <n v="2.5076000000000001"/>
    <n v="6.8739999999999997"/>
    <n v="5.3963999999999999"/>
  </r>
  <r>
    <x v="4"/>
    <x v="8"/>
    <d v="2022-09-28T00:00:00"/>
    <n v="89.32"/>
    <n v="82.15"/>
    <n v="3.4493999999999998"/>
    <n v="2.5779000000000001"/>
    <n v="6.8680000000000003"/>
    <n v="5.3745000000000003"/>
  </r>
  <r>
    <x v="4"/>
    <x v="8"/>
    <d v="2022-09-27T00:00:00"/>
    <n v="86.27"/>
    <n v="78.5"/>
    <n v="3.2599"/>
    <n v="2.4931000000000001"/>
    <n v="6.6509999999999998"/>
    <n v="5.3823999999999996"/>
  </r>
  <r>
    <x v="4"/>
    <x v="8"/>
    <d v="2022-09-26T00:00:00"/>
    <n v="84.06"/>
    <n v="76.709999999999994"/>
    <n v="3.1291000000000002"/>
    <n v="2.3841999999999999"/>
    <n v="6.9029999999999996"/>
    <n v="5.3898000000000001"/>
  </r>
  <r>
    <x v="4"/>
    <x v="8"/>
    <d v="2022-09-23T00:00:00"/>
    <n v="86.15"/>
    <n v="78.739999999999995"/>
    <n v="3.2370999999999999"/>
    <n v="2.383"/>
    <n v="6.8280000000000003"/>
    <n v="5.2595000000000001"/>
  </r>
  <r>
    <x v="4"/>
    <x v="8"/>
    <d v="2022-09-22T00:00:00"/>
    <n v="90.46"/>
    <n v="83.49"/>
    <n v="3.4115000000000002"/>
    <n v="2.5156999999999998"/>
    <n v="7.0890000000000004"/>
    <n v="5.1166"/>
  </r>
  <r>
    <x v="4"/>
    <x v="8"/>
    <d v="2022-09-21T00:00:00"/>
    <n v="89.83"/>
    <n v="82.94"/>
    <n v="3.3338000000000001"/>
    <n v="2.4864999999999999"/>
    <n v="7.7789999999999999"/>
    <n v="5.1715999999999998"/>
  </r>
  <r>
    <x v="4"/>
    <x v="8"/>
    <d v="2022-09-20T00:00:00"/>
    <n v="90.62"/>
    <n v="84.45"/>
    <n v="3.3721999999999999"/>
    <n v="2.4478"/>
    <n v="7.7169999999999996"/>
    <n v="5.1417000000000002"/>
  </r>
  <r>
    <x v="4"/>
    <x v="8"/>
    <d v="2022-09-19T00:00:00"/>
    <n v="92"/>
    <n v="85.73"/>
    <n v="3.3108"/>
    <n v="2.4641000000000002"/>
    <n v="7.7519999999999998"/>
    <n v="5.1669999999999998"/>
  </r>
  <r>
    <x v="4"/>
    <x v="8"/>
    <d v="2022-09-16T00:00:00"/>
    <n v="91.35"/>
    <n v="85.11"/>
    <n v="3.1724999999999999"/>
    <n v="2.4157000000000002"/>
    <n v="7.7640000000000002"/>
    <n v="5.2530999999999999"/>
  </r>
  <r>
    <x v="4"/>
    <x v="8"/>
    <d v="2022-09-15T00:00:00"/>
    <n v="90.84"/>
    <n v="85.1"/>
    <n v="3.2052"/>
    <n v="2.4287000000000001"/>
    <n v="8.3239999999999998"/>
    <n v="5.2469999999999999"/>
  </r>
  <r>
    <x v="4"/>
    <x v="8"/>
    <d v="2022-09-14T00:00:00"/>
    <n v="94.1"/>
    <n v="88.48"/>
    <n v="3.3788999999999998"/>
    <n v="2.5245000000000002"/>
    <n v="9.1140000000000008"/>
    <n v="5.1631"/>
  </r>
  <r>
    <x v="4"/>
    <x v="8"/>
    <d v="2022-09-13T00:00:00"/>
    <n v="93.17"/>
    <n v="87.31"/>
    <n v="3.5413000000000001"/>
    <n v="2.4803999999999999"/>
    <n v="8.2840000000000007"/>
    <n v="5.1910999999999996"/>
  </r>
  <r>
    <x v="4"/>
    <x v="8"/>
    <d v="2022-09-12T00:00:00"/>
    <n v="94"/>
    <n v="87.78"/>
    <n v="3.6031"/>
    <n v="2.4447999999999999"/>
    <n v="8.2490000000000006"/>
    <n v="5.093"/>
  </r>
  <r>
    <x v="4"/>
    <x v="8"/>
    <d v="2022-09-09T00:00:00"/>
    <n v="92.84"/>
    <n v="86.79"/>
    <n v="3.5787"/>
    <n v="2.4331"/>
    <n v="7.9960000000000004"/>
    <n v="5.1462000000000003"/>
  </r>
  <r>
    <x v="4"/>
    <x v="8"/>
    <d v="2022-09-08T00:00:00"/>
    <n v="89.15"/>
    <n v="83.54"/>
    <n v="3.5400999999999998"/>
    <n v="2.3460999999999999"/>
    <n v="7.915"/>
    <n v="5.2141000000000002"/>
  </r>
  <r>
    <x v="4"/>
    <x v="8"/>
    <d v="2022-09-07T00:00:00"/>
    <n v="88"/>
    <n v="81.94"/>
    <n v="3.5859999999999999"/>
    <n v="2.3077000000000001"/>
    <n v="7.8419999999999996"/>
    <n v="5.2480000000000002"/>
  </r>
  <r>
    <x v="4"/>
    <x v="8"/>
    <d v="2022-09-06T00:00:00"/>
    <n v="92.83"/>
    <n v="86.88"/>
    <n v="3.5737999999999999"/>
    <n v="2.4159000000000002"/>
    <n v="8.1449999999999996"/>
    <n v="5.2527999999999997"/>
  </r>
  <r>
    <x v="4"/>
    <x v="8"/>
    <d v="2022-09-05T00:00:00"/>
    <n v="95.74"/>
    <m/>
    <m/>
    <m/>
    <m/>
    <n v="5.1516000000000002"/>
  </r>
  <r>
    <x v="4"/>
    <x v="8"/>
    <d v="2022-09-02T00:00:00"/>
    <n v="93.02"/>
    <n v="86.87"/>
    <n v="3.5779999999999998"/>
    <n v="2.4636"/>
    <n v="8.7859999999999996"/>
    <n v="5.1680999999999999"/>
  </r>
  <r>
    <x v="4"/>
    <x v="8"/>
    <d v="2022-09-01T00:00:00"/>
    <n v="92.36"/>
    <n v="86.61"/>
    <n v="3.5611999999999999"/>
    <n v="2.3853"/>
    <n v="9.2620000000000005"/>
    <n v="5.2416"/>
  </r>
  <r>
    <x v="4"/>
    <x v="9"/>
    <d v="2022-08-31T00:00:00"/>
    <n v="96.49"/>
    <n v="89.55"/>
    <n v="3.7153999999999998"/>
    <n v="2.6059000000000001"/>
    <n v="9.1270000000000007"/>
    <n v="5.1830999999999996"/>
  </r>
  <r>
    <x v="4"/>
    <x v="9"/>
    <d v="2022-08-30T00:00:00"/>
    <n v="99.31"/>
    <n v="91.64"/>
    <n v="3.8170999999999999"/>
    <n v="2.6943999999999999"/>
    <n v="9.0419999999999998"/>
    <n v="5.1223000000000001"/>
  </r>
  <r>
    <x v="4"/>
    <x v="9"/>
    <d v="2022-08-29T00:00:00"/>
    <n v="105.09"/>
    <n v="97.01"/>
    <n v="3.9098999999999999"/>
    <n v="2.8776000000000002"/>
    <n v="9.3529999999999998"/>
    <n v="5.0282"/>
  </r>
  <r>
    <x v="4"/>
    <x v="9"/>
    <d v="2022-08-26T00:00:00"/>
    <n v="100.99"/>
    <n v="93.06"/>
    <n v="4.0076000000000001"/>
    <n v="2.8513000000000002"/>
    <n v="9.2959999999999994"/>
    <n v="5.0601000000000003"/>
  </r>
  <r>
    <x v="4"/>
    <x v="9"/>
    <d v="2022-08-25T00:00:00"/>
    <n v="99.34"/>
    <n v="92.52"/>
    <n v="3.9491000000000001"/>
    <n v="2.8121"/>
    <n v="9.375"/>
    <n v="5.1098999999999997"/>
  </r>
  <r>
    <x v="4"/>
    <x v="9"/>
    <d v="2022-08-24T00:00:00"/>
    <n v="101.22"/>
    <n v="94.89"/>
    <n v="4.0132000000000003"/>
    <n v="2.8007"/>
    <n v="9.33"/>
    <n v="5.1113999999999997"/>
  </r>
  <r>
    <x v="4"/>
    <x v="9"/>
    <d v="2022-08-23T00:00:00"/>
    <n v="100.22"/>
    <n v="93.74"/>
    <n v="3.8418999999999999"/>
    <n v="2.9329999999999998"/>
    <n v="9.1929999999999996"/>
    <n v="5.1036999999999999"/>
  </r>
  <r>
    <x v="4"/>
    <x v="9"/>
    <d v="2022-08-22T00:00:00"/>
    <n v="96.48"/>
    <n v="90.23"/>
    <n v="3.7761999999999998"/>
    <n v="2.8912"/>
    <n v="9.68"/>
    <n v="5.1574"/>
  </r>
  <r>
    <x v="4"/>
    <x v="9"/>
    <d v="2022-08-19T00:00:00"/>
    <n v="96.72"/>
    <n v="90.77"/>
    <n v="3.7004999999999999"/>
    <n v="3.0175000000000001"/>
    <n v="9.3360000000000003"/>
    <n v="5.1696999999999997"/>
  </r>
  <r>
    <x v="4"/>
    <x v="9"/>
    <d v="2022-08-18T00:00:00"/>
    <n v="96.59"/>
    <n v="90.5"/>
    <n v="3.6497000000000002"/>
    <n v="3.0261"/>
    <n v="9.1880000000000006"/>
    <n v="5.1673999999999998"/>
  </r>
  <r>
    <x v="4"/>
    <x v="9"/>
    <d v="2022-08-17T00:00:00"/>
    <n v="93.65"/>
    <n v="88.11"/>
    <n v="3.6173999999999999"/>
    <n v="2.9344999999999999"/>
    <n v="9.2439999999999998"/>
    <n v="5.1642000000000001"/>
  </r>
  <r>
    <x v="4"/>
    <x v="9"/>
    <d v="2022-08-16T00:00:00"/>
    <n v="92.34"/>
    <n v="86.53"/>
    <n v="3.4802"/>
    <n v="2.9007000000000001"/>
    <n v="9.3290000000000006"/>
    <n v="5.1459000000000001"/>
  </r>
  <r>
    <x v="4"/>
    <x v="9"/>
    <d v="2022-08-15T00:00:00"/>
    <n v="95.1"/>
    <n v="89.41"/>
    <n v="3.4403000000000001"/>
    <n v="2.9517000000000002"/>
    <n v="8.7279999999999998"/>
    <n v="5.0960999999999999"/>
  </r>
  <r>
    <x v="4"/>
    <x v="9"/>
    <d v="2022-08-12T00:00:00"/>
    <n v="98.15"/>
    <n v="92.09"/>
    <n v="3.5177999999999998"/>
    <n v="3.0459999999999998"/>
    <n v="8.7680000000000007"/>
    <n v="5.0735000000000001"/>
  </r>
  <r>
    <x v="4"/>
    <x v="9"/>
    <d v="2022-08-11T00:00:00"/>
    <n v="99.6"/>
    <n v="94.34"/>
    <n v="3.484"/>
    <n v="3.0714999999999999"/>
    <n v="8.8740000000000006"/>
    <n v="5.1581000000000001"/>
  </r>
  <r>
    <x v="4"/>
    <x v="9"/>
    <d v="2022-08-10T00:00:00"/>
    <n v="97.4"/>
    <n v="91.93"/>
    <n v="3.4102999999999999"/>
    <n v="3.0703"/>
    <n v="8.202"/>
    <n v="5.0926999999999998"/>
  </r>
  <r>
    <x v="4"/>
    <x v="9"/>
    <d v="2022-08-09T00:00:00"/>
    <n v="96.31"/>
    <n v="90.5"/>
    <n v="3.3338000000000001"/>
    <n v="2.9601999999999999"/>
    <n v="7.8330000000000002"/>
    <n v="5.1237000000000004"/>
  </r>
  <r>
    <x v="4"/>
    <x v="9"/>
    <d v="2022-08-08T00:00:00"/>
    <n v="96.65"/>
    <n v="90.76"/>
    <n v="3.1791"/>
    <n v="2.8862000000000001"/>
    <n v="7.5890000000000004"/>
    <n v="5.1116999999999999"/>
  </r>
  <r>
    <x v="4"/>
    <x v="9"/>
    <d v="2022-08-05T00:00:00"/>
    <n v="94.92"/>
    <n v="89.01"/>
    <n v="3.2159"/>
    <n v="2.8555999999999999"/>
    <n v="8.0640000000000001"/>
    <n v="5.1646000000000001"/>
  </r>
  <r>
    <x v="4"/>
    <x v="9"/>
    <d v="2022-08-04T00:00:00"/>
    <n v="94.12"/>
    <n v="88.54"/>
    <n v="3.3372000000000002"/>
    <n v="2.7934999999999999"/>
    <n v="8.1219999999999999"/>
    <n v="5.2164000000000001"/>
  </r>
  <r>
    <x v="4"/>
    <x v="9"/>
    <d v="2022-08-03T00:00:00"/>
    <n v="96.78"/>
    <n v="90.66"/>
    <n v="3.4148000000000001"/>
    <n v="2.9121999999999999"/>
    <n v="8.266"/>
    <n v="5.2815000000000003"/>
  </r>
  <r>
    <x v="4"/>
    <x v="9"/>
    <d v="2022-08-02T00:00:00"/>
    <n v="100.54"/>
    <n v="94.42"/>
    <n v="3.3803999999999998"/>
    <n v="3.0567000000000002"/>
    <n v="7.7060000000000004"/>
    <n v="5.2784000000000004"/>
  </r>
  <r>
    <x v="4"/>
    <x v="9"/>
    <d v="2022-08-01T00:00:00"/>
    <n v="100.03"/>
    <n v="93.89"/>
    <n v="3.44"/>
    <n v="2.9981"/>
    <n v="8.2829999999999995"/>
    <n v="5.1837999999999997"/>
  </r>
  <r>
    <x v="4"/>
    <x v="10"/>
    <d v="2022-07-29T00:00:00"/>
    <n v="110.01"/>
    <n v="98.62"/>
    <n v="3.6246999999999998"/>
    <n v="3.4881000000000002"/>
    <n v="8.2289999999999992"/>
    <n v="5.1734"/>
  </r>
  <r>
    <x v="4"/>
    <x v="10"/>
    <d v="2022-07-28T00:00:00"/>
    <n v="107.14"/>
    <n v="96.42"/>
    <n v="3.6863000000000001"/>
    <n v="3.4645999999999999"/>
    <n v="8.1340000000000003"/>
    <n v="5.1822999999999997"/>
  </r>
  <r>
    <x v="4"/>
    <x v="10"/>
    <d v="2022-07-27T00:00:00"/>
    <n v="106.62"/>
    <n v="97.26"/>
    <n v="3.7172999999999998"/>
    <n v="3.4287999999999998"/>
    <n v="8.6869999999999994"/>
    <n v="5.2431999999999999"/>
  </r>
  <r>
    <x v="4"/>
    <x v="10"/>
    <d v="2022-07-26T00:00:00"/>
    <n v="104.4"/>
    <n v="94.98"/>
    <n v="3.5838999999999999"/>
    <n v="3.355"/>
    <n v="8.9930000000000003"/>
    <n v="5.3510999999999997"/>
  </r>
  <r>
    <x v="4"/>
    <x v="10"/>
    <d v="2022-07-25T00:00:00"/>
    <n v="105.15"/>
    <n v="96.7"/>
    <n v="3.5165999999999999"/>
    <n v="3.3820000000000001"/>
    <n v="8.7270000000000003"/>
    <n v="5.3575999999999997"/>
  </r>
  <r>
    <x v="4"/>
    <x v="10"/>
    <d v="2022-07-22T00:00:00"/>
    <n v="103.2"/>
    <n v="94.7"/>
    <n v="3.4556"/>
    <n v="3.2227999999999999"/>
    <n v="8.2989999999999995"/>
    <n v="5.4968000000000004"/>
  </r>
  <r>
    <x v="4"/>
    <x v="10"/>
    <d v="2022-07-21T00:00:00"/>
    <n v="103.86"/>
    <n v="96.35"/>
    <n v="3.5903"/>
    <n v="3.1495000000000002"/>
    <n v="7.9320000000000004"/>
    <n v="5.4968000000000004"/>
  </r>
  <r>
    <x v="4"/>
    <x v="10"/>
    <d v="2022-07-20T00:00:00"/>
    <n v="106.92"/>
    <n v="102.26"/>
    <n v="3.6042999999999998"/>
    <n v="3.2753999999999999"/>
    <n v="8.0069999999999997"/>
    <n v="5.4714"/>
  </r>
  <r>
    <x v="4"/>
    <x v="10"/>
    <d v="2022-07-19T00:00:00"/>
    <n v="107.35"/>
    <n v="104.22"/>
    <n v="3.6267999999999998"/>
    <n v="3.3075000000000001"/>
    <n v="7.2640000000000002"/>
    <n v="5.4135"/>
  </r>
  <r>
    <x v="4"/>
    <x v="10"/>
    <d v="2022-07-18T00:00:00"/>
    <n v="106.27"/>
    <n v="102.6"/>
    <n v="3.6555"/>
    <n v="3.2643"/>
    <n v="7.4790000000000001"/>
    <n v="5.4375"/>
  </r>
  <r>
    <x v="4"/>
    <x v="10"/>
    <d v="2022-07-15T00:00:00"/>
    <n v="101.16"/>
    <n v="97.59"/>
    <n v="3.6989999999999998"/>
    <n v="3.2132000000000001"/>
    <n v="7.016"/>
    <n v="5.4081999999999999"/>
  </r>
  <r>
    <x v="4"/>
    <x v="10"/>
    <d v="2022-07-14T00:00:00"/>
    <n v="99.1"/>
    <n v="95.78"/>
    <n v="3.6494"/>
    <n v="3.1867999999999999"/>
    <n v="6.6"/>
    <n v="5.4233000000000002"/>
  </r>
  <r>
    <x v="4"/>
    <x v="10"/>
    <d v="2022-07-13T00:00:00"/>
    <n v="99.57"/>
    <n v="96.3"/>
    <n v="3.6659000000000002"/>
    <n v="3.2336999999999998"/>
    <n v="6.6890000000000001"/>
    <n v="5.3917000000000002"/>
  </r>
  <r>
    <x v="4"/>
    <x v="10"/>
    <d v="2022-07-12T00:00:00"/>
    <n v="99.49"/>
    <n v="95.84"/>
    <n v="3.6625999999999999"/>
    <n v="3.2646000000000002"/>
    <n v="6.1630000000000003"/>
    <n v="5.4367999999999999"/>
  </r>
  <r>
    <x v="4"/>
    <x v="10"/>
    <d v="2022-07-11T00:00:00"/>
    <n v="107.1"/>
    <n v="104.09"/>
    <n v="3.7681"/>
    <n v="3.4622000000000002"/>
    <n v="6.4260000000000002"/>
    <n v="5.3781999999999996"/>
  </r>
  <r>
    <x v="4"/>
    <x v="10"/>
    <d v="2022-07-08T00:00:00"/>
    <n v="107.02"/>
    <n v="104.79"/>
    <n v="3.6728999999999998"/>
    <n v="3.4470999999999998"/>
    <n v="6.0339999999999998"/>
    <n v="5.2535999999999996"/>
  </r>
  <r>
    <x v="4"/>
    <x v="10"/>
    <d v="2022-07-07T00:00:00"/>
    <n v="104.65"/>
    <n v="102.73"/>
    <n v="3.6739000000000002"/>
    <n v="3.4203999999999999"/>
    <n v="6.2969999999999997"/>
    <n v="5.3391000000000002"/>
  </r>
  <r>
    <x v="4"/>
    <x v="10"/>
    <d v="2022-07-06T00:00:00"/>
    <n v="100.69"/>
    <n v="98.53"/>
    <n v="3.4106000000000001"/>
    <n v="3.2366000000000001"/>
    <n v="5.51"/>
    <n v="5.4287000000000001"/>
  </r>
  <r>
    <x v="4"/>
    <x v="10"/>
    <d v="2022-07-05T00:00:00"/>
    <n v="102.77"/>
    <n v="99.5"/>
    <n v="3.6015999999999999"/>
    <n v="3.3290000000000002"/>
    <n v="5.5229999999999997"/>
    <n v="5.3860999999999999"/>
  </r>
  <r>
    <x v="4"/>
    <x v="10"/>
    <d v="2022-07-04T00:00:00"/>
    <n v="113.5"/>
    <m/>
    <m/>
    <m/>
    <m/>
    <n v="5.3292999999999999"/>
  </r>
  <r>
    <x v="4"/>
    <x v="10"/>
    <d v="2022-07-01T00:00:00"/>
    <n v="111.63"/>
    <n v="108.43"/>
    <n v="3.9388999999999998"/>
    <n v="3.6878000000000002"/>
    <n v="5.73"/>
    <n v="5.3310000000000004"/>
  </r>
  <r>
    <x v="4"/>
    <x v="11"/>
    <d v="2022-06-30T00:00:00"/>
    <n v="114.81"/>
    <n v="105.76"/>
    <n v="3.8982000000000001"/>
    <n v="3.6497999999999999"/>
    <n v="5.4240000000000004"/>
    <n v="5.2561999999999998"/>
  </r>
  <r>
    <x v="4"/>
    <x v="11"/>
    <d v="2022-06-29T00:00:00"/>
    <n v="116.26"/>
    <n v="109.78"/>
    <n v="4.0366999999999997"/>
    <n v="3.827"/>
    <n v="6.4980000000000002"/>
    <n v="5.1818"/>
  </r>
  <r>
    <x v="4"/>
    <x v="11"/>
    <d v="2022-06-28T00:00:00"/>
    <n v="117.98"/>
    <n v="111.76"/>
    <n v="4.1993999999999998"/>
    <n v="3.9350999999999998"/>
    <n v="6.5510000000000002"/>
    <n v="5.2675000000000001"/>
  </r>
  <r>
    <x v="4"/>
    <x v="11"/>
    <d v="2022-06-27T00:00:00"/>
    <n v="115.09"/>
    <n v="109.57"/>
    <n v="4.2302"/>
    <n v="3.8372000000000002"/>
    <n v="6.5010000000000003"/>
    <n v="5.2366000000000001"/>
  </r>
  <r>
    <x v="4"/>
    <x v="11"/>
    <d v="2022-06-24T00:00:00"/>
    <n v="113.12"/>
    <n v="107.62"/>
    <n v="4.3628999999999998"/>
    <n v="3.8847999999999998"/>
    <n v="6.22"/>
    <n v="5.2416999999999998"/>
  </r>
  <r>
    <x v="4"/>
    <x v="11"/>
    <d v="2022-06-23T00:00:00"/>
    <n v="110.05"/>
    <n v="104.27"/>
    <n v="4.3379000000000003"/>
    <n v="3.7656000000000001"/>
    <n v="6.2389999999999999"/>
    <n v="5.2405999999999997"/>
  </r>
  <r>
    <x v="4"/>
    <x v="11"/>
    <d v="2022-06-22T00:00:00"/>
    <n v="111.74"/>
    <n v="106.19"/>
    <n v="4.4046000000000003"/>
    <n v="3.8340999999999998"/>
    <n v="6.8579999999999997"/>
    <n v="5.194"/>
  </r>
  <r>
    <x v="4"/>
    <x v="11"/>
    <d v="2022-06-21T00:00:00"/>
    <n v="114.65"/>
    <n v="110.65"/>
    <n v="4.3583999999999996"/>
    <n v="3.7945000000000002"/>
    <n v="6.8079999999999998"/>
    <n v="5.1257000000000001"/>
  </r>
  <r>
    <x v="4"/>
    <x v="11"/>
    <d v="2022-06-20T00:00:00"/>
    <n v="114.13"/>
    <m/>
    <m/>
    <m/>
    <m/>
    <n v="5.1879999999999997"/>
  </r>
  <r>
    <x v="4"/>
    <x v="11"/>
    <d v="2022-06-17T00:00:00"/>
    <n v="113.12"/>
    <n v="109.56"/>
    <n v="4.3398000000000003"/>
    <n v="3.7930000000000001"/>
    <n v="6.944"/>
    <n v="5.1517999999999997"/>
  </r>
  <r>
    <x v="4"/>
    <x v="11"/>
    <d v="2022-06-16T00:00:00"/>
    <n v="119.81"/>
    <n v="117.59"/>
    <n v="4.5712999999999999"/>
    <n v="3.9558"/>
    <n v="7.4640000000000004"/>
    <n v="5.0534999999999997"/>
  </r>
  <r>
    <x v="4"/>
    <x v="11"/>
    <d v="2022-06-15T00:00:00"/>
    <n v="118.51"/>
    <n v="115.31"/>
    <n v="4.5469999999999997"/>
    <n v="3.8942000000000001"/>
    <n v="7.42"/>
    <n v="5.0536000000000003"/>
  </r>
  <r>
    <x v="4"/>
    <x v="11"/>
    <d v="2022-06-14T00:00:00"/>
    <n v="121.17"/>
    <n v="118.93"/>
    <n v="4.3940000000000001"/>
    <n v="3.9937999999999998"/>
    <n v="7.1890000000000001"/>
    <n v="5.1167999999999996"/>
  </r>
  <r>
    <x v="4"/>
    <x v="11"/>
    <d v="2022-06-13T00:00:00"/>
    <n v="122.27"/>
    <n v="120.93"/>
    <n v="4.2834000000000003"/>
    <n v="4.0353000000000003"/>
    <n v="8.609"/>
    <n v="5.1154000000000002"/>
  </r>
  <r>
    <x v="4"/>
    <x v="11"/>
    <d v="2022-06-10T00:00:00"/>
    <n v="122.01"/>
    <n v="120.67"/>
    <n v="4.3666999999999998"/>
    <n v="4.1722000000000001"/>
    <n v="8.85"/>
    <n v="4.9865000000000004"/>
  </r>
  <r>
    <x v="4"/>
    <x v="11"/>
    <d v="2022-06-09T00:00:00"/>
    <n v="123.07"/>
    <n v="121.51"/>
    <n v="4.4036999999999997"/>
    <n v="4.2762000000000002"/>
    <n v="8.9629999999999992"/>
    <n v="4.9062999999999999"/>
  </r>
  <r>
    <x v="4"/>
    <x v="11"/>
    <d v="2022-06-08T00:00:00"/>
    <n v="123.58"/>
    <n v="122.11"/>
    <n v="4.3143000000000002"/>
    <n v="4.2218999999999998"/>
    <n v="8.6989999999999998"/>
    <n v="4.8987999999999996"/>
  </r>
  <r>
    <x v="4"/>
    <x v="11"/>
    <d v="2022-06-07T00:00:00"/>
    <n v="120.57"/>
    <n v="119.41"/>
    <n v="4.3205999999999998"/>
    <n v="4.1577000000000002"/>
    <n v="9.2929999999999993"/>
    <n v="4.8696000000000002"/>
  </r>
  <r>
    <x v="4"/>
    <x v="11"/>
    <d v="2022-06-06T00:00:00"/>
    <n v="119.51"/>
    <n v="118.5"/>
    <n v="4.3601000000000001"/>
    <n v="4.1929999999999996"/>
    <n v="9.3219999999999992"/>
    <n v="4.7945000000000002"/>
  </r>
  <r>
    <x v="4"/>
    <x v="11"/>
    <d v="2022-06-03T00:00:00"/>
    <n v="119.72"/>
    <n v="118.87"/>
    <n v="4.2803000000000004"/>
    <n v="4.2522000000000002"/>
    <n v="8.5229999999999997"/>
    <n v="4.7733999999999996"/>
  </r>
  <r>
    <x v="4"/>
    <x v="11"/>
    <d v="2022-06-02T00:00:00"/>
    <n v="117.61"/>
    <n v="116.87"/>
    <n v="4.2084000000000001"/>
    <n v="4.1909000000000001"/>
    <n v="8.4849999999999994"/>
    <n v="4.7961999999999998"/>
  </r>
  <r>
    <x v="4"/>
    <x v="11"/>
    <d v="2022-06-01T00:00:00"/>
    <n v="116.29"/>
    <n v="115.26"/>
    <n v="4.1433"/>
    <n v="4.0716000000000001"/>
    <n v="8.6959999999999997"/>
    <n v="4.8151000000000002"/>
  </r>
  <r>
    <x v="4"/>
    <x v="0"/>
    <d v="2022-05-31T00:00:00"/>
    <n v="122.84"/>
    <n v="114.67"/>
    <n v="4.0909000000000004"/>
    <n v="4.0804"/>
    <n v="8.1449999999999996"/>
    <n v="4.7314999999999996"/>
  </r>
  <r>
    <x v="4"/>
    <x v="0"/>
    <d v="2022-05-30T00:00:00"/>
    <n v="121.67"/>
    <m/>
    <m/>
    <m/>
    <m/>
    <n v="4.7526000000000002"/>
  </r>
  <r>
    <x v="4"/>
    <x v="0"/>
    <d v="2022-05-27T00:00:00"/>
    <n v="119.43"/>
    <n v="115.07"/>
    <n v="4.0029000000000003"/>
    <n v="4.0157999999999996"/>
    <n v="8.7270000000000003"/>
    <n v="4.7294999999999998"/>
  </r>
  <r>
    <x v="4"/>
    <x v="0"/>
    <d v="2022-05-26T00:00:00"/>
    <n v="117.4"/>
    <n v="114.09"/>
    <n v="3.968"/>
    <n v="3.8774000000000002"/>
    <n v="8.9079999999999995"/>
    <n v="4.7676999999999996"/>
  </r>
  <r>
    <x v="4"/>
    <x v="0"/>
    <d v="2022-05-25T00:00:00"/>
    <n v="114.03"/>
    <n v="110.33"/>
    <n v="3.8664000000000001"/>
    <n v="3.8317000000000001"/>
    <n v="8.9710000000000001"/>
    <n v="4.8274999999999997"/>
  </r>
  <r>
    <x v="4"/>
    <x v="0"/>
    <d v="2022-05-24T00:00:00"/>
    <n v="113.56"/>
    <n v="109.77"/>
    <n v="3.7818000000000001"/>
    <n v="3.8109999999999999"/>
    <n v="8.7959999999999994"/>
    <n v="4.8190999999999997"/>
  </r>
  <r>
    <x v="4"/>
    <x v="0"/>
    <d v="2022-05-23T00:00:00"/>
    <n v="113.42"/>
    <n v="110.29"/>
    <n v="3.7688000000000001"/>
    <n v="3.7976999999999999"/>
    <n v="8.7439999999999998"/>
    <n v="4.8129999999999997"/>
  </r>
  <r>
    <x v="4"/>
    <x v="0"/>
    <d v="2022-05-20T00:00:00"/>
    <n v="112.55"/>
    <n v="113.23"/>
    <n v="3.7391000000000001"/>
    <n v="3.8370000000000002"/>
    <n v="8.0830000000000002"/>
    <n v="4.8788"/>
  </r>
  <r>
    <x v="4"/>
    <x v="0"/>
    <d v="2022-05-19T00:00:00"/>
    <n v="112.04"/>
    <n v="112.21"/>
    <n v="3.7919999999999998"/>
    <n v="3.8317000000000001"/>
    <n v="8.3079999999999998"/>
    <n v="4.9309000000000003"/>
  </r>
  <r>
    <x v="4"/>
    <x v="0"/>
    <d v="2022-05-18T00:00:00"/>
    <n v="109.11"/>
    <n v="109.59"/>
    <n v="3.6680999999999999"/>
    <n v="3.7206000000000001"/>
    <n v="8.3680000000000003"/>
    <n v="4.9682000000000004"/>
  </r>
  <r>
    <x v="4"/>
    <x v="0"/>
    <d v="2022-05-17T00:00:00"/>
    <n v="111.93"/>
    <n v="112.4"/>
    <n v="3.7993000000000001"/>
    <n v="3.9417"/>
    <n v="8.3040000000000003"/>
    <n v="4.9386999999999999"/>
  </r>
  <r>
    <x v="4"/>
    <x v="0"/>
    <d v="2022-05-16T00:00:00"/>
    <n v="114.24"/>
    <n v="114.2"/>
    <n v="3.9075000000000002"/>
    <n v="4.0228999999999999"/>
    <n v="7.9560000000000004"/>
    <n v="5.0598999999999998"/>
  </r>
  <r>
    <x v="4"/>
    <x v="0"/>
    <d v="2022-05-13T00:00:00"/>
    <n v="111.55"/>
    <n v="110.49"/>
    <n v="3.9211999999999998"/>
    <n v="3.9578000000000002"/>
    <n v="7.6630000000000003"/>
    <n v="5.0602"/>
  </r>
  <r>
    <x v="4"/>
    <x v="0"/>
    <d v="2022-05-12T00:00:00"/>
    <n v="107.45"/>
    <n v="106.13"/>
    <n v="3.9161000000000001"/>
    <n v="3.7917000000000001"/>
    <n v="7.7389999999999999"/>
    <n v="5.1338999999999997"/>
  </r>
  <r>
    <x v="4"/>
    <x v="0"/>
    <d v="2022-05-11T00:00:00"/>
    <n v="107.51"/>
    <n v="105.71"/>
    <n v="3.9512"/>
    <n v="3.6855000000000002"/>
    <n v="7.64"/>
    <n v="5.1372999999999998"/>
  </r>
  <r>
    <x v="4"/>
    <x v="0"/>
    <d v="2022-05-10T00:00:00"/>
    <n v="102.46"/>
    <n v="99.76"/>
    <n v="3.9321999999999999"/>
    <n v="3.5415000000000001"/>
    <n v="7.3849999999999998"/>
    <n v="5.1313000000000004"/>
  </r>
  <r>
    <x v="4"/>
    <x v="0"/>
    <d v="2022-05-09T00:00:00"/>
    <n v="105.94"/>
    <n v="103.09"/>
    <n v="3.8349000000000002"/>
    <n v="3.6419000000000001"/>
    <n v="7.0259999999999998"/>
    <n v="5.1616999999999997"/>
  </r>
  <r>
    <x v="4"/>
    <x v="0"/>
    <d v="2022-05-06T00:00:00"/>
    <n v="112.39"/>
    <n v="109.77"/>
    <n v="3.9542999999999999"/>
    <n v="3.7589999999999999"/>
    <n v="8.0429999999999993"/>
    <n v="5.0773999999999999"/>
  </r>
  <r>
    <x v="4"/>
    <x v="0"/>
    <d v="2022-05-05T00:00:00"/>
    <n v="110.9"/>
    <n v="108.26"/>
    <n v="4.0412999999999997"/>
    <n v="3.6587000000000001"/>
    <n v="8.7829999999999995"/>
    <n v="5.0279999999999996"/>
  </r>
  <r>
    <x v="4"/>
    <x v="0"/>
    <d v="2022-05-04T00:00:00"/>
    <n v="110.14"/>
    <n v="107.81"/>
    <n v="4.1970000000000001"/>
    <n v="3.6522999999999999"/>
    <n v="8.4149999999999991"/>
    <n v="4.9198000000000004"/>
  </r>
  <r>
    <x v="4"/>
    <x v="0"/>
    <d v="2022-05-03T00:00:00"/>
    <n v="104.97"/>
    <n v="102.41"/>
    <n v="4.0827"/>
    <n v="3.5011999999999999"/>
    <n v="7.9539999999999997"/>
    <n v="4.9584000000000001"/>
  </r>
  <r>
    <x v="4"/>
    <x v="0"/>
    <d v="2022-05-02T00:00:00"/>
    <n v="107.58"/>
    <n v="105.17"/>
    <n v="4.2049000000000003"/>
    <n v="3.5101"/>
    <n v="7.4749999999999996"/>
    <n v="5.0848000000000004"/>
  </r>
  <r>
    <x v="4"/>
    <x v="1"/>
    <d v="2022-04-29T00:00:00"/>
    <n v="109.34"/>
    <n v="104.69"/>
    <n v="4.7816999999999998"/>
    <n v="3.4721000000000002"/>
    <n v="7.2439999999999998"/>
    <n v="4.9721000000000002"/>
  </r>
  <r>
    <x v="4"/>
    <x v="1"/>
    <d v="2022-04-28T00:00:00"/>
    <n v="107.59"/>
    <n v="105.36"/>
    <n v="5.1353999999999997"/>
    <n v="3.5034000000000001"/>
    <n v="6.8879999999999999"/>
    <n v="4.9424999999999999"/>
  </r>
  <r>
    <x v="4"/>
    <x v="1"/>
    <d v="2022-04-27T00:00:00"/>
    <n v="105.32"/>
    <n v="102.02"/>
    <n v="4.6742999999999997"/>
    <n v="3.456"/>
    <n v="7.2670000000000003"/>
    <n v="4.9650999999999996"/>
  </r>
  <r>
    <x v="4"/>
    <x v="1"/>
    <d v="2022-04-26T00:00:00"/>
    <n v="104.99"/>
    <n v="101.7"/>
    <n v="4.4679000000000002"/>
    <n v="3.3388"/>
    <n v="6.85"/>
    <n v="4.9988999999999999"/>
  </r>
  <r>
    <x v="4"/>
    <x v="1"/>
    <d v="2022-04-25T00:00:00"/>
    <n v="102.32"/>
    <n v="98.54"/>
    <n v="4.0909000000000004"/>
    <n v="3.2397999999999998"/>
    <n v="6.6689999999999996"/>
    <n v="4.8765999999999998"/>
  </r>
  <r>
    <x v="4"/>
    <x v="1"/>
    <d v="2022-04-22T00:00:00"/>
    <n v="106.65"/>
    <n v="102.07"/>
    <n v="3.9386000000000001"/>
    <n v="3.3050000000000002"/>
    <n v="6.5339999999999998"/>
    <n v="4.7937000000000003"/>
  </r>
  <r>
    <x v="4"/>
    <x v="1"/>
    <d v="2022-04-21T00:00:00"/>
    <n v="108.33"/>
    <n v="103.79"/>
    <n v="3.9007999999999998"/>
    <n v="3.3386"/>
    <n v="6.9569999999999999"/>
    <n v="4.6219999999999999"/>
  </r>
  <r>
    <x v="4"/>
    <x v="1"/>
    <d v="2022-04-20T00:00:00"/>
    <n v="106.8"/>
    <n v="102.75"/>
    <n v="3.9731000000000001"/>
    <n v="3.2848000000000002"/>
    <n v="6.9370000000000003"/>
    <n v="4.6219000000000001"/>
  </r>
  <r>
    <x v="4"/>
    <x v="1"/>
    <d v="2022-04-19T00:00:00"/>
    <n v="107.25"/>
    <n v="102.56"/>
    <n v="3.8618999999999999"/>
    <n v="3.2473999999999998"/>
    <n v="7.1760000000000002"/>
    <n v="4.6675000000000004"/>
  </r>
  <r>
    <x v="4"/>
    <x v="1"/>
    <d v="2022-04-18T00:00:00"/>
    <n v="113.16"/>
    <n v="108.21"/>
    <n v="3.8908"/>
    <n v="3.3780999999999999"/>
    <n v="7.82"/>
    <n v="4.6527000000000003"/>
  </r>
  <r>
    <x v="4"/>
    <x v="1"/>
    <d v="2022-04-15T00:00:00"/>
    <m/>
    <m/>
    <m/>
    <m/>
    <m/>
    <n v="4.6965000000000003"/>
  </r>
  <r>
    <x v="4"/>
    <x v="1"/>
    <d v="2022-04-14T00:00:00"/>
    <n v="111.7"/>
    <n v="106.95"/>
    <n v="3.8548"/>
    <n v="3.3814000000000002"/>
    <n v="7.3"/>
    <n v="4.7012999999999998"/>
  </r>
  <r>
    <x v="4"/>
    <x v="1"/>
    <d v="2022-04-13T00:00:00"/>
    <n v="108.78"/>
    <n v="104.25"/>
    <n v="3.7183999999999999"/>
    <n v="3.2913000000000001"/>
    <n v="6.9969999999999999"/>
    <n v="4.6898999999999997"/>
  </r>
  <r>
    <x v="4"/>
    <x v="1"/>
    <d v="2022-04-12T00:00:00"/>
    <n v="104.64"/>
    <n v="100.6"/>
    <n v="3.4643999999999999"/>
    <n v="3.1537999999999999"/>
    <n v="6.68"/>
    <n v="4.6734999999999998"/>
  </r>
  <r>
    <x v="4"/>
    <x v="1"/>
    <d v="2022-04-11T00:00:00"/>
    <n v="98.48"/>
    <n v="94.29"/>
    <n v="3.2677"/>
    <n v="3.0030999999999999"/>
    <n v="6.6429999999999998"/>
    <n v="4.6943999999999999"/>
  </r>
  <r>
    <x v="4"/>
    <x v="1"/>
    <d v="2022-04-08T00:00:00"/>
    <n v="102.78"/>
    <n v="98.26"/>
    <n v="3.3176000000000001"/>
    <n v="3.1316000000000002"/>
    <n v="6.2779999999999996"/>
    <n v="4.6970000000000001"/>
  </r>
  <r>
    <x v="4"/>
    <x v="1"/>
    <d v="2022-04-07T00:00:00"/>
    <n v="100.58"/>
    <n v="96.03"/>
    <n v="3.2677999999999998"/>
    <n v="3.0398000000000001"/>
    <n v="6.359"/>
    <n v="4.7523999999999997"/>
  </r>
  <r>
    <x v="4"/>
    <x v="1"/>
    <d v="2022-04-06T00:00:00"/>
    <n v="101.07"/>
    <n v="96.23"/>
    <n v="3.3452000000000002"/>
    <n v="3.0461999999999998"/>
    <n v="6.0289999999999999"/>
    <n v="4.7161"/>
  </r>
  <r>
    <x v="4"/>
    <x v="1"/>
    <d v="2022-04-05T00:00:00"/>
    <n v="106.64"/>
    <n v="101.96"/>
    <n v="3.4681999999999999"/>
    <n v="3.1648999999999998"/>
    <n v="6.032"/>
    <n v="4.6505999999999998"/>
  </r>
  <r>
    <x v="4"/>
    <x v="1"/>
    <d v="2022-04-04T00:00:00"/>
    <n v="107.53"/>
    <n v="103.28"/>
    <n v="3.5461"/>
    <n v="3.1981000000000002"/>
    <n v="5.7119999999999997"/>
    <n v="4.5928000000000004"/>
  </r>
  <r>
    <x v="4"/>
    <x v="1"/>
    <d v="2022-04-01T00:00:00"/>
    <n v="104.39"/>
    <n v="99.27"/>
    <n v="3.4239999999999999"/>
    <n v="3.1535000000000002"/>
    <n v="5.72"/>
    <n v="4.6574999999999998"/>
  </r>
  <r>
    <x v="4"/>
    <x v="2"/>
    <d v="2022-03-31T00:00:00"/>
    <n v="107.91"/>
    <n v="100.28"/>
    <n v="3.6911999999999998"/>
    <n v="3.1896"/>
    <n v="5.6420000000000003"/>
    <n v="4.7389999999999999"/>
  </r>
  <r>
    <x v="4"/>
    <x v="2"/>
    <d v="2022-03-30T00:00:00"/>
    <n v="113.45"/>
    <n v="107.82"/>
    <n v="3.8085"/>
    <n v="3.3250000000000002"/>
    <n v="5.6050000000000004"/>
    <n v="4.7685000000000004"/>
  </r>
  <r>
    <x v="4"/>
    <x v="2"/>
    <d v="2022-03-29T00:00:00"/>
    <n v="110.23"/>
    <n v="104.24"/>
    <n v="3.7161"/>
    <n v="3.2033"/>
    <n v="5.3360000000000003"/>
    <n v="4.7561"/>
  </r>
  <r>
    <x v="4"/>
    <x v="2"/>
    <d v="2022-03-28T00:00:00"/>
    <n v="112.48"/>
    <n v="105.96"/>
    <n v="3.7833999999999999"/>
    <n v="3.2187999999999999"/>
    <n v="5.508"/>
    <n v="4.7675000000000001"/>
  </r>
  <r>
    <x v="4"/>
    <x v="2"/>
    <d v="2022-03-25T00:00:00"/>
    <n v="120.65"/>
    <n v="113.9"/>
    <n v="4.1146000000000003"/>
    <n v="3.47"/>
    <n v="5.5709999999999997"/>
    <n v="4.742"/>
  </r>
  <r>
    <x v="4"/>
    <x v="2"/>
    <d v="2022-03-24T00:00:00"/>
    <n v="119.03"/>
    <n v="112.34"/>
    <n v="4.1534000000000004"/>
    <n v="3.3896999999999999"/>
    <n v="5.4009999999999998"/>
    <n v="4.8253000000000004"/>
  </r>
  <r>
    <x v="4"/>
    <x v="2"/>
    <d v="2022-03-23T00:00:00"/>
    <n v="121.6"/>
    <n v="114.93"/>
    <n v="4.1147999999999998"/>
    <n v="3.4386999999999999"/>
    <n v="5.2320000000000002"/>
    <n v="4.8258000000000001"/>
  </r>
  <r>
    <x v="4"/>
    <x v="2"/>
    <d v="2022-03-22T00:00:00"/>
    <n v="115.48"/>
    <n v="111.76"/>
    <n v="3.8641999999999999"/>
    <n v="3.3307000000000002"/>
    <n v="5.1870000000000003"/>
    <n v="4.9093999999999998"/>
  </r>
  <r>
    <x v="4"/>
    <x v="2"/>
    <d v="2022-03-21T00:00:00"/>
    <n v="115.62"/>
    <n v="112.12"/>
    <n v="3.8008999999999999"/>
    <n v="3.3715999999999999"/>
    <n v="4.9000000000000004"/>
    <n v="4.9353999999999996"/>
  </r>
  <r>
    <x v="4"/>
    <x v="2"/>
    <d v="2022-03-18T00:00:00"/>
    <n v="107.93"/>
    <n v="104.7"/>
    <n v="3.5981000000000001"/>
    <n v="3.2387999999999999"/>
    <n v="4.8630000000000004"/>
    <n v="5.0231000000000003"/>
  </r>
  <r>
    <x v="4"/>
    <x v="2"/>
    <d v="2022-03-17T00:00:00"/>
    <n v="106.64"/>
    <n v="102.98"/>
    <n v="3.4874000000000001"/>
    <n v="3.2166000000000001"/>
    <n v="4.99"/>
    <n v="5.0389999999999997"/>
  </r>
  <r>
    <x v="4"/>
    <x v="2"/>
    <d v="2022-03-16T00:00:00"/>
    <n v="98.02"/>
    <n v="95.04"/>
    <n v="3.1000999999999999"/>
    <n v="2.9874999999999998"/>
    <n v="4.7480000000000002"/>
    <n v="5.0757000000000003"/>
  </r>
  <r>
    <x v="4"/>
    <x v="2"/>
    <d v="2022-03-15T00:00:00"/>
    <n v="99.91"/>
    <n v="96.44"/>
    <n v="3.0297000000000001"/>
    <n v="2.9981"/>
    <n v="4.5679999999999996"/>
    <n v="5.1631"/>
  </r>
  <r>
    <x v="4"/>
    <x v="2"/>
    <d v="2022-03-14T00:00:00"/>
    <n v="106.9"/>
    <n v="103.01"/>
    <n v="3.2763"/>
    <n v="3.1688999999999998"/>
    <n v="4.6580000000000004"/>
    <n v="5.1193"/>
  </r>
  <r>
    <x v="4"/>
    <x v="2"/>
    <d v="2022-03-11T00:00:00"/>
    <n v="112.67"/>
    <n v="109.33"/>
    <n v="3.4176000000000002"/>
    <n v="3.3121"/>
    <n v="4.7249999999999996"/>
    <n v="5.0744999999999996"/>
  </r>
  <r>
    <x v="4"/>
    <x v="2"/>
    <d v="2022-03-10T00:00:00"/>
    <n v="109.33"/>
    <n v="106.02"/>
    <n v="3.2961999999999998"/>
    <n v="3.1566999999999998"/>
    <n v="4.6310000000000002"/>
    <n v="5.0110000000000001"/>
  </r>
  <r>
    <x v="4"/>
    <x v="2"/>
    <d v="2022-03-09T00:00:00"/>
    <n v="111.14"/>
    <n v="108.7"/>
    <n v="3.4643000000000002"/>
    <n v="3.2938000000000001"/>
    <n v="4.5259999999999998"/>
    <n v="5.0122999999999998"/>
  </r>
  <r>
    <x v="4"/>
    <x v="2"/>
    <d v="2022-03-08T00:00:00"/>
    <n v="127.98"/>
    <n v="123.7"/>
    <n v="4.4372999999999996"/>
    <n v="3.6825999999999999"/>
    <n v="4.5270000000000001"/>
    <n v="5.0598999999999998"/>
  </r>
  <r>
    <x v="4"/>
    <x v="2"/>
    <d v="2022-03-07T00:00:00"/>
    <n v="123.21"/>
    <n v="119.4"/>
    <n v="3.9215"/>
    <n v="3.5720999999999998"/>
    <n v="4.8330000000000002"/>
    <n v="5.1115000000000004"/>
  </r>
  <r>
    <x v="4"/>
    <x v="2"/>
    <d v="2022-03-04T00:00:00"/>
    <n v="118.11"/>
    <n v="115.68"/>
    <n v="3.7763"/>
    <n v="3.544"/>
    <n v="5.016"/>
    <n v="5.0620000000000003"/>
  </r>
  <r>
    <x v="4"/>
    <x v="2"/>
    <d v="2022-03-03T00:00:00"/>
    <n v="110.46"/>
    <n v="107.67"/>
    <n v="3.5034000000000001"/>
    <n v="3.2844000000000002"/>
    <n v="4.7220000000000004"/>
    <n v="5.032"/>
  </r>
  <r>
    <x v="4"/>
    <x v="2"/>
    <d v="2022-03-02T00:00:00"/>
    <n v="112.93"/>
    <n v="110.6"/>
    <n v="3.4946999999999999"/>
    <n v="3.3083"/>
    <n v="4.7619999999999996"/>
    <n v="5.0994999999999999"/>
  </r>
  <r>
    <x v="4"/>
    <x v="2"/>
    <d v="2022-03-01T00:00:00"/>
    <n v="104.97"/>
    <n v="103.41"/>
    <n v="3.1511"/>
    <n v="3.0886999999999998"/>
    <n v="4.5730000000000004"/>
    <n v="5.1595000000000004"/>
  </r>
  <r>
    <x v="4"/>
    <x v="3"/>
    <d v="2022-02-28T00:00:00"/>
    <n v="100.99"/>
    <n v="95.72"/>
    <n v="3.0133999999999999"/>
    <n v="2.7970000000000002"/>
    <n v="4.4020000000000001"/>
    <n v="5.1599000000000004"/>
  </r>
  <r>
    <x v="4"/>
    <x v="3"/>
    <d v="2022-02-25T00:00:00"/>
    <n v="97.93"/>
    <n v="91.59"/>
    <n v="2.8494999999999999"/>
    <n v="2.7273000000000001"/>
    <n v="4.47"/>
    <n v="5.1623000000000001"/>
  </r>
  <r>
    <x v="4"/>
    <x v="3"/>
    <d v="2022-02-24T00:00:00"/>
    <n v="99.08"/>
    <n v="92.81"/>
    <n v="2.8969"/>
    <n v="2.7709999999999999"/>
    <n v="4.5679999999999996"/>
    <n v="5.1231"/>
  </r>
  <r>
    <x v="4"/>
    <x v="3"/>
    <d v="2022-02-23T00:00:00"/>
    <n v="96.84"/>
    <n v="92.1"/>
    <n v="2.8292000000000002"/>
    <n v="2.7252999999999998"/>
    <n v="4.6230000000000002"/>
    <n v="5.0096999999999996"/>
  </r>
  <r>
    <x v="4"/>
    <x v="3"/>
    <d v="2022-02-22T00:00:00"/>
    <n v="96.84"/>
    <n v="92.35"/>
    <n v="2.8188"/>
    <n v="2.7107999999999999"/>
    <n v="4.4980000000000002"/>
    <n v="5.0583"/>
  </r>
  <r>
    <x v="4"/>
    <x v="3"/>
    <d v="2022-02-21T00:00:00"/>
    <n v="95.39"/>
    <m/>
    <m/>
    <m/>
    <m/>
    <n v="5.1036000000000001"/>
  </r>
  <r>
    <x v="4"/>
    <x v="3"/>
    <d v="2022-02-18T00:00:00"/>
    <n v="93.54"/>
    <n v="91.07"/>
    <n v="2.7814999999999999"/>
    <n v="2.6696"/>
    <n v="4.431"/>
    <n v="5.1384999999999996"/>
  </r>
  <r>
    <x v="4"/>
    <x v="3"/>
    <d v="2022-02-17T00:00:00"/>
    <n v="92.97"/>
    <n v="91.76"/>
    <n v="2.7862"/>
    <n v="2.6486000000000001"/>
    <n v="4.4859999999999998"/>
    <n v="5.1718000000000002"/>
  </r>
  <r>
    <x v="4"/>
    <x v="3"/>
    <d v="2022-02-16T00:00:00"/>
    <n v="94.81"/>
    <n v="93.66"/>
    <n v="2.8574999999999999"/>
    <n v="2.6770999999999998"/>
    <n v="4.7169999999999996"/>
    <n v="5.1364999999999998"/>
  </r>
  <r>
    <x v="4"/>
    <x v="3"/>
    <d v="2022-02-15T00:00:00"/>
    <n v="93.28"/>
    <n v="92.07"/>
    <n v="2.8595000000000002"/>
    <n v="2.6690999999999998"/>
    <n v="4.306"/>
    <n v="5.1589999999999998"/>
  </r>
  <r>
    <x v="4"/>
    <x v="3"/>
    <d v="2022-02-14T00:00:00"/>
    <n v="96.48"/>
    <n v="95.46"/>
    <n v="2.9618000000000002"/>
    <n v="2.7793999999999999"/>
    <n v="4.1950000000000003"/>
    <n v="5.2149000000000001"/>
  </r>
  <r>
    <x v="4"/>
    <x v="3"/>
    <d v="2022-02-11T00:00:00"/>
    <n v="94.44"/>
    <n v="93.1"/>
    <n v="2.9108999999999998"/>
    <n v="2.7385999999999999"/>
    <n v="3.9409999999999998"/>
    <n v="5.2526999999999999"/>
  </r>
  <r>
    <x v="4"/>
    <x v="3"/>
    <d v="2022-02-10T00:00:00"/>
    <n v="91.41"/>
    <n v="89.88"/>
    <n v="2.8271999999999999"/>
    <n v="2.6654"/>
    <n v="3.9590000000000001"/>
    <n v="5.2496"/>
  </r>
  <r>
    <x v="4"/>
    <x v="3"/>
    <d v="2022-02-09T00:00:00"/>
    <n v="91.55"/>
    <n v="89.66"/>
    <n v="2.8249"/>
    <n v="2.6534"/>
    <n v="4.0090000000000003"/>
    <n v="5.2354000000000003"/>
  </r>
  <r>
    <x v="4"/>
    <x v="3"/>
    <d v="2022-02-08T00:00:00"/>
    <n v="90.78"/>
    <n v="89.36"/>
    <n v="2.7926000000000002"/>
    <n v="2.6251000000000002"/>
    <n v="4.2480000000000002"/>
    <n v="5.2592999999999996"/>
  </r>
  <r>
    <x v="4"/>
    <x v="3"/>
    <d v="2022-02-07T00:00:00"/>
    <n v="92.69"/>
    <n v="91.32"/>
    <n v="2.8553999999999999"/>
    <n v="2.6852999999999998"/>
    <n v="4.2320000000000002"/>
    <n v="5.2636000000000003"/>
  </r>
  <r>
    <x v="4"/>
    <x v="3"/>
    <d v="2022-02-04T00:00:00"/>
    <n v="93.27"/>
    <n v="92.31"/>
    <n v="2.8751000000000002"/>
    <n v="2.6785000000000001"/>
    <n v="4.5720000000000001"/>
    <n v="5.3278999999999996"/>
  </r>
  <r>
    <x v="4"/>
    <x v="3"/>
    <d v="2022-02-03T00:00:00"/>
    <n v="91.11"/>
    <n v="90.27"/>
    <n v="2.8395000000000001"/>
    <n v="2.6427"/>
    <n v="4.8879999999999999"/>
    <n v="5.2839"/>
  </r>
  <r>
    <x v="4"/>
    <x v="3"/>
    <d v="2022-02-02T00:00:00"/>
    <n v="89.47"/>
    <n v="88.26"/>
    <n v="2.7688999999999999"/>
    <n v="2.6070000000000002"/>
    <n v="5.5010000000000003"/>
    <n v="5.2619999999999996"/>
  </r>
  <r>
    <x v="4"/>
    <x v="3"/>
    <d v="2022-02-01T00:00:00"/>
    <n v="89.16"/>
    <n v="88.2"/>
    <n v="2.7412000000000001"/>
    <n v="2.5752000000000002"/>
    <n v="4.7510000000000003"/>
    <n v="5.2655000000000003"/>
  </r>
  <r>
    <x v="4"/>
    <x v="4"/>
    <d v="2022-01-31T00:00:00"/>
    <n v="91.21"/>
    <n v="88.15"/>
    <n v="2.7591999999999999"/>
    <n v="2.5543"/>
    <n v="4.8739999999999997"/>
    <n v="5.3041"/>
  </r>
  <r>
    <x v="4"/>
    <x v="4"/>
    <d v="2022-01-28T00:00:00"/>
    <n v="90.03"/>
    <n v="86.82"/>
    <n v="2.7854999999999999"/>
    <n v="2.5423"/>
    <n v="4.6390000000000002"/>
    <n v="5.3673999999999999"/>
  </r>
  <r>
    <x v="4"/>
    <x v="4"/>
    <d v="2022-01-27T00:00:00"/>
    <n v="89.34"/>
    <n v="86.61"/>
    <n v="2.7945000000000002"/>
    <n v="2.5209999999999999"/>
    <n v="6.2649999999999997"/>
    <n v="5.4065000000000003"/>
  </r>
  <r>
    <x v="4"/>
    <x v="4"/>
    <d v="2022-01-26T00:00:00"/>
    <n v="89.96"/>
    <n v="87.35"/>
    <n v="2.7440000000000002"/>
    <n v="2.5228999999999999"/>
    <n v="4.2770000000000001"/>
    <n v="5.4324000000000003"/>
  </r>
  <r>
    <x v="4"/>
    <x v="4"/>
    <d v="2022-01-25T00:00:00"/>
    <n v="88.2"/>
    <n v="85.6"/>
    <n v="2.6690999999999998"/>
    <n v="2.4594999999999998"/>
    <n v="4.0529999999999999"/>
    <n v="5.4436999999999998"/>
  </r>
  <r>
    <x v="4"/>
    <x v="4"/>
    <d v="2022-01-24T00:00:00"/>
    <n v="86.27"/>
    <n v="83.31"/>
    <n v="2.6274000000000002"/>
    <n v="2.3980000000000001"/>
    <n v="4.0270000000000001"/>
    <n v="5.4877000000000002"/>
  </r>
  <r>
    <x v="4"/>
    <x v="4"/>
    <d v="2022-01-21T00:00:00"/>
    <n v="87.89"/>
    <n v="85.14"/>
    <n v="2.6911999999999998"/>
    <n v="2.4424000000000001"/>
    <n v="3.9990000000000001"/>
    <n v="5.4581999999999997"/>
  </r>
  <r>
    <x v="4"/>
    <x v="4"/>
    <d v="2022-01-20T00:00:00"/>
    <n v="88.38"/>
    <n v="86.9"/>
    <n v="2.6718000000000002"/>
    <n v="2.4622000000000002"/>
    <n v="3.802"/>
    <n v="5.4191000000000003"/>
  </r>
  <r>
    <x v="4"/>
    <x v="4"/>
    <d v="2022-01-19T00:00:00"/>
    <n v="88.44"/>
    <n v="86.96"/>
    <n v="2.6922999999999999"/>
    <n v="2.4569999999999999"/>
    <n v="4.0309999999999997"/>
    <n v="5.4382999999999999"/>
  </r>
  <r>
    <x v="4"/>
    <x v="4"/>
    <d v="2022-01-18T00:00:00"/>
    <n v="87.51"/>
    <n v="85.43"/>
    <n v="2.6739999999999999"/>
    <n v="2.4318"/>
    <n v="4.2830000000000004"/>
    <n v="5.5666000000000002"/>
  </r>
  <r>
    <x v="4"/>
    <x v="4"/>
    <d v="2022-01-17T00:00:00"/>
    <n v="86.48"/>
    <m/>
    <m/>
    <m/>
    <m/>
    <n v="5.5164999999999997"/>
  </r>
  <r>
    <x v="4"/>
    <x v="4"/>
    <d v="2022-01-14T00:00:00"/>
    <n v="86.06"/>
    <n v="83.82"/>
    <n v="2.6343000000000001"/>
    <n v="2.419"/>
    <n v="4.2619999999999996"/>
    <n v="5.5343999999999998"/>
  </r>
  <r>
    <x v="4"/>
    <x v="4"/>
    <d v="2022-01-13T00:00:00"/>
    <n v="84.47"/>
    <n v="82.12"/>
    <n v="2.6084999999999998"/>
    <n v="2.3841000000000001"/>
    <n v="4.2699999999999996"/>
    <n v="5.5286"/>
  </r>
  <r>
    <x v="4"/>
    <x v="4"/>
    <d v="2022-01-12T00:00:00"/>
    <n v="84.67"/>
    <n v="82.64"/>
    <n v="2.5941999999999998"/>
    <n v="2.3908"/>
    <n v="4.8570000000000002"/>
    <n v="5.5338000000000003"/>
  </r>
  <r>
    <x v="4"/>
    <x v="4"/>
    <d v="2022-01-11T00:00:00"/>
    <n v="83.72"/>
    <n v="81.22"/>
    <n v="2.5636000000000001"/>
    <n v="2.3574000000000002"/>
    <n v="4.2489999999999997"/>
    <n v="5.5686"/>
  </r>
  <r>
    <x v="4"/>
    <x v="4"/>
    <d v="2022-01-10T00:00:00"/>
    <n v="80.87"/>
    <n v="78.23"/>
    <n v="2.4876"/>
    <n v="2.2753999999999999"/>
    <n v="4.0789999999999997"/>
    <n v="5.6632999999999996"/>
  </r>
  <r>
    <x v="4"/>
    <x v="4"/>
    <d v="2022-01-07T00:00:00"/>
    <n v="81.75"/>
    <n v="78.900000000000006"/>
    <n v="2.4817999999999998"/>
    <n v="2.2989000000000002"/>
    <n v="3.9159999999999999"/>
    <n v="5.6355000000000004"/>
  </r>
  <r>
    <x v="4"/>
    <x v="4"/>
    <d v="2022-01-06T00:00:00"/>
    <n v="81.99"/>
    <n v="79.459999999999994"/>
    <n v="2.4777"/>
    <n v="2.3043"/>
    <n v="3.8119999999999998"/>
    <n v="5.6833999999999998"/>
  </r>
  <r>
    <x v="4"/>
    <x v="4"/>
    <d v="2022-01-05T00:00:00"/>
    <n v="80.8"/>
    <n v="77.849999999999994"/>
    <n v="2.4460999999999999"/>
    <n v="2.2921"/>
    <n v="3.8820000000000001"/>
    <n v="5.7087000000000003"/>
  </r>
  <r>
    <x v="4"/>
    <x v="4"/>
    <d v="2022-01-04T00:00:00"/>
    <n v="80"/>
    <n v="76.989999999999995"/>
    <n v="2.4095"/>
    <n v="2.2763"/>
    <n v="3.7170000000000001"/>
    <n v="5.6769999999999996"/>
  </r>
  <r>
    <x v="4"/>
    <x v="4"/>
    <d v="2022-01-03T00:00:00"/>
    <n v="78.98"/>
    <n v="76.08"/>
    <n v="2.3574000000000002"/>
    <n v="2.2565"/>
    <n v="3.8149999999999999"/>
    <n v="5.6818"/>
  </r>
  <r>
    <x v="5"/>
    <x v="5"/>
    <d v="2021-12-31T00:00:00"/>
    <n v="77.78"/>
    <n v="75.209999999999994"/>
    <n v="2.3300999999999998"/>
    <n v="2.2284999999999999"/>
    <n v="3.73"/>
    <n v="5.5702999999999996"/>
  </r>
  <r>
    <x v="5"/>
    <x v="5"/>
    <d v="2021-12-30T00:00:00"/>
    <n v="79.319999999999993"/>
    <n v="76.989999999999995"/>
    <n v="2.3959000000000001"/>
    <n v="2.2968000000000002"/>
    <n v="3.5609999999999999"/>
    <n v="5.5709999999999997"/>
  </r>
  <r>
    <x v="5"/>
    <x v="5"/>
    <d v="2021-12-29T00:00:00"/>
    <n v="79.23"/>
    <n v="76.56"/>
    <n v="2.3778000000000001"/>
    <n v="2.2717000000000001"/>
    <n v="4.024"/>
    <n v="5.7031999999999998"/>
  </r>
  <r>
    <x v="5"/>
    <x v="5"/>
    <d v="2021-12-28T00:00:00"/>
    <n v="78.94"/>
    <n v="75.98"/>
    <n v="2.3714"/>
    <n v="2.2471000000000001"/>
    <n v="4.0549999999999997"/>
    <n v="5.6283000000000003"/>
  </r>
  <r>
    <x v="5"/>
    <x v="5"/>
    <d v="2021-12-27T00:00:00"/>
    <n v="78.599999999999994"/>
    <n v="75.569999999999993"/>
    <n v="2.3534999999999999"/>
    <n v="2.2339000000000002"/>
    <n v="4.0599999999999996"/>
    <n v="5.6249000000000002"/>
  </r>
  <r>
    <x v="5"/>
    <x v="5"/>
    <d v="2021-12-24T00:00:00"/>
    <n v="76.14"/>
    <m/>
    <m/>
    <m/>
    <m/>
    <n v="5.6749999999999998"/>
  </r>
  <r>
    <x v="5"/>
    <x v="5"/>
    <d v="2021-12-23T00:00:00"/>
    <n v="76.849999999999994"/>
    <n v="73.790000000000006"/>
    <n v="2.3313999999999999"/>
    <n v="2.2061000000000002"/>
    <n v="3.7309999999999999"/>
    <n v="5.6749000000000001"/>
  </r>
  <r>
    <x v="5"/>
    <x v="5"/>
    <d v="2021-12-22T00:00:00"/>
    <n v="75.290000000000006"/>
    <n v="72.760000000000005"/>
    <n v="2.3077999999999999"/>
    <n v="2.1680000000000001"/>
    <n v="3.976"/>
    <n v="5.6539999999999999"/>
  </r>
  <r>
    <x v="5"/>
    <x v="5"/>
    <d v="2021-12-21T00:00:00"/>
    <n v="73.98"/>
    <n v="71.12"/>
    <n v="2.2578"/>
    <n v="2.1522000000000001"/>
    <n v="3.8690000000000002"/>
    <n v="5.7450999999999999"/>
  </r>
  <r>
    <x v="5"/>
    <x v="5"/>
    <d v="2021-12-20T00:00:00"/>
    <n v="71.52"/>
    <n v="68.23"/>
    <n v="2.173"/>
    <n v="2.09"/>
    <n v="3.8340000000000001"/>
    <n v="5.742"/>
  </r>
  <r>
    <x v="5"/>
    <x v="5"/>
    <d v="2021-12-17T00:00:00"/>
    <n v="73.52"/>
    <n v="70.86"/>
    <n v="2.2199"/>
    <n v="2.1217000000000001"/>
    <n v="3.69"/>
    <n v="5.6959"/>
  </r>
  <r>
    <x v="5"/>
    <x v="5"/>
    <d v="2021-12-16T00:00:00"/>
    <n v="75.02"/>
    <n v="72.38"/>
    <n v="2.2663000000000002"/>
    <n v="2.1778"/>
    <n v="3.766"/>
    <n v="5.6883999999999997"/>
  </r>
  <r>
    <x v="5"/>
    <x v="5"/>
    <d v="2021-12-15T00:00:00"/>
    <n v="73.88"/>
    <n v="70.87"/>
    <n v="2.2204000000000002"/>
    <n v="2.1274999999999999"/>
    <n v="3.802"/>
    <n v="5.6806000000000001"/>
  </r>
  <r>
    <x v="5"/>
    <x v="5"/>
    <d v="2021-12-14T00:00:00"/>
    <n v="73.7"/>
    <n v="70.73"/>
    <n v="2.2183999999999999"/>
    <n v="2.1107999999999998"/>
    <n v="3.7469999999999999"/>
    <n v="5.6814999999999998"/>
  </r>
  <r>
    <x v="5"/>
    <x v="5"/>
    <d v="2021-12-13T00:00:00"/>
    <n v="74.39"/>
    <n v="71.290000000000006"/>
    <n v="2.2328000000000001"/>
    <n v="2.1164999999999998"/>
    <n v="3.794"/>
    <n v="5.6803999999999997"/>
  </r>
  <r>
    <x v="5"/>
    <x v="5"/>
    <d v="2021-12-10T00:00:00"/>
    <n v="75.150000000000006"/>
    <n v="71.67"/>
    <n v="2.2515999999999998"/>
    <n v="2.1372"/>
    <n v="3.9249999999999998"/>
    <n v="5.6127000000000002"/>
  </r>
  <r>
    <x v="5"/>
    <x v="5"/>
    <d v="2021-12-09T00:00:00"/>
    <n v="74.42"/>
    <n v="70.94"/>
    <n v="2.2503000000000002"/>
    <n v="2.1284000000000001"/>
    <n v="3.8140000000000001"/>
    <n v="5.5727000000000002"/>
  </r>
  <r>
    <x v="5"/>
    <x v="5"/>
    <d v="2021-12-08T00:00:00"/>
    <n v="75.819999999999993"/>
    <n v="72.36"/>
    <n v="2.2612999999999999"/>
    <n v="2.1484999999999999"/>
    <n v="3.8149999999999999"/>
    <n v="5.5327000000000002"/>
  </r>
  <r>
    <x v="5"/>
    <x v="5"/>
    <d v="2021-12-07T00:00:00"/>
    <n v="75.44"/>
    <n v="72.05"/>
    <n v="2.2246000000000001"/>
    <n v="2.1"/>
    <n v="3.7080000000000002"/>
    <n v="5.6128"/>
  </r>
  <r>
    <x v="5"/>
    <x v="5"/>
    <d v="2021-12-06T00:00:00"/>
    <n v="73.08"/>
    <n v="69.489999999999995"/>
    <n v="2.1711999999999998"/>
    <n v="2.0432999999999999"/>
    <n v="3.657"/>
    <n v="5.6890999999999998"/>
  </r>
  <r>
    <x v="5"/>
    <x v="5"/>
    <d v="2021-12-03T00:00:00"/>
    <n v="69.88"/>
    <n v="66.260000000000005"/>
    <n v="2.0983999999999998"/>
    <n v="1.9529000000000001"/>
    <n v="4.1319999999999997"/>
    <n v="5.6532"/>
  </r>
  <r>
    <x v="5"/>
    <x v="5"/>
    <d v="2021-12-02T00:00:00"/>
    <n v="69.67"/>
    <n v="66.5"/>
    <n v="2.1034000000000002"/>
    <n v="1.9677"/>
    <n v="4.056"/>
    <n v="5.6462000000000003"/>
  </r>
  <r>
    <x v="5"/>
    <x v="5"/>
    <d v="2021-12-01T00:00:00"/>
    <n v="68.87"/>
    <n v="65.569999999999993"/>
    <n v="2.0771000000000002"/>
    <n v="1.9511000000000001"/>
    <n v="4.258"/>
    <n v="5.6955"/>
  </r>
  <r>
    <x v="5"/>
    <x v="6"/>
    <d v="2021-11-30T00:00:00"/>
    <n v="70.569999999999993"/>
    <n v="66.180000000000007"/>
    <n v="2.0638000000000001"/>
    <n v="1.9801"/>
    <n v="4.5670000000000002"/>
    <n v="5.6238999999999999"/>
  </r>
  <r>
    <x v="5"/>
    <x v="6"/>
    <d v="2021-11-29T00:00:00"/>
    <n v="73.44"/>
    <n v="69.95"/>
    <n v="2.1520999999999999"/>
    <n v="2.0771000000000002"/>
    <n v="4.8540000000000001"/>
    <n v="5.6017000000000001"/>
  </r>
  <r>
    <x v="5"/>
    <x v="6"/>
    <d v="2021-11-26T00:00:00"/>
    <n v="72.72"/>
    <n v="68.150000000000006"/>
    <n v="2.0945"/>
    <n v="2.0293999999999999"/>
    <n v="5.4470000000000001"/>
    <n v="5.6093000000000002"/>
  </r>
  <r>
    <x v="5"/>
    <x v="6"/>
    <d v="2021-11-25T00:00:00"/>
    <n v="82.22"/>
    <m/>
    <m/>
    <m/>
    <m/>
    <n v="5.5663999999999998"/>
  </r>
  <r>
    <x v="5"/>
    <x v="6"/>
    <d v="2021-11-24T00:00:00"/>
    <n v="82.25"/>
    <n v="78.39"/>
    <n v="2.383"/>
    <n v="2.3197000000000001"/>
    <n v="5.0679999999999996"/>
    <n v="5.6060999999999996"/>
  </r>
  <r>
    <x v="5"/>
    <x v="6"/>
    <d v="2021-11-23T00:00:00"/>
    <n v="82.31"/>
    <n v="78.5"/>
    <n v="2.3843000000000001"/>
    <n v="2.3372000000000002"/>
    <n v="4.9669999999999996"/>
    <n v="5.5712000000000002"/>
  </r>
  <r>
    <x v="5"/>
    <x v="6"/>
    <d v="2021-11-22T00:00:00"/>
    <n v="79.7"/>
    <n v="76.75"/>
    <n v="2.3254000000000001"/>
    <n v="2.2602000000000002"/>
    <n v="4.7889999999999997"/>
    <n v="5.5865"/>
  </r>
  <r>
    <x v="5"/>
    <x v="6"/>
    <d v="2021-11-19T00:00:00"/>
    <n v="78.89"/>
    <n v="76.099999999999994"/>
    <n v="2.2934000000000001"/>
    <n v="2.2119"/>
    <n v="5.0650000000000004"/>
    <n v="5.6135000000000002"/>
  </r>
  <r>
    <x v="5"/>
    <x v="6"/>
    <d v="2021-11-18T00:00:00"/>
    <n v="81.239999999999995"/>
    <n v="79.010000000000005"/>
    <n v="2.3839999999999999"/>
    <n v="2.2942999999999998"/>
    <n v="4.9020000000000001"/>
    <n v="5.5575999999999999"/>
  </r>
  <r>
    <x v="5"/>
    <x v="6"/>
    <d v="2021-11-17T00:00:00"/>
    <n v="80.28"/>
    <n v="78.36"/>
    <n v="2.3643999999999998"/>
    <n v="2.2803"/>
    <n v="4.8159999999999998"/>
    <n v="5.5292000000000003"/>
  </r>
  <r>
    <x v="5"/>
    <x v="6"/>
    <d v="2021-11-16T00:00:00"/>
    <n v="82.43"/>
    <n v="80.760000000000005"/>
    <n v="2.4308999999999998"/>
    <n v="2.3496999999999999"/>
    <n v="5.1769999999999996"/>
    <n v="5.5027999999999997"/>
  </r>
  <r>
    <x v="5"/>
    <x v="6"/>
    <d v="2021-11-15T00:00:00"/>
    <n v="82.05"/>
    <n v="80.88"/>
    <n v="2.3980999999999999"/>
    <n v="2.3288000000000002"/>
    <n v="5.0170000000000003"/>
    <n v="5.4574999999999996"/>
  </r>
  <r>
    <x v="5"/>
    <x v="6"/>
    <d v="2021-11-12T00:00:00"/>
    <n v="82.17"/>
    <n v="80.790000000000006"/>
    <n v="2.4037000000000002"/>
    <n v="2.3113999999999999"/>
    <n v="4.7910000000000004"/>
    <n v="5.4588000000000001"/>
  </r>
  <r>
    <x v="5"/>
    <x v="6"/>
    <d v="2021-11-11T00:00:00"/>
    <n v="82.87"/>
    <n v="81.59"/>
    <n v="2.4470999999999998"/>
    <n v="2.3178000000000001"/>
    <n v="5.149"/>
    <n v="5.3989000000000003"/>
  </r>
  <r>
    <x v="5"/>
    <x v="6"/>
    <d v="2021-11-10T00:00:00"/>
    <n v="82.64"/>
    <n v="81.34"/>
    <n v="2.4521000000000002"/>
    <n v="2.2972000000000001"/>
    <n v="4.88"/>
    <n v="5.4909999999999997"/>
  </r>
  <r>
    <x v="5"/>
    <x v="6"/>
    <d v="2021-11-09T00:00:00"/>
    <n v="84.78"/>
    <n v="84.15"/>
    <n v="2.5081000000000002"/>
    <n v="2.3752"/>
    <n v="4.9790000000000001"/>
    <n v="5.4804000000000004"/>
  </r>
  <r>
    <x v="5"/>
    <x v="6"/>
    <d v="2021-11-08T00:00:00"/>
    <n v="83.43"/>
    <n v="81.93"/>
    <n v="2.4670999999999998"/>
    <n v="2.3222"/>
    <n v="5.4269999999999996"/>
    <n v="5.5439999999999996"/>
  </r>
  <r>
    <x v="5"/>
    <x v="6"/>
    <d v="2021-11-05T00:00:00"/>
    <n v="82.74"/>
    <n v="81.27"/>
    <n v="2.4556"/>
    <n v="2.3209"/>
    <n v="5.516"/>
    <n v="5.5427999999999997"/>
  </r>
  <r>
    <x v="5"/>
    <x v="6"/>
    <d v="2021-11-04T00:00:00"/>
    <n v="80.540000000000006"/>
    <n v="78.81"/>
    <n v="2.4066000000000001"/>
    <n v="2.2926000000000002"/>
    <n v="5.7160000000000002"/>
    <n v="5.6020000000000003"/>
  </r>
  <r>
    <x v="5"/>
    <x v="6"/>
    <d v="2021-11-03T00:00:00"/>
    <n v="81.99"/>
    <n v="80.86"/>
    <n v="2.4344999999999999"/>
    <n v="2.3384999999999998"/>
    <n v="5.67"/>
    <n v="5.5525000000000002"/>
  </r>
  <r>
    <x v="5"/>
    <x v="6"/>
    <d v="2021-11-02T00:00:00"/>
    <n v="84.72"/>
    <n v="83.91"/>
    <n v="2.5082"/>
    <n v="2.4500999999999999"/>
    <n v="5.5419999999999998"/>
    <n v="5.6795"/>
  </r>
  <r>
    <x v="5"/>
    <x v="6"/>
    <d v="2021-11-01T00:00:00"/>
    <n v="84.71"/>
    <n v="84.05"/>
    <n v="2.5030999999999999"/>
    <n v="2.4093"/>
    <n v="5.1859999999999999"/>
    <n v="5.6814999999999998"/>
  </r>
  <r>
    <x v="5"/>
    <x v="7"/>
    <d v="2021-10-29T00:00:00"/>
    <n v="84.38"/>
    <n v="83.57"/>
    <n v="2.4964"/>
    <n v="2.4620000000000002"/>
    <n v="5.4260000000000002"/>
    <n v="5.6372"/>
  </r>
  <r>
    <x v="5"/>
    <x v="7"/>
    <d v="2021-10-28T00:00:00"/>
    <n v="84.32"/>
    <n v="82.81"/>
    <n v="2.5165000000000002"/>
    <n v="2.4350000000000001"/>
    <n v="5.782"/>
    <n v="5.6463999999999999"/>
  </r>
  <r>
    <x v="5"/>
    <x v="7"/>
    <d v="2021-10-27T00:00:00"/>
    <n v="84.58"/>
    <n v="82.66"/>
    <n v="2.5148000000000001"/>
    <n v="2.4497"/>
    <n v="6.202"/>
    <n v="5.5380000000000003"/>
  </r>
  <r>
    <x v="5"/>
    <x v="7"/>
    <d v="2021-10-26T00:00:00"/>
    <n v="86.4"/>
    <n v="84.65"/>
    <n v="2.5773000000000001"/>
    <n v="2.5167999999999999"/>
    <n v="5.8819999999999997"/>
    <n v="5.5666000000000002"/>
  </r>
  <r>
    <x v="5"/>
    <x v="7"/>
    <d v="2021-10-25T00:00:00"/>
    <n v="85.99"/>
    <n v="83.76"/>
    <n v="2.5647000000000002"/>
    <n v="2.5162"/>
    <n v="5.8979999999999997"/>
    <n v="5.5563000000000002"/>
  </r>
  <r>
    <x v="5"/>
    <x v="7"/>
    <d v="2021-10-22T00:00:00"/>
    <n v="85.53"/>
    <n v="83.76"/>
    <n v="2.5388999999999999"/>
    <n v="2.4821"/>
    <n v="5.28"/>
    <n v="5.6474000000000002"/>
  </r>
  <r>
    <x v="5"/>
    <x v="7"/>
    <d v="2021-10-21T00:00:00"/>
    <n v="84.61"/>
    <n v="82.5"/>
    <n v="2.5491000000000001"/>
    <n v="2.4801000000000002"/>
    <n v="5.1150000000000002"/>
    <n v="5.6577000000000002"/>
  </r>
  <r>
    <x v="5"/>
    <x v="7"/>
    <d v="2021-10-20T00:00:00"/>
    <n v="85.82"/>
    <n v="83.87"/>
    <n v="2.5922999999999998"/>
    <n v="2.5084"/>
    <n v="5.17"/>
    <n v="5.5975000000000001"/>
  </r>
  <r>
    <x v="5"/>
    <x v="7"/>
    <d v="2021-10-19T00:00:00"/>
    <n v="85.08"/>
    <n v="82.96"/>
    <n v="2.5607000000000002"/>
    <n v="2.4754999999999998"/>
    <n v="5.0880000000000001"/>
    <n v="5.5843999999999996"/>
  </r>
  <r>
    <x v="5"/>
    <x v="7"/>
    <d v="2021-10-18T00:00:00"/>
    <n v="84.33"/>
    <n v="82.44"/>
    <n v="2.5491999999999999"/>
    <n v="2.4866000000000001"/>
    <n v="4.9889999999999999"/>
    <n v="5.5117000000000003"/>
  </r>
  <r>
    <x v="5"/>
    <x v="7"/>
    <d v="2021-10-15T00:00:00"/>
    <n v="84.86"/>
    <n v="82.28"/>
    <n v="2.5737000000000001"/>
    <n v="2.4864000000000002"/>
    <n v="5.41"/>
    <n v="5.4611000000000001"/>
  </r>
  <r>
    <x v="5"/>
    <x v="7"/>
    <d v="2021-10-14T00:00:00"/>
    <n v="84"/>
    <n v="81.31"/>
    <n v="2.5613999999999999"/>
    <n v="2.4350000000000001"/>
    <n v="5.6870000000000003"/>
    <n v="5.5132000000000003"/>
  </r>
  <r>
    <x v="5"/>
    <x v="7"/>
    <d v="2021-10-13T00:00:00"/>
    <n v="83.18"/>
    <n v="80.44"/>
    <n v="2.5211000000000001"/>
    <n v="2.4055"/>
    <n v="5.59"/>
    <n v="5.5133000000000001"/>
  </r>
  <r>
    <x v="5"/>
    <x v="7"/>
    <d v="2021-10-12T00:00:00"/>
    <n v="83.42"/>
    <n v="80.64"/>
    <n v="2.5099999999999998"/>
    <n v="2.3828999999999998"/>
    <n v="5.5049999999999999"/>
    <n v="5.5324999999999998"/>
  </r>
  <r>
    <x v="5"/>
    <x v="7"/>
    <d v="2021-10-11T00:00:00"/>
    <n v="83.65"/>
    <n v="80.52"/>
    <n v="2.5150000000000001"/>
    <n v="2.3778999999999999"/>
    <n v="5.3449999999999998"/>
    <n v="5.5366999999999997"/>
  </r>
  <r>
    <x v="5"/>
    <x v="7"/>
    <d v="2021-10-08T00:00:00"/>
    <n v="82.39"/>
    <n v="79.349999999999994"/>
    <n v="2.4737"/>
    <n v="2.3662000000000001"/>
    <n v="5.5650000000000004"/>
    <n v="5.5082000000000004"/>
  </r>
  <r>
    <x v="5"/>
    <x v="7"/>
    <d v="2021-10-07T00:00:00"/>
    <n v="81.95"/>
    <n v="78.3"/>
    <n v="2.4596"/>
    <n v="2.3344"/>
    <n v="5.6769999999999996"/>
    <n v="5.5187999999999997"/>
  </r>
  <r>
    <x v="5"/>
    <x v="7"/>
    <d v="2021-10-06T00:00:00"/>
    <n v="81.08"/>
    <n v="77.430000000000007"/>
    <n v="2.4420000000000002"/>
    <n v="2.3081999999999998"/>
    <n v="5.6749999999999998"/>
    <n v="5.4912000000000001"/>
  </r>
  <r>
    <x v="5"/>
    <x v="7"/>
    <d v="2021-10-05T00:00:00"/>
    <n v="82.56"/>
    <n v="78.930000000000007"/>
    <n v="2.4935999999999998"/>
    <n v="2.3578999999999999"/>
    <n v="6.3120000000000003"/>
    <n v="5.4748000000000001"/>
  </r>
  <r>
    <x v="5"/>
    <x v="7"/>
    <d v="2021-10-04T00:00:00"/>
    <n v="81.260000000000005"/>
    <n v="77.62"/>
    <n v="2.4365999999999999"/>
    <n v="2.3085"/>
    <n v="5.766"/>
    <n v="5.4535"/>
  </r>
  <r>
    <x v="5"/>
    <x v="7"/>
    <d v="2021-10-01T00:00:00"/>
    <n v="79.28"/>
    <n v="75.88"/>
    <n v="2.3826999999999998"/>
    <n v="2.25"/>
    <n v="5.6189999999999998"/>
    <n v="5.3628"/>
  </r>
  <r>
    <x v="5"/>
    <x v="8"/>
    <d v="2021-09-30T00:00:00"/>
    <n v="78.52"/>
    <n v="75.03"/>
    <n v="2.3416999999999999"/>
    <n v="2.2536"/>
    <n v="5.867"/>
    <n v="5.4428000000000001"/>
  </r>
  <r>
    <x v="5"/>
    <x v="8"/>
    <d v="2021-09-29T00:00:00"/>
    <n v="78.64"/>
    <n v="74.83"/>
    <n v="2.3075000000000001"/>
    <n v="2.2292999999999998"/>
    <n v="5.4770000000000003"/>
    <n v="5.4151999999999996"/>
  </r>
  <r>
    <x v="5"/>
    <x v="8"/>
    <d v="2021-09-28T00:00:00"/>
    <n v="79.09"/>
    <n v="75.290000000000006"/>
    <n v="2.2890000000000001"/>
    <n v="2.2019000000000002"/>
    <n v="5.8410000000000002"/>
    <n v="5.4292999999999996"/>
  </r>
  <r>
    <x v="5"/>
    <x v="8"/>
    <d v="2021-09-27T00:00:00"/>
    <n v="79.53"/>
    <n v="75.45"/>
    <n v="2.2959999999999998"/>
    <n v="2.2237"/>
    <n v="5.7060000000000004"/>
    <n v="5.3914"/>
  </r>
  <r>
    <x v="5"/>
    <x v="8"/>
    <d v="2021-09-24T00:00:00"/>
    <n v="78.09"/>
    <n v="73.98"/>
    <n v="2.2671000000000001"/>
    <n v="2.1875"/>
    <n v="5.14"/>
    <n v="5.3343999999999996"/>
  </r>
  <r>
    <x v="5"/>
    <x v="8"/>
    <d v="2021-09-23T00:00:00"/>
    <n v="77.25"/>
    <n v="73.3"/>
    <n v="2.2490999999999999"/>
    <n v="2.1715"/>
    <n v="4.976"/>
    <n v="5.3029999999999999"/>
  </r>
  <r>
    <x v="5"/>
    <x v="8"/>
    <d v="2021-09-22T00:00:00"/>
    <n v="76.19"/>
    <n v="72.23"/>
    <n v="2.2115999999999998"/>
    <n v="2.1238999999999999"/>
    <n v="4.8049999999999997"/>
    <n v="5.2888000000000002"/>
  </r>
  <r>
    <x v="5"/>
    <x v="8"/>
    <d v="2021-09-21T00:00:00"/>
    <n v="74.36"/>
    <n v="70.56"/>
    <n v="2.1738"/>
    <n v="2.1052"/>
    <n v="4.8049999999999997"/>
    <n v="5.2698999999999998"/>
  </r>
  <r>
    <x v="5"/>
    <x v="8"/>
    <d v="2021-09-20T00:00:00"/>
    <n v="73.92"/>
    <n v="70.290000000000006"/>
    <n v="2.1589999999999998"/>
    <n v="2.1152000000000002"/>
    <n v="4.9850000000000003"/>
    <n v="5.3239999999999998"/>
  </r>
  <r>
    <x v="5"/>
    <x v="8"/>
    <d v="2021-09-17T00:00:00"/>
    <n v="75.34"/>
    <n v="71.97"/>
    <n v="2.2090999999999998"/>
    <n v="2.1713"/>
    <n v="5.1050000000000004"/>
    <n v="5.2882999999999996"/>
  </r>
  <r>
    <x v="5"/>
    <x v="8"/>
    <d v="2021-09-16T00:00:00"/>
    <n v="75.67"/>
    <n v="72.61"/>
    <n v="2.2109999999999999"/>
    <n v="2.1812"/>
    <n v="5.335"/>
    <n v="5.2534999999999998"/>
  </r>
  <r>
    <x v="5"/>
    <x v="8"/>
    <d v="2021-09-15T00:00:00"/>
    <n v="75.459999999999994"/>
    <n v="72.61"/>
    <n v="2.2052999999999998"/>
    <n v="2.2065999999999999"/>
    <n v="5.46"/>
    <n v="5.2218999999999998"/>
  </r>
  <r>
    <x v="5"/>
    <x v="8"/>
    <d v="2021-09-14T00:00:00"/>
    <n v="73.599999999999994"/>
    <n v="70.459999999999994"/>
    <n v="2.1613000000000002"/>
    <n v="2.1724000000000001"/>
    <n v="5.26"/>
    <n v="5.2397999999999998"/>
  </r>
  <r>
    <x v="5"/>
    <x v="8"/>
    <d v="2021-09-13T00:00:00"/>
    <n v="73.510000000000005"/>
    <n v="70.45"/>
    <n v="2.1583000000000001"/>
    <n v="2.1608999999999998"/>
    <n v="5.2309999999999999"/>
    <n v="5.2144000000000004"/>
  </r>
  <r>
    <x v="5"/>
    <x v="8"/>
    <d v="2021-09-10T00:00:00"/>
    <n v="72.92"/>
    <n v="69.72"/>
    <n v="2.1459999999999999"/>
    <n v="2.1539999999999999"/>
    <n v="4.9379999999999997"/>
    <n v="5.2454000000000001"/>
  </r>
  <r>
    <x v="5"/>
    <x v="8"/>
    <d v="2021-09-09T00:00:00"/>
    <n v="71.45"/>
    <n v="68.14"/>
    <n v="2.1137000000000001"/>
    <n v="2.0996999999999999"/>
    <n v="5.0309999999999997"/>
    <n v="5.1976000000000004"/>
  </r>
  <r>
    <x v="5"/>
    <x v="8"/>
    <d v="2021-09-08T00:00:00"/>
    <n v="72.599999999999994"/>
    <n v="69.3"/>
    <n v="2.1364000000000001"/>
    <n v="2.1320999999999999"/>
    <n v="4.9139999999999997"/>
    <n v="5.3213999999999997"/>
  </r>
  <r>
    <x v="5"/>
    <x v="8"/>
    <d v="2021-09-07T00:00:00"/>
    <n v="71.69"/>
    <n v="68.349999999999994"/>
    <n v="2.1215999999999999"/>
    <n v="2.13"/>
    <n v="4.5679999999999996"/>
    <n v="5.1692"/>
  </r>
  <r>
    <x v="5"/>
    <x v="8"/>
    <d v="2021-09-06T00:00:00"/>
    <n v="72.22"/>
    <m/>
    <m/>
    <m/>
    <m/>
    <n v="5.1692999999999998"/>
  </r>
  <r>
    <x v="5"/>
    <x v="8"/>
    <d v="2021-09-03T00:00:00"/>
    <n v="72.61"/>
    <n v="69.290000000000006"/>
    <n v="2.1594000000000002"/>
    <n v="2.1539999999999999"/>
    <n v="4.7119999999999997"/>
    <n v="5.1908000000000003"/>
  </r>
  <r>
    <x v="5"/>
    <x v="8"/>
    <d v="2021-09-02T00:00:00"/>
    <n v="73.03"/>
    <n v="69.989999999999995"/>
    <n v="2.1677"/>
    <n v="2.1635"/>
    <n v="4.641"/>
    <n v="5.1818999999999997"/>
  </r>
  <r>
    <x v="5"/>
    <x v="8"/>
    <d v="2021-09-01T00:00:00"/>
    <n v="71.59"/>
    <n v="68.59"/>
    <n v="2.1288999999999998"/>
    <n v="2.1109"/>
    <n v="4.6150000000000002"/>
    <n v="5.1858000000000004"/>
  </r>
  <r>
    <x v="5"/>
    <x v="9"/>
    <d v="2021-08-31T00:00:00"/>
    <n v="72.989999999999995"/>
    <n v="68.5"/>
    <n v="2.1309999999999998"/>
    <n v="2.2826"/>
    <n v="4.3769999999999998"/>
    <n v="5.1492000000000004"/>
  </r>
  <r>
    <x v="5"/>
    <x v="9"/>
    <d v="2021-08-30T00:00:00"/>
    <n v="73.41"/>
    <n v="69.209999999999994"/>
    <n v="2.1402999999999999"/>
    <n v="2.3127"/>
    <n v="4.3049999999999997"/>
    <n v="5.1840000000000002"/>
  </r>
  <r>
    <x v="5"/>
    <x v="9"/>
    <d v="2021-08-27T00:00:00"/>
    <n v="72.7"/>
    <n v="68.739999999999995"/>
    <n v="2.1092"/>
    <n v="2.2742"/>
    <n v="4.37"/>
    <n v="5.1996000000000002"/>
  </r>
  <r>
    <x v="5"/>
    <x v="9"/>
    <d v="2021-08-26T00:00:00"/>
    <n v="71.069999999999993"/>
    <n v="67.42"/>
    <n v="2.0832000000000002"/>
    <n v="2.2553999999999998"/>
    <n v="4.1840000000000002"/>
    <n v="5.2522000000000002"/>
  </r>
  <r>
    <x v="5"/>
    <x v="9"/>
    <d v="2021-08-25T00:00:00"/>
    <n v="72.25"/>
    <n v="68.36"/>
    <n v="2.1181999999999999"/>
    <n v="2.3008000000000002"/>
    <n v="3.8969999999999998"/>
    <n v="5.2117000000000004"/>
  </r>
  <r>
    <x v="5"/>
    <x v="9"/>
    <d v="2021-08-24T00:00:00"/>
    <n v="71.05"/>
    <n v="67.540000000000006"/>
    <n v="2.0668000000000002"/>
    <n v="2.1808000000000001"/>
    <n v="3.8959999999999999"/>
    <n v="5.2462999999999997"/>
  </r>
  <r>
    <x v="5"/>
    <x v="9"/>
    <d v="2021-08-23T00:00:00"/>
    <n v="68.75"/>
    <n v="65.64"/>
    <n v="2.0051000000000001"/>
    <n v="2.1232000000000002"/>
    <n v="3.9449999999999998"/>
    <n v="5.3802000000000003"/>
  </r>
  <r>
    <x v="5"/>
    <x v="9"/>
    <d v="2021-08-20T00:00:00"/>
    <n v="65.180000000000007"/>
    <n v="62.32"/>
    <n v="1.9081999999999999"/>
    <n v="2.0236000000000001"/>
    <n v="3.851"/>
    <n v="5.3769999999999998"/>
  </r>
  <r>
    <x v="5"/>
    <x v="9"/>
    <d v="2021-08-19T00:00:00"/>
    <n v="66.45"/>
    <n v="63.69"/>
    <n v="1.9690000000000001"/>
    <n v="2.0815000000000001"/>
    <n v="3.83"/>
    <n v="5.4142000000000001"/>
  </r>
  <r>
    <x v="5"/>
    <x v="9"/>
    <d v="2021-08-18T00:00:00"/>
    <n v="68.23"/>
    <n v="65.459999999999994"/>
    <n v="2.0211999999999999"/>
    <n v="2.1476999999999999"/>
    <n v="3.8519999999999999"/>
    <n v="5.3794000000000004"/>
  </r>
  <r>
    <x v="5"/>
    <x v="9"/>
    <d v="2021-08-17T00:00:00"/>
    <n v="69.03"/>
    <n v="66.59"/>
    <n v="2.0360999999999998"/>
    <n v="2.1656"/>
    <n v="3.8370000000000002"/>
    <n v="5.2948000000000004"/>
  </r>
  <r>
    <x v="5"/>
    <x v="9"/>
    <d v="2021-08-16T00:00:00"/>
    <n v="69.510000000000005"/>
    <n v="67.290000000000006"/>
    <n v="2.0482999999999998"/>
    <n v="2.2008999999999999"/>
    <n v="3.9460000000000002"/>
    <n v="5.2595000000000001"/>
  </r>
  <r>
    <x v="5"/>
    <x v="9"/>
    <d v="2021-08-13T00:00:00"/>
    <n v="70.59"/>
    <n v="68.44"/>
    <n v="2.0779000000000001"/>
    <n v="2.2625999999999999"/>
    <n v="3.8610000000000002"/>
    <n v="5.2465999999999999"/>
  </r>
  <r>
    <x v="5"/>
    <x v="9"/>
    <d v="2021-08-12T00:00:00"/>
    <n v="71.31"/>
    <n v="69.09"/>
    <n v="2.1038999999999999"/>
    <n v="2.2753999999999999"/>
    <n v="3.9329999999999998"/>
    <n v="5.2523999999999997"/>
  </r>
  <r>
    <x v="5"/>
    <x v="9"/>
    <d v="2021-08-11T00:00:00"/>
    <n v="71.44"/>
    <n v="69.25"/>
    <n v="2.1057999999999999"/>
    <n v="2.3022"/>
    <n v="4.0590000000000002"/>
    <n v="5.2184999999999997"/>
  </r>
  <r>
    <x v="5"/>
    <x v="9"/>
    <d v="2021-08-10T00:00:00"/>
    <n v="70.63"/>
    <n v="68.290000000000006"/>
    <n v="2.0802"/>
    <n v="2.2679"/>
    <n v="4.0890000000000004"/>
    <n v="5.1894999999999998"/>
  </r>
  <r>
    <x v="5"/>
    <x v="9"/>
    <d v="2021-08-09T00:00:00"/>
    <n v="69.040000000000006"/>
    <n v="66.48"/>
    <n v="2.0421"/>
    <n v="2.2347999999999999"/>
    <n v="4.0599999999999996"/>
    <n v="5.2331000000000003"/>
  </r>
  <r>
    <x v="5"/>
    <x v="9"/>
    <d v="2021-08-06T00:00:00"/>
    <n v="70.7"/>
    <n v="68.28"/>
    <n v="2.0844999999999998"/>
    <n v="2.2568999999999999"/>
    <n v="4.1399999999999997"/>
    <n v="5.2301000000000002"/>
  </r>
  <r>
    <x v="5"/>
    <x v="9"/>
    <d v="2021-08-05T00:00:00"/>
    <n v="71.290000000000006"/>
    <n v="69.09"/>
    <n v="2.1059999999999999"/>
    <n v="2.294"/>
    <n v="4.1399999999999997"/>
    <n v="5.2488000000000001"/>
  </r>
  <r>
    <x v="5"/>
    <x v="9"/>
    <d v="2021-08-04T00:00:00"/>
    <n v="70.38"/>
    <n v="68.150000000000006"/>
    <n v="2.0741000000000001"/>
    <n v="2.25"/>
    <n v="4.1580000000000004"/>
    <n v="5.1684999999999999"/>
  </r>
  <r>
    <x v="5"/>
    <x v="9"/>
    <d v="2021-08-03T00:00:00"/>
    <n v="72.41"/>
    <n v="70.56"/>
    <n v="2.1263999999999998"/>
    <n v="2.2707999999999999"/>
    <n v="4.0270000000000001"/>
    <n v="5.1966999999999999"/>
  </r>
  <r>
    <x v="5"/>
    <x v="9"/>
    <d v="2021-08-02T00:00:00"/>
    <n v="72.89"/>
    <n v="71.260000000000005"/>
    <n v="2.1358000000000001"/>
    <n v="2.2747000000000002"/>
    <n v="3.9350000000000001"/>
    <n v="5.1746999999999996"/>
  </r>
  <r>
    <x v="5"/>
    <x v="10"/>
    <d v="2021-07-30T00:00:00"/>
    <n v="76.33"/>
    <n v="73.95"/>
    <n v="2.1993999999999998"/>
    <n v="2.3658999999999999"/>
    <n v="3.9140000000000001"/>
    <n v="5.2122999999999999"/>
  </r>
  <r>
    <x v="5"/>
    <x v="10"/>
    <d v="2021-07-29T00:00:00"/>
    <n v="76.05"/>
    <n v="73.62"/>
    <n v="2.1894"/>
    <n v="2.3513999999999999"/>
    <n v="4.0590000000000002"/>
    <n v="5.0811999999999999"/>
  </r>
  <r>
    <x v="5"/>
    <x v="10"/>
    <d v="2021-07-28T00:00:00"/>
    <n v="74.739999999999995"/>
    <n v="72.39"/>
    <n v="2.1560000000000001"/>
    <n v="2.3081999999999998"/>
    <n v="4.0439999999999996"/>
    <n v="5.1157000000000004"/>
  </r>
  <r>
    <x v="5"/>
    <x v="10"/>
    <d v="2021-07-27T00:00:00"/>
    <n v="74.48"/>
    <n v="71.650000000000006"/>
    <n v="2.1438999999999999"/>
    <n v="2.3140999999999998"/>
    <n v="3.9710000000000001"/>
    <n v="5.1689999999999996"/>
  </r>
  <r>
    <x v="5"/>
    <x v="10"/>
    <d v="2021-07-26T00:00:00"/>
    <n v="74.5"/>
    <n v="71.91"/>
    <n v="2.1509999999999998"/>
    <n v="2.3083"/>
    <n v="4.1020000000000003"/>
    <n v="5.1760999999999999"/>
  </r>
  <r>
    <x v="5"/>
    <x v="10"/>
    <d v="2021-07-23T00:00:00"/>
    <n v="74.099999999999994"/>
    <n v="72.069999999999993"/>
    <n v="2.1339000000000001"/>
    <n v="2.2913000000000001"/>
    <n v="4.0599999999999996"/>
    <n v="5.2005999999999997"/>
  </r>
  <r>
    <x v="5"/>
    <x v="10"/>
    <d v="2021-07-22T00:00:00"/>
    <n v="73.790000000000006"/>
    <n v="71.91"/>
    <n v="2.1326000000000001"/>
    <n v="2.2732000000000001"/>
    <n v="4.0030000000000001"/>
    <n v="5.2003000000000004"/>
  </r>
  <r>
    <x v="5"/>
    <x v="10"/>
    <d v="2021-07-21T00:00:00"/>
    <n v="72.23"/>
    <n v="70.3"/>
    <n v="2.0870000000000002"/>
    <n v="2.2166999999999999"/>
    <n v="3.9590000000000001"/>
    <n v="5.1874000000000002"/>
  </r>
  <r>
    <x v="5"/>
    <x v="10"/>
    <d v="2021-07-20T00:00:00"/>
    <n v="69.349999999999994"/>
    <n v="67.42"/>
    <n v="2.0127000000000002"/>
    <n v="2.1315"/>
    <n v="3.8759999999999999"/>
    <n v="5.2205000000000004"/>
  </r>
  <r>
    <x v="5"/>
    <x v="10"/>
    <d v="2021-07-19T00:00:00"/>
    <n v="68.62"/>
    <n v="66.42"/>
    <n v="1.9852000000000001"/>
    <n v="2.1103999999999998"/>
    <n v="3.7789999999999999"/>
    <n v="5.2519"/>
  </r>
  <r>
    <x v="5"/>
    <x v="10"/>
    <d v="2021-07-16T00:00:00"/>
    <n v="73.59"/>
    <n v="71.81"/>
    <n v="2.1133000000000002"/>
    <n v="2.2536"/>
    <n v="3.6739999999999999"/>
    <n v="5.1147"/>
  </r>
  <r>
    <x v="5"/>
    <x v="10"/>
    <d v="2021-07-15T00:00:00"/>
    <n v="73.47"/>
    <n v="71.650000000000006"/>
    <n v="2.1126"/>
    <n v="2.2503000000000002"/>
    <n v="3.6139999999999999"/>
    <n v="5.1100000000000003"/>
  </r>
  <r>
    <x v="5"/>
    <x v="10"/>
    <d v="2021-07-14T00:00:00"/>
    <n v="74.760000000000005"/>
    <n v="73.13"/>
    <n v="2.1435"/>
    <n v="2.2934999999999999"/>
    <n v="3.66"/>
    <n v="5.0705999999999998"/>
  </r>
  <r>
    <x v="5"/>
    <x v="10"/>
    <d v="2021-07-13T00:00:00"/>
    <n v="76.489999999999995"/>
    <n v="75.25"/>
    <n v="2.1844000000000001"/>
    <n v="2.3182999999999998"/>
    <n v="3.6960000000000002"/>
    <n v="5.1622000000000003"/>
  </r>
  <r>
    <x v="5"/>
    <x v="10"/>
    <d v="2021-07-12T00:00:00"/>
    <n v="75.16"/>
    <n v="74.099999999999994"/>
    <n v="2.1497999999999999"/>
    <n v="2.2772000000000001"/>
    <n v="3.7490000000000001"/>
    <n v="5.173"/>
  </r>
  <r>
    <x v="5"/>
    <x v="10"/>
    <d v="2021-07-09T00:00:00"/>
    <n v="75.55"/>
    <n v="74.56"/>
    <n v="2.1551999999999998"/>
    <n v="2.2919999999999998"/>
    <n v="3.6739999999999999"/>
    <n v="5.2579000000000002"/>
  </r>
  <r>
    <x v="5"/>
    <x v="10"/>
    <d v="2021-07-08T00:00:00"/>
    <n v="74.12"/>
    <n v="72.94"/>
    <n v="2.1204000000000001"/>
    <n v="2.2551999999999999"/>
    <n v="3.6880000000000002"/>
    <n v="5.2579000000000002"/>
  </r>
  <r>
    <x v="5"/>
    <x v="10"/>
    <d v="2021-07-07T00:00:00"/>
    <n v="73.430000000000007"/>
    <n v="72.2"/>
    <n v="2.0891000000000002"/>
    <n v="2.206"/>
    <n v="3.5960000000000001"/>
    <n v="5.2314999999999996"/>
  </r>
  <r>
    <x v="5"/>
    <x v="10"/>
    <d v="2021-07-06T00:00:00"/>
    <n v="74.53"/>
    <n v="73.37"/>
    <n v="2.1049000000000002"/>
    <n v="2.2282000000000002"/>
    <n v="3.637"/>
    <n v="5.1969000000000003"/>
  </r>
  <r>
    <x v="5"/>
    <x v="10"/>
    <d v="2021-07-05T00:00:00"/>
    <n v="77.16"/>
    <m/>
    <m/>
    <m/>
    <m/>
    <n v="5.0910000000000002"/>
  </r>
  <r>
    <x v="5"/>
    <x v="10"/>
    <d v="2021-07-02T00:00:00"/>
    <n v="76.17"/>
    <n v="75.16"/>
    <n v="2.1791"/>
    <n v="2.2997999999999998"/>
    <n v="3.7"/>
    <n v="5.0575000000000001"/>
  </r>
  <r>
    <x v="5"/>
    <x v="10"/>
    <d v="2021-07-01T00:00:00"/>
    <n v="75.84"/>
    <n v="75.23"/>
    <n v="2.1562000000000001"/>
    <n v="2.2675999999999998"/>
    <n v="3.661"/>
    <n v="5.0476000000000001"/>
  </r>
  <r>
    <x v="5"/>
    <x v="11"/>
    <d v="2021-06-30T00:00:00"/>
    <n v="75.13"/>
    <n v="73.47"/>
    <n v="2.1286999999999998"/>
    <n v="2.2444000000000002"/>
    <n v="3.65"/>
    <n v="4.9686000000000003"/>
  </r>
  <r>
    <x v="5"/>
    <x v="11"/>
    <d v="2021-06-29T00:00:00"/>
    <n v="74.760000000000005"/>
    <n v="72.98"/>
    <n v="2.1219000000000001"/>
    <n v="2.2389999999999999"/>
    <n v="3.63"/>
    <n v="4.9558999999999997"/>
  </r>
  <r>
    <x v="5"/>
    <x v="11"/>
    <d v="2021-06-28T00:00:00"/>
    <n v="74.680000000000007"/>
    <n v="72.91"/>
    <n v="2.1181999999999999"/>
    <n v="2.2166000000000001"/>
    <n v="3.617"/>
    <n v="4.9244000000000003"/>
  </r>
  <r>
    <x v="5"/>
    <x v="11"/>
    <d v="2021-06-25T00:00:00"/>
    <n v="76.180000000000007"/>
    <n v="74.05"/>
    <n v="2.1493000000000002"/>
    <n v="2.2639"/>
    <n v="3.496"/>
    <n v="4.9335000000000004"/>
  </r>
  <r>
    <x v="5"/>
    <x v="11"/>
    <d v="2021-06-24T00:00:00"/>
    <n v="75.56"/>
    <n v="73.3"/>
    <n v="2.1623000000000001"/>
    <n v="2.2808999999999999"/>
    <n v="3.4180000000000001"/>
    <n v="4.9137000000000004"/>
  </r>
  <r>
    <x v="5"/>
    <x v="11"/>
    <d v="2021-06-23T00:00:00"/>
    <n v="75.19"/>
    <n v="73.08"/>
    <n v="2.1594000000000002"/>
    <n v="2.2669000000000001"/>
    <n v="3.3330000000000002"/>
    <n v="4.9667000000000003"/>
  </r>
  <r>
    <x v="5"/>
    <x v="11"/>
    <d v="2021-06-22T00:00:00"/>
    <n v="74.81"/>
    <n v="73.06"/>
    <n v="2.1509999999999998"/>
    <n v="2.2242999999999999"/>
    <n v="3.258"/>
    <n v="4.9573999999999998"/>
  </r>
  <r>
    <x v="5"/>
    <x v="11"/>
    <d v="2021-06-21T00:00:00"/>
    <n v="74.900000000000006"/>
    <n v="73.66"/>
    <n v="2.1267999999999998"/>
    <n v="2.1968999999999999"/>
    <n v="3.1909999999999998"/>
    <n v="5.0129999999999999"/>
  </r>
  <r>
    <x v="5"/>
    <x v="11"/>
    <d v="2021-06-18T00:00:00"/>
    <n v="73.510000000000005"/>
    <n v="71.64"/>
    <n v="2.0931999999999999"/>
    <n v="2.1682999999999999"/>
    <n v="3.2149999999999999"/>
    <n v="5.0894000000000004"/>
  </r>
  <r>
    <x v="5"/>
    <x v="11"/>
    <d v="2021-06-17T00:00:00"/>
    <n v="73.08"/>
    <n v="71.040000000000006"/>
    <n v="2.0668000000000002"/>
    <n v="2.1341999999999999"/>
    <n v="3.2530000000000001"/>
    <n v="5.0058999999999996"/>
  </r>
  <r>
    <x v="5"/>
    <x v="11"/>
    <d v="2021-06-16T00:00:00"/>
    <n v="74.39"/>
    <n v="72.150000000000006"/>
    <n v="2.1034000000000002"/>
    <n v="2.1562000000000001"/>
    <n v="3.2509999999999999"/>
    <n v="5.0545"/>
  </r>
  <r>
    <x v="5"/>
    <x v="11"/>
    <d v="2021-06-15T00:00:00"/>
    <n v="73.989999999999995"/>
    <n v="72.12"/>
    <n v="2.1122999999999998"/>
    <n v="2.1705000000000001"/>
    <n v="3.24"/>
    <n v="5.0437000000000003"/>
  </r>
  <r>
    <x v="5"/>
    <x v="11"/>
    <d v="2021-06-14T00:00:00"/>
    <n v="72.86"/>
    <n v="70.88"/>
    <n v="2.1116000000000001"/>
    <n v="2.1711999999999998"/>
    <n v="3.3519999999999999"/>
    <n v="5.0601000000000003"/>
  </r>
  <r>
    <x v="5"/>
    <x v="11"/>
    <d v="2021-06-11T00:00:00"/>
    <n v="72.69"/>
    <n v="70.91"/>
    <n v="2.1206999999999998"/>
    <n v="2.1861000000000002"/>
    <n v="3.2959999999999998"/>
    <n v="5.1170999999999998"/>
  </r>
  <r>
    <x v="5"/>
    <x v="11"/>
    <d v="2021-06-10T00:00:00"/>
    <n v="72.52"/>
    <n v="70.290000000000006"/>
    <n v="2.1434000000000002"/>
    <n v="2.2122000000000002"/>
    <n v="3.149"/>
    <n v="5.0552000000000001"/>
  </r>
  <r>
    <x v="5"/>
    <x v="11"/>
    <d v="2021-06-09T00:00:00"/>
    <n v="72.22"/>
    <n v="69.959999999999994"/>
    <n v="2.1295000000000002"/>
    <n v="2.2025000000000001"/>
    <n v="3.129"/>
    <n v="5.0621"/>
  </r>
  <r>
    <x v="5"/>
    <x v="11"/>
    <d v="2021-06-08T00:00:00"/>
    <n v="72.22"/>
    <n v="70.05"/>
    <n v="2.1349999999999998"/>
    <n v="2.2189999999999999"/>
    <n v="3.1280000000000001"/>
    <n v="5.0324999999999998"/>
  </r>
  <r>
    <x v="5"/>
    <x v="11"/>
    <d v="2021-06-07T00:00:00"/>
    <n v="71.489999999999995"/>
    <n v="69.23"/>
    <n v="2.1156000000000001"/>
    <n v="2.1930999999999998"/>
    <n v="3.07"/>
    <n v="5.0450999999999997"/>
  </r>
  <r>
    <x v="5"/>
    <x v="11"/>
    <d v="2021-06-04T00:00:00"/>
    <n v="71.89"/>
    <n v="69.62"/>
    <n v="2.1198999999999999"/>
    <n v="2.2115"/>
    <n v="3.097"/>
    <n v="5.0495000000000001"/>
  </r>
  <r>
    <x v="5"/>
    <x v="11"/>
    <d v="2021-06-03T00:00:00"/>
    <n v="71.31"/>
    <n v="68.81"/>
    <n v="2.1017000000000001"/>
    <n v="2.2018"/>
    <n v="3.0409999999999999"/>
    <n v="5.0774999999999997"/>
  </r>
  <r>
    <x v="5"/>
    <x v="11"/>
    <d v="2021-06-02T00:00:00"/>
    <n v="71.349999999999994"/>
    <n v="68.83"/>
    <n v="2.1071"/>
    <n v="2.1941000000000002"/>
    <n v="3.0750000000000002"/>
    <n v="5.0754000000000001"/>
  </r>
  <r>
    <x v="5"/>
    <x v="11"/>
    <d v="2021-06-01T00:00:00"/>
    <n v="70.25"/>
    <n v="67.72"/>
    <n v="2.0714999999999999"/>
    <n v="2.1703999999999999"/>
    <n v="3.1040000000000001"/>
    <n v="5.1509"/>
  </r>
  <r>
    <x v="5"/>
    <x v="0"/>
    <d v="2021-05-31T00:00:00"/>
    <n v="69.319999999999993"/>
    <m/>
    <m/>
    <m/>
    <m/>
    <n v="5.2172000000000001"/>
  </r>
  <r>
    <x v="5"/>
    <x v="0"/>
    <d v="2021-05-28T00:00:00"/>
    <n v="69.63"/>
    <n v="66.319999999999993"/>
    <n v="2.0445000000000002"/>
    <n v="2.1402000000000001"/>
    <n v="2.9860000000000002"/>
    <n v="5.2244000000000002"/>
  </r>
  <r>
    <x v="5"/>
    <x v="0"/>
    <d v="2021-05-27T00:00:00"/>
    <n v="69.459999999999994"/>
    <n v="66.849999999999994"/>
    <n v="2.0564"/>
    <n v="2.1518000000000002"/>
    <n v="2.9580000000000002"/>
    <n v="5.2382999999999997"/>
  </r>
  <r>
    <x v="5"/>
    <x v="0"/>
    <d v="2021-05-26T00:00:00"/>
    <n v="68.87"/>
    <n v="66.209999999999994"/>
    <n v="2.0451999999999999"/>
    <n v="2.1501000000000001"/>
    <n v="2.984"/>
    <n v="5.3114999999999997"/>
  </r>
  <r>
    <x v="5"/>
    <x v="0"/>
    <d v="2021-05-25T00:00:00"/>
    <n v="68.650000000000006"/>
    <n v="66.069999999999993"/>
    <n v="2.0354000000000001"/>
    <n v="2.1173000000000002"/>
    <n v="2.9129999999999998"/>
    <n v="5.3311999999999999"/>
  </r>
  <r>
    <x v="5"/>
    <x v="0"/>
    <d v="2021-05-24T00:00:00"/>
    <n v="68.459999999999994"/>
    <n v="66.05"/>
    <n v="2.0419999999999998"/>
    <n v="2.1177000000000001"/>
    <n v="2.8860000000000001"/>
    <n v="5.3174999999999999"/>
  </r>
  <r>
    <x v="5"/>
    <x v="0"/>
    <d v="2021-05-21T00:00:00"/>
    <n v="66.44"/>
    <n v="63.58"/>
    <n v="1.9882"/>
    <n v="2.0684999999999998"/>
    <n v="2.9060000000000001"/>
    <n v="5.3616999999999999"/>
  </r>
  <r>
    <x v="5"/>
    <x v="0"/>
    <d v="2021-05-20T00:00:00"/>
    <n v="65.11"/>
    <n v="62.05"/>
    <n v="1.9643999999999999"/>
    <n v="2.0472000000000001"/>
    <n v="2.9249999999999998"/>
    <n v="5.2824999999999998"/>
  </r>
  <r>
    <x v="5"/>
    <x v="0"/>
    <d v="2021-05-19T00:00:00"/>
    <n v="66.66"/>
    <n v="63.36"/>
    <n v="2.0070999999999999"/>
    <n v="2.1019999999999999"/>
    <n v="2.964"/>
    <n v="5.3094000000000001"/>
  </r>
  <r>
    <x v="5"/>
    <x v="0"/>
    <d v="2021-05-18T00:00:00"/>
    <n v="68.709999999999994"/>
    <n v="65.489999999999995"/>
    <n v="2.0564"/>
    <n v="2.1608999999999998"/>
    <n v="3.012"/>
    <n v="5.2605000000000004"/>
  </r>
  <r>
    <x v="5"/>
    <x v="0"/>
    <d v="2021-05-17T00:00:00"/>
    <n v="69.459999999999994"/>
    <n v="66.27"/>
    <n v="2.0604"/>
    <n v="2.1583000000000001"/>
    <n v="3.109"/>
    <n v="5.2728999999999999"/>
  </r>
  <r>
    <x v="5"/>
    <x v="0"/>
    <d v="2021-05-14T00:00:00"/>
    <n v="68.709999999999994"/>
    <n v="65.37"/>
    <n v="2.0362"/>
    <n v="2.1265999999999998"/>
    <n v="2.9609999999999999"/>
    <n v="5.2728000000000002"/>
  </r>
  <r>
    <x v="5"/>
    <x v="0"/>
    <d v="2021-05-13T00:00:00"/>
    <n v="67.05"/>
    <n v="63.82"/>
    <n v="2.0009000000000001"/>
    <n v="2.0952999999999999"/>
    <n v="2.9729999999999999"/>
    <n v="5.3090000000000002"/>
  </r>
  <r>
    <x v="5"/>
    <x v="0"/>
    <d v="2021-05-12T00:00:00"/>
    <n v="69.319999999999993"/>
    <n v="66.08"/>
    <n v="2.0695000000000001"/>
    <n v="2.161"/>
    <n v="2.9689999999999999"/>
    <n v="5.3060999999999998"/>
  </r>
  <r>
    <x v="5"/>
    <x v="0"/>
    <d v="2021-05-11T00:00:00"/>
    <n v="68.55"/>
    <n v="65.28"/>
    <n v="2.0417000000000001"/>
    <n v="2.1398999999999999"/>
    <n v="2.9550000000000001"/>
    <n v="5.2207999999999997"/>
  </r>
  <r>
    <x v="5"/>
    <x v="0"/>
    <d v="2021-05-10T00:00:00"/>
    <n v="68.319999999999993"/>
    <n v="64.92"/>
    <n v="2.0165999999999999"/>
    <n v="2.1334"/>
    <n v="2.9319999999999999"/>
    <n v="5.2271999999999998"/>
  </r>
  <r>
    <x v="5"/>
    <x v="0"/>
    <d v="2021-05-07T00:00:00"/>
    <n v="68.28"/>
    <n v="64.900000000000006"/>
    <n v="2.0106000000000002"/>
    <n v="2.1269"/>
    <n v="2.9580000000000002"/>
    <n v="5.2367999999999997"/>
  </r>
  <r>
    <x v="5"/>
    <x v="0"/>
    <d v="2021-05-06T00:00:00"/>
    <n v="68.09"/>
    <n v="64.709999999999994"/>
    <n v="1.9895"/>
    <n v="2.1137000000000001"/>
    <n v="2.9279999999999999"/>
    <n v="5.2759999999999998"/>
  </r>
  <r>
    <x v="5"/>
    <x v="0"/>
    <d v="2021-05-05T00:00:00"/>
    <n v="68.959999999999994"/>
    <n v="65.63"/>
    <n v="2.0024999999999999"/>
    <n v="2.1513"/>
    <n v="2.9380000000000002"/>
    <n v="5.3541999999999996"/>
  </r>
  <r>
    <x v="5"/>
    <x v="0"/>
    <d v="2021-05-04T00:00:00"/>
    <n v="68.88"/>
    <n v="65.69"/>
    <n v="1.9987999999999999"/>
    <n v="2.1511999999999998"/>
    <n v="2.9670000000000001"/>
    <n v="5.4435000000000002"/>
  </r>
  <r>
    <x v="5"/>
    <x v="0"/>
    <d v="2021-05-03T00:00:00"/>
    <n v="67.56"/>
    <n v="64.489999999999995"/>
    <n v="1.9519"/>
    <n v="2.1015000000000001"/>
    <n v="2.9660000000000002"/>
    <n v="5.4420000000000002"/>
  </r>
  <r>
    <x v="5"/>
    <x v="1"/>
    <d v="2021-04-30T00:00:00"/>
    <n v="67.25"/>
    <n v="63.58"/>
    <n v="1.9211"/>
    <n v="2.0697999999999999"/>
    <n v="2.931"/>
    <n v="5.4366000000000003"/>
  </r>
  <r>
    <x v="5"/>
    <x v="1"/>
    <d v="2021-04-29T00:00:00"/>
    <n v="68.56"/>
    <n v="65.010000000000005"/>
    <n v="1.9614"/>
    <n v="2.0998999999999999"/>
    <n v="2.911"/>
    <n v="5.3375000000000004"/>
  </r>
  <r>
    <x v="5"/>
    <x v="1"/>
    <d v="2021-04-28T00:00:00"/>
    <n v="67.27"/>
    <n v="63.86"/>
    <n v="1.9386000000000001"/>
    <n v="2.0722"/>
    <n v="2.9249999999999998"/>
    <n v="5.343"/>
  </r>
  <r>
    <x v="5"/>
    <x v="1"/>
    <d v="2021-04-27T00:00:00"/>
    <n v="66.42"/>
    <n v="62.94"/>
    <n v="1.9056999999999999"/>
    <n v="2.0204"/>
    <n v="2.8730000000000002"/>
    <n v="5.4489999999999998"/>
  </r>
  <r>
    <x v="5"/>
    <x v="1"/>
    <d v="2021-04-26T00:00:00"/>
    <n v="65.650000000000006"/>
    <n v="61.91"/>
    <n v="1.8785000000000001"/>
    <n v="1.9785999999999999"/>
    <n v="2.79"/>
    <n v="5.4363999999999999"/>
  </r>
  <r>
    <x v="5"/>
    <x v="1"/>
    <d v="2021-04-23T00:00:00"/>
    <n v="66.11"/>
    <n v="62.14"/>
    <n v="1.8734999999999999"/>
    <n v="1.9957"/>
    <n v="2.73"/>
    <n v="5.4751000000000003"/>
  </r>
  <r>
    <x v="5"/>
    <x v="1"/>
    <d v="2021-04-22T00:00:00"/>
    <n v="65.400000000000006"/>
    <n v="61.43"/>
    <n v="1.8608"/>
    <n v="1.9746999999999999"/>
    <n v="2.7490000000000001"/>
    <n v="5.4447999999999999"/>
  </r>
  <r>
    <x v="5"/>
    <x v="1"/>
    <d v="2021-04-21T00:00:00"/>
    <n v="65.319999999999993"/>
    <n v="61.35"/>
    <n v="1.8536999999999999"/>
    <n v="1.9834000000000001"/>
    <n v="2.6920000000000002"/>
    <n v="5.569"/>
  </r>
  <r>
    <x v="5"/>
    <x v="1"/>
    <d v="2021-04-20T00:00:00"/>
    <n v="66.569999999999993"/>
    <n v="62.44"/>
    <n v="1.8801000000000001"/>
    <n v="2.0173999999999999"/>
    <n v="2.7269999999999999"/>
    <n v="5.5686999999999998"/>
  </r>
  <r>
    <x v="5"/>
    <x v="1"/>
    <d v="2021-04-19T00:00:00"/>
    <n v="67.05"/>
    <n v="63.38"/>
    <n v="1.8925000000000001"/>
    <n v="2.0445000000000002"/>
    <n v="2.7490000000000001"/>
    <n v="5.5461"/>
  </r>
  <r>
    <x v="5"/>
    <x v="1"/>
    <d v="2021-04-16T00:00:00"/>
    <n v="66.77"/>
    <n v="63.13"/>
    <n v="1.8956999999999999"/>
    <n v="2.0398999999999998"/>
    <n v="2.68"/>
    <n v="5.5883000000000003"/>
  </r>
  <r>
    <x v="5"/>
    <x v="1"/>
    <d v="2021-04-15T00:00:00"/>
    <n v="66.94"/>
    <n v="63.46"/>
    <n v="1.8989"/>
    <n v="2.0518000000000001"/>
    <n v="2.6579999999999999"/>
    <n v="5.6162000000000001"/>
  </r>
  <r>
    <x v="5"/>
    <x v="1"/>
    <d v="2021-04-14T00:00:00"/>
    <n v="66.58"/>
    <n v="63.15"/>
    <n v="1.89"/>
    <n v="2.0354999999999999"/>
    <n v="2.6179999999999999"/>
    <n v="5.6525999999999996"/>
  </r>
  <r>
    <x v="5"/>
    <x v="1"/>
    <d v="2021-04-13T00:00:00"/>
    <n v="63.67"/>
    <n v="60.18"/>
    <n v="1.8145"/>
    <n v="1.9757"/>
    <n v="2.6190000000000002"/>
    <n v="5.7165999999999997"/>
  </r>
  <r>
    <x v="5"/>
    <x v="1"/>
    <d v="2021-04-12T00:00:00"/>
    <n v="63.28"/>
    <n v="59.7"/>
    <n v="1.8080000000000001"/>
    <n v="1.97"/>
    <n v="2.5609999999999999"/>
    <n v="5.7332999999999998"/>
  </r>
  <r>
    <x v="5"/>
    <x v="1"/>
    <d v="2021-04-09T00:00:00"/>
    <n v="62.95"/>
    <n v="59.32"/>
    <n v="1.8076000000000001"/>
    <n v="1.9621"/>
    <n v="2.5259999999999998"/>
    <n v="5.6821000000000002"/>
  </r>
  <r>
    <x v="5"/>
    <x v="1"/>
    <d v="2021-04-08T00:00:00"/>
    <n v="63.2"/>
    <n v="59.6"/>
    <n v="1.8098000000000001"/>
    <n v="1.9593"/>
    <n v="2.5219999999999998"/>
    <n v="5.5720000000000001"/>
  </r>
  <r>
    <x v="5"/>
    <x v="1"/>
    <d v="2021-04-07T00:00:00"/>
    <n v="63.16"/>
    <n v="59.77"/>
    <n v="1.8079000000000001"/>
    <n v="1.9518"/>
    <n v="2.52"/>
    <n v="5.6143000000000001"/>
  </r>
  <r>
    <x v="5"/>
    <x v="1"/>
    <d v="2021-04-06T00:00:00"/>
    <n v="62.74"/>
    <n v="59.33"/>
    <n v="1.7941"/>
    <n v="1.9662999999999999"/>
    <n v="2.456"/>
    <n v="5.5903999999999998"/>
  </r>
  <r>
    <x v="5"/>
    <x v="1"/>
    <d v="2021-04-05T00:00:00"/>
    <n v="62.15"/>
    <n v="58.65"/>
    <n v="1.7724"/>
    <n v="1.9611000000000001"/>
    <n v="2.5110000000000001"/>
    <n v="5.6631999999999998"/>
  </r>
  <r>
    <x v="5"/>
    <x v="1"/>
    <d v="2021-04-02T00:00:00"/>
    <m/>
    <m/>
    <m/>
    <m/>
    <m/>
    <n v="5.7074999999999996"/>
  </r>
  <r>
    <x v="5"/>
    <x v="1"/>
    <d v="2021-04-01T00:00:00"/>
    <n v="64.86"/>
    <n v="61.45"/>
    <n v="1.8315999999999999"/>
    <n v="2.0223"/>
    <n v="2.6389999999999998"/>
    <n v="5.7070999999999996"/>
  </r>
  <r>
    <x v="5"/>
    <x v="2"/>
    <d v="2021-03-31T00:00:00"/>
    <n v="63.54"/>
    <n v="59.16"/>
    <n v="1.7713000000000001"/>
    <n v="1.9533"/>
    <n v="2.6080000000000001"/>
    <n v="5.6315"/>
  </r>
  <r>
    <x v="5"/>
    <x v="2"/>
    <d v="2021-03-30T00:00:00"/>
    <n v="64.14"/>
    <n v="60.55"/>
    <n v="1.7891999999999999"/>
    <n v="1.9890000000000001"/>
    <n v="2.6230000000000002"/>
    <n v="5.7744999999999997"/>
  </r>
  <r>
    <x v="5"/>
    <x v="2"/>
    <d v="2021-03-29T00:00:00"/>
    <n v="64.98"/>
    <n v="61.56"/>
    <n v="1.8098000000000001"/>
    <n v="1.9952000000000001"/>
    <n v="2.5859999999999999"/>
    <n v="5.7798999999999996"/>
  </r>
  <r>
    <x v="5"/>
    <x v="2"/>
    <d v="2021-03-26T00:00:00"/>
    <n v="64.569999999999993"/>
    <n v="60.97"/>
    <n v="1.81"/>
    <n v="1.9673"/>
    <n v="2.5569999999999999"/>
    <n v="5.7565999999999997"/>
  </r>
  <r>
    <x v="5"/>
    <x v="2"/>
    <d v="2021-03-25T00:00:00"/>
    <n v="61.95"/>
    <n v="58.56"/>
    <n v="1.7478"/>
    <n v="1.9209000000000001"/>
    <n v="2.57"/>
    <n v="5.6475"/>
  </r>
  <r>
    <x v="5"/>
    <x v="2"/>
    <d v="2021-03-24T00:00:00"/>
    <n v="64.41"/>
    <n v="61.18"/>
    <n v="1.8255999999999999"/>
    <n v="1.9890000000000001"/>
    <n v="2.5179999999999998"/>
    <n v="5.6208999999999998"/>
  </r>
  <r>
    <x v="5"/>
    <x v="2"/>
    <d v="2021-03-23T00:00:00"/>
    <n v="60.79"/>
    <n v="57.76"/>
    <n v="1.7488999999999999"/>
    <n v="1.8964000000000001"/>
    <n v="2.508"/>
    <n v="5.5213999999999999"/>
  </r>
  <r>
    <x v="5"/>
    <x v="2"/>
    <d v="2021-03-22T00:00:00"/>
    <n v="64.62"/>
    <n v="61.55"/>
    <n v="1.8292999999999999"/>
    <n v="1.9598"/>
    <n v="2.5819999999999999"/>
    <n v="5.5045000000000002"/>
  </r>
  <r>
    <x v="5"/>
    <x v="2"/>
    <d v="2021-03-19T00:00:00"/>
    <n v="64.53"/>
    <n v="61.42"/>
    <n v="1.8223"/>
    <n v="1.9431"/>
    <n v="2.5350000000000001"/>
    <n v="5.4916999999999998"/>
  </r>
  <r>
    <x v="5"/>
    <x v="2"/>
    <d v="2021-03-18T00:00:00"/>
    <n v="63.28"/>
    <n v="60"/>
    <n v="1.7842"/>
    <n v="1.9440999999999999"/>
    <n v="2.4809999999999999"/>
    <n v="5.5603999999999996"/>
  </r>
  <r>
    <x v="5"/>
    <x v="2"/>
    <d v="2021-03-17T00:00:00"/>
    <n v="68"/>
    <n v="64.599999999999994"/>
    <n v="1.9060999999999999"/>
    <n v="2.0470999999999999"/>
    <n v="2.528"/>
    <n v="5.5831999999999997"/>
  </r>
  <r>
    <x v="5"/>
    <x v="2"/>
    <d v="2021-03-16T00:00:00"/>
    <n v="68.39"/>
    <n v="64.8"/>
    <n v="1.9327000000000001"/>
    <n v="2.1012"/>
    <n v="2.5619999999999998"/>
    <n v="5.6246"/>
  </r>
  <r>
    <x v="5"/>
    <x v="2"/>
    <d v="2021-03-15T00:00:00"/>
    <n v="68.88"/>
    <n v="65.39"/>
    <n v="1.9489000000000001"/>
    <n v="2.1046"/>
    <n v="2.484"/>
    <n v="5.6155999999999997"/>
  </r>
  <r>
    <x v="5"/>
    <x v="2"/>
    <d v="2021-03-12T00:00:00"/>
    <n v="69.22"/>
    <n v="65.61"/>
    <n v="1.9675"/>
    <n v="2.15"/>
    <n v="2.6"/>
    <n v="5.5518000000000001"/>
  </r>
  <r>
    <x v="5"/>
    <x v="2"/>
    <d v="2021-03-11T00:00:00"/>
    <n v="69.63"/>
    <n v="66.02"/>
    <n v="1.9594"/>
    <n v="2.1379999999999999"/>
    <n v="2.6680000000000001"/>
    <n v="5.5357000000000003"/>
  </r>
  <r>
    <x v="5"/>
    <x v="2"/>
    <d v="2021-03-10T00:00:00"/>
    <n v="67.900000000000006"/>
    <n v="64.44"/>
    <n v="1.9173"/>
    <n v="2.0794999999999999"/>
    <n v="2.6920000000000002"/>
    <n v="5.6719999999999997"/>
  </r>
  <r>
    <x v="5"/>
    <x v="2"/>
    <d v="2021-03-09T00:00:00"/>
    <n v="67.52"/>
    <n v="64.010000000000005"/>
    <n v="1.9073"/>
    <n v="2.0501999999999998"/>
    <n v="2.6619999999999999"/>
    <n v="5.8025000000000002"/>
  </r>
  <r>
    <x v="5"/>
    <x v="2"/>
    <d v="2021-03-08T00:00:00"/>
    <n v="68.239999999999995"/>
    <n v="65.05"/>
    <n v="1.9085000000000001"/>
    <n v="2.0487000000000002"/>
    <n v="2.6640000000000001"/>
    <n v="5.8754999999999997"/>
  </r>
  <r>
    <x v="5"/>
    <x v="2"/>
    <d v="2021-03-05T00:00:00"/>
    <n v="69.36"/>
    <n v="66.09"/>
    <n v="1.944"/>
    <n v="2.0647000000000002"/>
    <n v="2.7010000000000001"/>
    <n v="5.6908000000000003"/>
  </r>
  <r>
    <x v="5"/>
    <x v="2"/>
    <d v="2021-03-04T00:00:00"/>
    <n v="66.739999999999995"/>
    <n v="63.83"/>
    <n v="1.8959999999999999"/>
    <n v="1.9979"/>
    <n v="2.746"/>
    <n v="5.6692999999999998"/>
  </r>
  <r>
    <x v="5"/>
    <x v="2"/>
    <d v="2021-03-03T00:00:00"/>
    <n v="64.069999999999993"/>
    <n v="61.28"/>
    <n v="1.8357000000000001"/>
    <n v="1.9518"/>
    <n v="2.8159999999999998"/>
    <n v="5.6193"/>
  </r>
  <r>
    <x v="5"/>
    <x v="2"/>
    <d v="2021-03-02T00:00:00"/>
    <n v="62.7"/>
    <n v="59.75"/>
    <n v="1.8081"/>
    <n v="1.9363999999999999"/>
    <n v="2.839"/>
    <n v="5.6760999999999999"/>
  </r>
  <r>
    <x v="5"/>
    <x v="2"/>
    <d v="2021-03-01T00:00:00"/>
    <n v="63.69"/>
    <n v="60.64"/>
    <n v="1.8191999999999999"/>
    <n v="1.9429000000000001"/>
    <n v="2.7770000000000001"/>
    <n v="5.6417999999999999"/>
  </r>
  <r>
    <x v="5"/>
    <x v="3"/>
    <d v="2021-02-26T00:00:00"/>
    <n v="66.13"/>
    <n v="61.5"/>
    <n v="1.8565"/>
    <n v="1.877"/>
    <n v="2.7709999999999999"/>
    <n v="5.5986000000000002"/>
  </r>
  <r>
    <x v="5"/>
    <x v="3"/>
    <d v="2021-02-25T00:00:00"/>
    <n v="66.88"/>
    <n v="63.53"/>
    <n v="1.9066000000000001"/>
    <n v="1.8923000000000001"/>
    <n v="2.7770000000000001"/>
    <n v="5.5308000000000002"/>
  </r>
  <r>
    <x v="5"/>
    <x v="3"/>
    <d v="2021-02-24T00:00:00"/>
    <n v="67.040000000000006"/>
    <n v="63.22"/>
    <n v="1.9083000000000001"/>
    <n v="1.8956"/>
    <n v="2.8540000000000001"/>
    <n v="5.4062000000000001"/>
  </r>
  <r>
    <x v="5"/>
    <x v="3"/>
    <d v="2021-02-23T00:00:00"/>
    <n v="65.37"/>
    <n v="61.67"/>
    <n v="1.8680000000000001"/>
    <n v="1.8586"/>
    <n v="2.879"/>
    <n v="5.4409000000000001"/>
  </r>
  <r>
    <x v="5"/>
    <x v="3"/>
    <d v="2021-02-22T00:00:00"/>
    <n v="65.239999999999995"/>
    <n v="61.49"/>
    <n v="1.8586"/>
    <n v="1.8416999999999999"/>
    <n v="2.9529999999999998"/>
    <n v="5.4659000000000004"/>
  </r>
  <r>
    <x v="5"/>
    <x v="3"/>
    <d v="2021-02-19T00:00:00"/>
    <n v="62.91"/>
    <n v="59.24"/>
    <n v="1.8229"/>
    <n v="1.8069"/>
    <n v="3.069"/>
    <n v="5.3822999999999999"/>
  </r>
  <r>
    <x v="5"/>
    <x v="3"/>
    <d v="2021-02-18T00:00:00"/>
    <n v="63.93"/>
    <n v="60.52"/>
    <n v="1.8364"/>
    <n v="1.7943"/>
    <n v="3.0819999999999999"/>
    <n v="5.4269999999999996"/>
  </r>
  <r>
    <x v="5"/>
    <x v="3"/>
    <d v="2021-02-17T00:00:00"/>
    <n v="64.34"/>
    <n v="61.14"/>
    <n v="1.8376999999999999"/>
    <n v="1.8105"/>
    <n v="3.2189999999999999"/>
    <n v="5.4104999999999999"/>
  </r>
  <r>
    <x v="5"/>
    <x v="3"/>
    <d v="2021-02-16T00:00:00"/>
    <n v="63.35"/>
    <n v="60.05"/>
    <n v="1.8144"/>
    <n v="1.7728999999999999"/>
    <n v="3.129"/>
    <n v="5.3695000000000004"/>
  </r>
  <r>
    <x v="5"/>
    <x v="3"/>
    <d v="2021-02-15T00:00:00"/>
    <n v="63.3"/>
    <m/>
    <m/>
    <m/>
    <m/>
    <n v="5.3697999999999997"/>
  </r>
  <r>
    <x v="5"/>
    <x v="3"/>
    <d v="2021-02-12T00:00:00"/>
    <n v="62.43"/>
    <n v="59.47"/>
    <n v="1.7714000000000001"/>
    <n v="1.6924999999999999"/>
    <n v="2.9119999999999999"/>
    <n v="5.3697999999999997"/>
  </r>
  <r>
    <x v="5"/>
    <x v="3"/>
    <d v="2021-02-11T00:00:00"/>
    <n v="61.14"/>
    <n v="58.24"/>
    <n v="1.7445999999999999"/>
    <n v="1.6501999999999999"/>
    <n v="2.8679999999999999"/>
    <n v="5.3665000000000003"/>
  </r>
  <r>
    <x v="5"/>
    <x v="3"/>
    <d v="2021-02-10T00:00:00"/>
    <n v="61.47"/>
    <n v="58.68"/>
    <n v="1.7609999999999999"/>
    <n v="1.6534"/>
    <n v="2.911"/>
    <n v="5.3860000000000001"/>
  </r>
  <r>
    <x v="5"/>
    <x v="3"/>
    <d v="2021-02-09T00:00:00"/>
    <n v="61.09"/>
    <n v="58.36"/>
    <n v="1.7566999999999999"/>
    <n v="1.6736"/>
    <n v="2.835"/>
    <n v="5.3780999999999999"/>
  </r>
  <r>
    <x v="5"/>
    <x v="3"/>
    <d v="2021-02-08T00:00:00"/>
    <n v="60.56"/>
    <n v="57.97"/>
    <n v="1.7478"/>
    <n v="1.6748000000000001"/>
    <n v="2.8820000000000001"/>
    <n v="5.3657000000000004"/>
  </r>
  <r>
    <x v="5"/>
    <x v="3"/>
    <d v="2021-02-05T00:00:00"/>
    <n v="59.34"/>
    <n v="56.85"/>
    <n v="1.7137"/>
    <n v="1.6493"/>
    <n v="2.863"/>
    <n v="5.3704000000000001"/>
  </r>
  <r>
    <x v="5"/>
    <x v="3"/>
    <d v="2021-02-04T00:00:00"/>
    <n v="58.84"/>
    <n v="56.23"/>
    <n v="1.7004999999999999"/>
    <n v="1.6448"/>
    <n v="2.9350000000000001"/>
    <n v="5.4265999999999996"/>
  </r>
  <r>
    <x v="5"/>
    <x v="3"/>
    <d v="2021-02-03T00:00:00"/>
    <n v="58.46"/>
    <n v="55.69"/>
    <n v="1.6904999999999999"/>
    <n v="1.6486000000000001"/>
    <n v="2.7890000000000001"/>
    <n v="5.3533999999999997"/>
  </r>
  <r>
    <x v="5"/>
    <x v="3"/>
    <d v="2021-02-02T00:00:00"/>
    <n v="57.46"/>
    <n v="54.76"/>
    <n v="1.6746000000000001"/>
    <n v="1.6160000000000001"/>
    <n v="2.8450000000000002"/>
    <n v="5.3680000000000003"/>
  </r>
  <r>
    <x v="5"/>
    <x v="3"/>
    <d v="2021-02-01T00:00:00"/>
    <n v="56.35"/>
    <n v="53.55"/>
    <n v="1.6469"/>
    <n v="1.5901000000000001"/>
    <n v="2.85"/>
    <n v="5.4321999999999999"/>
  </r>
  <r>
    <x v="5"/>
    <x v="4"/>
    <d v="2021-01-29T00:00:00"/>
    <n v="55.88"/>
    <n v="52.2"/>
    <n v="1.6004"/>
    <n v="1.5725"/>
    <n v="2.5640000000000001"/>
    <n v="5.4625000000000004"/>
  </r>
  <r>
    <x v="5"/>
    <x v="4"/>
    <d v="2021-01-28T00:00:00"/>
    <n v="55.53"/>
    <n v="52.34"/>
    <n v="1.6016999999999999"/>
    <n v="1.5829"/>
    <n v="2.6640000000000001"/>
    <n v="5.4409999999999998"/>
  </r>
  <r>
    <x v="5"/>
    <x v="4"/>
    <d v="2021-01-27T00:00:00"/>
    <n v="55.81"/>
    <n v="52.85"/>
    <n v="1.6089"/>
    <n v="1.5770999999999999"/>
    <n v="2.76"/>
    <n v="5.4138000000000002"/>
  </r>
  <r>
    <x v="5"/>
    <x v="4"/>
    <d v="2021-01-26T00:00:00"/>
    <n v="55.91"/>
    <n v="52.61"/>
    <n v="1.5984"/>
    <n v="1.5807"/>
    <n v="2.6560000000000001"/>
    <n v="5.3552"/>
  </r>
  <r>
    <x v="5"/>
    <x v="4"/>
    <d v="2021-01-25T00:00:00"/>
    <n v="55.88"/>
    <n v="52.77"/>
    <n v="1.5939000000000001"/>
    <n v="1.5610999999999999"/>
    <n v="2.6019999999999999"/>
    <n v="5.4664999999999999"/>
  </r>
  <r>
    <x v="5"/>
    <x v="4"/>
    <d v="2021-01-22T00:00:00"/>
    <n v="55.41"/>
    <n v="52.27"/>
    <n v="1.5760000000000001"/>
    <n v="1.5487"/>
    <n v="2.4460000000000002"/>
    <n v="5.4665999999999997"/>
  </r>
  <r>
    <x v="5"/>
    <x v="4"/>
    <d v="2021-01-21T00:00:00"/>
    <n v="56.1"/>
    <n v="53.13"/>
    <n v="1.6006"/>
    <n v="1.5479000000000001"/>
    <n v="2.4910000000000001"/>
    <n v="5.3506"/>
  </r>
  <r>
    <x v="5"/>
    <x v="4"/>
    <d v="2021-01-20T00:00:00"/>
    <n v="56.08"/>
    <n v="53.24"/>
    <n v="1.6004"/>
    <n v="1.5439000000000001"/>
    <n v="2.5390000000000001"/>
    <n v="5.2916999999999996"/>
  </r>
  <r>
    <x v="5"/>
    <x v="4"/>
    <d v="2021-01-19T00:00:00"/>
    <n v="55.9"/>
    <n v="52.98"/>
    <n v="1.5987"/>
    <n v="1.5381"/>
    <n v="2.5459999999999998"/>
    <n v="5.3578000000000001"/>
  </r>
  <r>
    <x v="5"/>
    <x v="4"/>
    <d v="2021-01-18T00:00:00"/>
    <n v="54.75"/>
    <m/>
    <m/>
    <m/>
    <m/>
    <n v="5.2957000000000001"/>
  </r>
  <r>
    <x v="5"/>
    <x v="4"/>
    <d v="2021-01-15T00:00:00"/>
    <n v="55.1"/>
    <n v="52.36"/>
    <n v="1.5929"/>
    <n v="1.5284"/>
    <n v="2.7370000000000001"/>
    <n v="5.2927"/>
  </r>
  <r>
    <x v="5"/>
    <x v="4"/>
    <d v="2021-01-14T00:00:00"/>
    <n v="56.42"/>
    <n v="53.57"/>
    <n v="1.6194"/>
    <n v="1.5539000000000001"/>
    <n v="2.6659999999999999"/>
    <n v="5.1966999999999999"/>
  </r>
  <r>
    <x v="5"/>
    <x v="4"/>
    <d v="2021-01-13T00:00:00"/>
    <n v="56.06"/>
    <n v="52.91"/>
    <n v="1.5989"/>
    <n v="1.5488"/>
    <n v="2.7269999999999999"/>
    <n v="5.2990000000000004"/>
  </r>
  <r>
    <x v="5"/>
    <x v="4"/>
    <d v="2021-01-12T00:00:00"/>
    <n v="56.58"/>
    <n v="53.21"/>
    <n v="1.5967"/>
    <n v="1.5529999999999999"/>
    <n v="2.7530000000000001"/>
    <n v="5.3226000000000004"/>
  </r>
  <r>
    <x v="5"/>
    <x v="4"/>
    <d v="2021-01-11T00:00:00"/>
    <n v="55.66"/>
    <n v="52.25"/>
    <n v="1.5734999999999999"/>
    <n v="1.5207999999999999"/>
    <n v="2.7469999999999999"/>
    <n v="5.4889999999999999"/>
  </r>
  <r>
    <x v="5"/>
    <x v="4"/>
    <d v="2021-01-08T00:00:00"/>
    <n v="55.99"/>
    <n v="52.24"/>
    <n v="1.5794999999999999"/>
    <n v="1.5423"/>
    <n v="2.7"/>
    <n v="5.4177999999999997"/>
  </r>
  <r>
    <x v="5"/>
    <x v="4"/>
    <d v="2021-01-07T00:00:00"/>
    <n v="54.38"/>
    <n v="50.83"/>
    <n v="1.5381"/>
    <n v="1.4826999999999999"/>
    <n v="2.7290000000000001"/>
    <n v="5.4100999999999999"/>
  </r>
  <r>
    <x v="5"/>
    <x v="4"/>
    <d v="2021-01-06T00:00:00"/>
    <n v="54.3"/>
    <n v="50.63"/>
    <n v="1.5286999999999999"/>
    <n v="1.4750000000000001"/>
    <n v="2.7160000000000002"/>
    <n v="5.3139000000000003"/>
  </r>
  <r>
    <x v="5"/>
    <x v="4"/>
    <d v="2021-01-05T00:00:00"/>
    <n v="53.6"/>
    <n v="49.93"/>
    <n v="1.5188999999999999"/>
    <n v="1.4520999999999999"/>
    <n v="2.702"/>
    <n v="5.2854000000000001"/>
  </r>
  <r>
    <x v="5"/>
    <x v="4"/>
    <d v="2021-01-04T00:00:00"/>
    <n v="51.09"/>
    <n v="47.62"/>
    <n v="1.462"/>
    <n v="1.3729"/>
    <n v="2.581"/>
    <n v="5.2968000000000002"/>
  </r>
  <r>
    <x v="5"/>
    <x v="4"/>
    <d v="2021-01-01T00:00:00"/>
    <m/>
    <m/>
    <m/>
    <m/>
    <m/>
    <n v="5.1936999999999998"/>
  </r>
  <r>
    <x v="6"/>
    <x v="5"/>
    <d v="2020-12-31T00:00:00"/>
    <n v="51.8"/>
    <n v="48.52"/>
    <n v="1.4762999999999999"/>
    <n v="1.4084000000000001"/>
    <n v="2.5390000000000001"/>
    <n v="5.1936999999999998"/>
  </r>
  <r>
    <x v="6"/>
    <x v="5"/>
    <d v="2020-12-30T00:00:00"/>
    <n v="51.34"/>
    <n v="48.4"/>
    <n v="1.4898"/>
    <n v="1.4119999999999999"/>
    <n v="2.4220000000000002"/>
    <n v="5.1936999999999998"/>
  </r>
  <r>
    <x v="6"/>
    <x v="5"/>
    <d v="2020-12-29T00:00:00"/>
    <n v="51.09"/>
    <n v="48"/>
    <n v="1.4867999999999999"/>
    <n v="1.3878999999999999"/>
    <n v="2.4670000000000001"/>
    <n v="5.2099000000000002"/>
  </r>
  <r>
    <x v="6"/>
    <x v="5"/>
    <d v="2020-12-28T00:00:00"/>
    <n v="50.86"/>
    <n v="47.62"/>
    <n v="1.4790000000000001"/>
    <n v="1.3676999999999999"/>
    <n v="2.3050000000000002"/>
    <n v="5.2461000000000002"/>
  </r>
  <r>
    <x v="6"/>
    <x v="5"/>
    <d v="2020-12-25T00:00:00"/>
    <m/>
    <m/>
    <m/>
    <m/>
    <m/>
    <n v="5.2164999999999999"/>
  </r>
  <r>
    <x v="6"/>
    <x v="5"/>
    <d v="2020-12-24T00:00:00"/>
    <n v="51.29"/>
    <n v="48.23"/>
    <n v="1.49"/>
    <n v="1.3789"/>
    <n v="2.5179999999999998"/>
    <n v="5.2164999999999999"/>
  </r>
  <r>
    <x v="6"/>
    <x v="5"/>
    <d v="2020-12-23T00:00:00"/>
    <n v="51.2"/>
    <n v="48.12"/>
    <n v="1.4975000000000001"/>
    <n v="1.3819999999999999"/>
    <n v="2.6080000000000001"/>
    <n v="5.2164000000000001"/>
  </r>
  <r>
    <x v="6"/>
    <x v="5"/>
    <d v="2020-12-22T00:00:00"/>
    <n v="50.08"/>
    <n v="47.02"/>
    <n v="1.4616"/>
    <n v="1.3394999999999999"/>
    <n v="2.78"/>
    <n v="5.1597"/>
  </r>
  <r>
    <x v="6"/>
    <x v="5"/>
    <d v="2020-12-21T00:00:00"/>
    <n v="50.91"/>
    <n v="47.74"/>
    <n v="1.4774"/>
    <n v="1.3604000000000001"/>
    <n v="2.7050000000000001"/>
    <n v="5.1222000000000003"/>
  </r>
  <r>
    <x v="6"/>
    <x v="5"/>
    <d v="2020-12-18T00:00:00"/>
    <n v="52.26"/>
    <n v="49.1"/>
    <n v="1.5129999999999999"/>
    <n v="1.3956"/>
    <n v="2.7"/>
    <n v="5.1021999999999998"/>
  </r>
  <r>
    <x v="6"/>
    <x v="5"/>
    <d v="2020-12-17T00:00:00"/>
    <n v="51.5"/>
    <n v="48.36"/>
    <n v="1.4952000000000001"/>
    <n v="1.3880999999999999"/>
    <n v="2.6360000000000001"/>
    <n v="5.0582000000000003"/>
  </r>
  <r>
    <x v="6"/>
    <x v="5"/>
    <d v="2020-12-16T00:00:00"/>
    <n v="51.08"/>
    <n v="47.82"/>
    <n v="1.4779"/>
    <n v="1.3529"/>
    <n v="2.677"/>
    <n v="5.0838000000000001"/>
  </r>
  <r>
    <x v="6"/>
    <x v="5"/>
    <d v="2020-12-15T00:00:00"/>
    <n v="50.76"/>
    <n v="47.62"/>
    <n v="1.4643999999999999"/>
    <n v="1.3268"/>
    <n v="2.6819999999999999"/>
    <n v="5.0842000000000001"/>
  </r>
  <r>
    <x v="6"/>
    <x v="5"/>
    <d v="2020-12-14T00:00:00"/>
    <n v="50.29"/>
    <n v="46.99"/>
    <n v="1.4543999999999999"/>
    <n v="1.3190999999999999"/>
    <n v="2.6819999999999999"/>
    <n v="5.1189"/>
  </r>
  <r>
    <x v="6"/>
    <x v="5"/>
    <d v="2020-12-11T00:00:00"/>
    <n v="49.97"/>
    <n v="46.57"/>
    <n v="1.4369000000000001"/>
    <n v="1.3077000000000001"/>
    <n v="2.5910000000000002"/>
    <n v="5.0655999999999999"/>
  </r>
  <r>
    <x v="6"/>
    <x v="5"/>
    <d v="2020-12-10T00:00:00"/>
    <n v="50.25"/>
    <n v="46.78"/>
    <n v="1.4357"/>
    <n v="1.3166"/>
    <n v="2.5529999999999999"/>
    <n v="5.0255999999999998"/>
  </r>
  <r>
    <x v="6"/>
    <x v="5"/>
    <d v="2020-12-09T00:00:00"/>
    <n v="48.86"/>
    <n v="45.52"/>
    <n v="1.3989"/>
    <n v="1.2759"/>
    <n v="2.4420000000000002"/>
    <n v="5.1707999999999998"/>
  </r>
  <r>
    <x v="6"/>
    <x v="5"/>
    <d v="2020-12-08T00:00:00"/>
    <n v="48.84"/>
    <n v="45.6"/>
    <n v="1.4067000000000001"/>
    <n v="1.2559"/>
    <n v="2.399"/>
    <n v="5.1201999999999996"/>
  </r>
  <r>
    <x v="6"/>
    <x v="5"/>
    <d v="2020-12-07T00:00:00"/>
    <n v="48.79"/>
    <n v="45.76"/>
    <n v="1.3992"/>
    <n v="1.2558"/>
    <n v="2.4060000000000001"/>
    <n v="5.0990000000000002"/>
  </r>
  <r>
    <x v="6"/>
    <x v="5"/>
    <d v="2020-12-04T00:00:00"/>
    <n v="49.25"/>
    <n v="46.26"/>
    <n v="1.403"/>
    <n v="1.2685"/>
    <n v="2.5750000000000002"/>
    <n v="5.1557000000000004"/>
  </r>
  <r>
    <x v="6"/>
    <x v="5"/>
    <d v="2020-12-03T00:00:00"/>
    <n v="48.71"/>
    <n v="45.64"/>
    <n v="1.3933"/>
    <n v="1.2617"/>
    <n v="2.5070000000000001"/>
    <n v="5.1515000000000004"/>
  </r>
  <r>
    <x v="6"/>
    <x v="5"/>
    <d v="2020-12-02T00:00:00"/>
    <n v="48.25"/>
    <n v="45.28"/>
    <n v="1.3662000000000001"/>
    <n v="1.2399"/>
    <n v="2.78"/>
    <n v="5.2175000000000002"/>
  </r>
  <r>
    <x v="6"/>
    <x v="5"/>
    <d v="2020-12-01T00:00:00"/>
    <n v="47.42"/>
    <n v="44.55"/>
    <n v="1.3472999999999999"/>
    <n v="1.2203999999999999"/>
    <n v="2.88"/>
    <n v="5.2061000000000002"/>
  </r>
  <r>
    <x v="6"/>
    <x v="6"/>
    <d v="2020-11-30T00:00:00"/>
    <n v="47.59"/>
    <n v="45.34"/>
    <n v="1.3559000000000001"/>
    <n v="1.2488999999999999"/>
    <n v="2.8820000000000001"/>
    <n v="5.3319000000000001"/>
  </r>
  <r>
    <x v="6"/>
    <x v="6"/>
    <d v="2020-11-27T00:00:00"/>
    <n v="48.18"/>
    <n v="45.53"/>
    <n v="1.3805000000000001"/>
    <n v="1.282"/>
    <n v="2.843"/>
    <n v="5.3437999999999999"/>
  </r>
  <r>
    <x v="6"/>
    <x v="6"/>
    <d v="2020-11-26T00:00:00"/>
    <n v="47.8"/>
    <m/>
    <m/>
    <m/>
    <m/>
    <n v="5.3365"/>
  </r>
  <r>
    <x v="6"/>
    <x v="6"/>
    <d v="2020-11-25T00:00:00"/>
    <n v="48.61"/>
    <n v="45.71"/>
    <n v="1.3866000000000001"/>
    <n v="1.2875000000000001"/>
    <n v="2.8959999999999999"/>
    <n v="5.3236999999999997"/>
  </r>
  <r>
    <x v="6"/>
    <x v="6"/>
    <d v="2020-11-24T00:00:00"/>
    <n v="47.86"/>
    <n v="44.91"/>
    <n v="1.3594999999999999"/>
    <n v="1.2582"/>
    <n v="2.7749999999999999"/>
    <n v="5.3735999999999997"/>
  </r>
  <r>
    <x v="6"/>
    <x v="6"/>
    <d v="2020-11-23T00:00:00"/>
    <n v="46.06"/>
    <n v="43.06"/>
    <n v="1.3105"/>
    <n v="1.204"/>
    <n v="2.7109999999999999"/>
    <n v="5.4390000000000001"/>
  </r>
  <r>
    <x v="6"/>
    <x v="6"/>
    <d v="2020-11-20T00:00:00"/>
    <n v="44.96"/>
    <n v="42.15"/>
    <n v="1.2863"/>
    <n v="1.1752"/>
    <n v="2.65"/>
    <n v="5.3796999999999997"/>
  </r>
  <r>
    <x v="6"/>
    <x v="6"/>
    <d v="2020-11-19T00:00:00"/>
    <n v="44.2"/>
    <n v="41.74"/>
    <n v="1.2706999999999999"/>
    <n v="1.1625000000000001"/>
    <n v="2.5920000000000001"/>
    <n v="5.3053999999999997"/>
  </r>
  <r>
    <x v="6"/>
    <x v="6"/>
    <d v="2020-11-18T00:00:00"/>
    <n v="44.34"/>
    <n v="41.82"/>
    <n v="1.264"/>
    <n v="1.1629"/>
    <n v="2.7120000000000002"/>
    <n v="5.3628999999999998"/>
  </r>
  <r>
    <x v="6"/>
    <x v="6"/>
    <d v="2020-11-17T00:00:00"/>
    <n v="43.75"/>
    <n v="41.43"/>
    <n v="1.2391000000000001"/>
    <n v="1.1532"/>
    <n v="2.6920000000000002"/>
    <n v="5.3281000000000001"/>
  </r>
  <r>
    <x v="6"/>
    <x v="6"/>
    <d v="2020-11-16T00:00:00"/>
    <n v="43.82"/>
    <n v="41.34"/>
    <n v="1.2289000000000001"/>
    <n v="1.1468"/>
    <n v="2.6970000000000001"/>
    <n v="5.4151999999999996"/>
  </r>
  <r>
    <x v="6"/>
    <x v="6"/>
    <d v="2020-11-13T00:00:00"/>
    <n v="42.78"/>
    <n v="40.130000000000003"/>
    <n v="1.2041999999999999"/>
    <n v="1.1254"/>
    <n v="2.9950000000000001"/>
    <n v="5.4581999999999997"/>
  </r>
  <r>
    <x v="6"/>
    <x v="6"/>
    <d v="2020-11-12T00:00:00"/>
    <n v="43.53"/>
    <n v="41.12"/>
    <n v="1.2333000000000001"/>
    <n v="1.1571"/>
    <n v="2.976"/>
    <n v="5.4581"/>
  </r>
  <r>
    <x v="6"/>
    <x v="6"/>
    <d v="2020-11-11T00:00:00"/>
    <n v="43.8"/>
    <n v="41.45"/>
    <n v="1.2458"/>
    <n v="1.1758999999999999"/>
    <n v="3.0310000000000001"/>
    <n v="5.391"/>
  </r>
  <r>
    <x v="6"/>
    <x v="6"/>
    <d v="2020-11-10T00:00:00"/>
    <n v="43.61"/>
    <n v="41.36"/>
    <n v="1.2524999999999999"/>
    <n v="1.1940999999999999"/>
    <n v="2.9489999999999998"/>
    <n v="5.4146999999999998"/>
  </r>
  <r>
    <x v="6"/>
    <x v="6"/>
    <d v="2020-11-09T00:00:00"/>
    <n v="42.4"/>
    <n v="40.29"/>
    <n v="1.2166999999999999"/>
    <n v="1.1607000000000001"/>
    <n v="2.859"/>
    <n v="5.3857999999999997"/>
  </r>
  <r>
    <x v="6"/>
    <x v="6"/>
    <d v="2020-11-06T00:00:00"/>
    <n v="39.450000000000003"/>
    <n v="37.14"/>
    <n v="1.1426000000000001"/>
    <n v="1.0844"/>
    <n v="2.8879999999999999"/>
    <n v="5.3647"/>
  </r>
  <r>
    <x v="6"/>
    <x v="6"/>
    <d v="2020-11-05T00:00:00"/>
    <n v="40.93"/>
    <n v="38.79"/>
    <n v="1.1696"/>
    <n v="1.1158999999999999"/>
    <n v="2.9420000000000002"/>
    <n v="5.5250000000000004"/>
  </r>
  <r>
    <x v="6"/>
    <x v="6"/>
    <d v="2020-11-04T00:00:00"/>
    <n v="41.23"/>
    <n v="39.15"/>
    <n v="1.1735"/>
    <n v="1.1081000000000001"/>
    <n v="3.0459999999999998"/>
    <n v="5.6635"/>
  </r>
  <r>
    <x v="6"/>
    <x v="6"/>
    <d v="2020-11-03T00:00:00"/>
    <n v="39.71"/>
    <n v="37.659999999999997"/>
    <n v="1.1271"/>
    <n v="1.0769"/>
    <n v="3.0590000000000002"/>
    <n v="5.7560000000000002"/>
  </r>
  <r>
    <x v="6"/>
    <x v="6"/>
    <d v="2020-11-02T00:00:00"/>
    <n v="38.97"/>
    <n v="36.81"/>
    <n v="1.1123000000000001"/>
    <n v="1.052"/>
    <n v="3.2440000000000002"/>
    <n v="5.7424999999999997"/>
  </r>
  <r>
    <x v="6"/>
    <x v="7"/>
    <d v="2020-10-30T00:00:00"/>
    <n v="37.46"/>
    <n v="35.79"/>
    <n v="1.0812999999999999"/>
    <n v="1.0495000000000001"/>
    <n v="3.3540000000000001"/>
    <n v="5.7446000000000002"/>
  </r>
  <r>
    <x v="6"/>
    <x v="7"/>
    <d v="2020-10-29T00:00:00"/>
    <n v="37.65"/>
    <n v="36.17"/>
    <n v="1.0884"/>
    <n v="1.0515000000000001"/>
    <n v="3.3010000000000002"/>
    <n v="5.7789999999999999"/>
  </r>
  <r>
    <x v="6"/>
    <x v="7"/>
    <d v="2020-10-28T00:00:00"/>
    <n v="39.119999999999997"/>
    <n v="37.39"/>
    <n v="1.1142000000000001"/>
    <n v="1.0813999999999999"/>
    <n v="2.996"/>
    <n v="5.7457000000000003"/>
  </r>
  <r>
    <x v="6"/>
    <x v="7"/>
    <d v="2020-10-27T00:00:00"/>
    <n v="41.2"/>
    <n v="39.57"/>
    <n v="1.1577"/>
    <n v="1.1434"/>
    <n v="3.0190000000000001"/>
    <n v="5.7054999999999998"/>
  </r>
  <r>
    <x v="6"/>
    <x v="7"/>
    <d v="2020-10-26T00:00:00"/>
    <n v="40.46"/>
    <n v="38.56"/>
    <n v="1.1217999999999999"/>
    <n v="1.1115999999999999"/>
    <n v="3.024"/>
    <n v="5.6228999999999996"/>
  </r>
  <r>
    <x v="6"/>
    <x v="7"/>
    <d v="2020-10-23T00:00:00"/>
    <n v="41.77"/>
    <n v="39.85"/>
    <n v="1.1513"/>
    <n v="1.1389"/>
    <n v="2.9710000000000001"/>
    <n v="5.6174999999999997"/>
  </r>
  <r>
    <x v="6"/>
    <x v="7"/>
    <d v="2020-10-22T00:00:00"/>
    <n v="42.46"/>
    <n v="40.64"/>
    <n v="1.1607000000000001"/>
    <n v="1.1580999999999999"/>
    <n v="3.0070000000000001"/>
    <n v="5.5892999999999997"/>
  </r>
  <r>
    <x v="6"/>
    <x v="7"/>
    <d v="2020-10-21T00:00:00"/>
    <n v="41.73"/>
    <n v="40.03"/>
    <n v="1.1398999999999999"/>
    <n v="1.1403000000000001"/>
    <n v="3.0230000000000001"/>
    <n v="5.6066000000000003"/>
  </r>
  <r>
    <x v="6"/>
    <x v="7"/>
    <d v="2020-10-20T00:00:00"/>
    <n v="43.16"/>
    <n v="41.46"/>
    <n v="1.1735"/>
    <n v="1.1879"/>
    <n v="2.9129999999999998"/>
    <n v="5.6054000000000004"/>
  </r>
  <r>
    <x v="6"/>
    <x v="7"/>
    <d v="2020-10-19T00:00:00"/>
    <n v="42.62"/>
    <n v="40.83"/>
    <n v="1.1580999999999999"/>
    <n v="1.1623000000000001"/>
    <n v="2.7949999999999999"/>
    <n v="5.6069000000000004"/>
  </r>
  <r>
    <x v="6"/>
    <x v="7"/>
    <d v="2020-10-16T00:00:00"/>
    <n v="42.93"/>
    <n v="40.880000000000003"/>
    <n v="1.1791"/>
    <n v="1.1688000000000001"/>
    <n v="2.7730000000000001"/>
    <n v="5.6428000000000003"/>
  </r>
  <r>
    <x v="6"/>
    <x v="7"/>
    <d v="2020-10-15T00:00:00"/>
    <n v="43.16"/>
    <n v="40.96"/>
    <n v="1.1887000000000001"/>
    <n v="1.18"/>
    <n v="2.7749999999999999"/>
    <n v="5.6125999999999996"/>
  </r>
  <r>
    <x v="6"/>
    <x v="7"/>
    <d v="2020-10-14T00:00:00"/>
    <n v="43.32"/>
    <n v="41.04"/>
    <n v="1.1924999999999999"/>
    <n v="1.1971000000000001"/>
    <n v="2.6360000000000001"/>
    <n v="5.5911999999999997"/>
  </r>
  <r>
    <x v="6"/>
    <x v="7"/>
    <d v="2020-10-13T00:00:00"/>
    <n v="42.45"/>
    <n v="40.200000000000003"/>
    <n v="1.169"/>
    <n v="1.1827000000000001"/>
    <n v="2.855"/>
    <n v="5.5693000000000001"/>
  </r>
  <r>
    <x v="6"/>
    <x v="7"/>
    <d v="2020-10-12T00:00:00"/>
    <n v="41.72"/>
    <n v="39.43"/>
    <n v="1.1571"/>
    <n v="1.1757"/>
    <n v="2.8809999999999998"/>
    <n v="5.5316000000000001"/>
  </r>
  <r>
    <x v="6"/>
    <x v="7"/>
    <d v="2020-10-09T00:00:00"/>
    <n v="42.85"/>
    <n v="40.6"/>
    <n v="1.1933"/>
    <n v="1.2032"/>
    <n v="2.7410000000000001"/>
    <n v="5.5317999999999996"/>
  </r>
  <r>
    <x v="6"/>
    <x v="7"/>
    <d v="2020-10-08T00:00:00"/>
    <n v="43.34"/>
    <n v="41.19"/>
    <n v="1.1922999999999999"/>
    <n v="1.2316"/>
    <n v="2.6269999999999998"/>
    <n v="5.5987"/>
  </r>
  <r>
    <x v="6"/>
    <x v="7"/>
    <d v="2020-10-07T00:00:00"/>
    <n v="41.99"/>
    <n v="39.950000000000003"/>
    <n v="1.1608000000000001"/>
    <n v="1.2009000000000001"/>
    <n v="2.6059999999999999"/>
    <n v="5.6097000000000001"/>
  </r>
  <r>
    <x v="6"/>
    <x v="7"/>
    <d v="2020-10-06T00:00:00"/>
    <n v="42.65"/>
    <n v="40.67"/>
    <n v="1.1886000000000001"/>
    <n v="1.2351000000000001"/>
    <n v="2.52"/>
    <n v="5.593"/>
  </r>
  <r>
    <x v="6"/>
    <x v="7"/>
    <d v="2020-10-05T00:00:00"/>
    <n v="41.29"/>
    <n v="39.22"/>
    <n v="1.1333"/>
    <n v="1.1940999999999999"/>
    <n v="2.6150000000000002"/>
    <n v="5.5743"/>
  </r>
  <r>
    <x v="6"/>
    <x v="7"/>
    <d v="2020-10-02T00:00:00"/>
    <n v="39.270000000000003"/>
    <n v="37.049999999999997"/>
    <n v="1.085"/>
    <n v="1.1234999999999999"/>
    <n v="2.4380000000000002"/>
    <n v="5.6851000000000003"/>
  </r>
  <r>
    <x v="6"/>
    <x v="7"/>
    <d v="2020-10-01T00:00:00"/>
    <n v="40.93"/>
    <n v="38.72"/>
    <n v="1.125"/>
    <n v="1.1524000000000001"/>
    <n v="2.5270000000000001"/>
    <n v="5.6436999999999999"/>
  </r>
  <r>
    <x v="6"/>
    <x v="8"/>
    <d v="2020-09-30T00:00:00"/>
    <n v="40.950000000000003"/>
    <n v="40.22"/>
    <n v="1.1454"/>
    <n v="1.2008000000000001"/>
    <n v="2.5270000000000001"/>
    <n v="5.6112000000000002"/>
  </r>
  <r>
    <x v="6"/>
    <x v="8"/>
    <d v="2020-09-29T00:00:00"/>
    <n v="41.03"/>
    <n v="39.29"/>
    <n v="1.109"/>
    <n v="1.2017"/>
    <n v="2.5609999999999999"/>
    <n v="5.6344000000000003"/>
  </r>
  <r>
    <x v="6"/>
    <x v="8"/>
    <d v="2020-09-28T00:00:00"/>
    <n v="42.43"/>
    <n v="40.6"/>
    <n v="1.1395"/>
    <n v="1.2465999999999999"/>
    <n v="2.101"/>
    <n v="5.6627000000000001"/>
  </r>
  <r>
    <x v="6"/>
    <x v="8"/>
    <d v="2020-09-25T00:00:00"/>
    <n v="41.92"/>
    <n v="40.25"/>
    <n v="1.1262000000000001"/>
    <n v="1.2141999999999999"/>
    <n v="2.1389999999999998"/>
    <n v="5.5624000000000002"/>
  </r>
  <r>
    <x v="6"/>
    <x v="8"/>
    <d v="2020-09-24T00:00:00"/>
    <n v="41.94"/>
    <n v="40.31"/>
    <n v="1.1167"/>
    <n v="1.1957"/>
    <n v="2.2480000000000002"/>
    <n v="5.5088999999999997"/>
  </r>
  <r>
    <x v="6"/>
    <x v="8"/>
    <d v="2020-09-23T00:00:00"/>
    <n v="41.77"/>
    <n v="39.93"/>
    <n v="1.1074999999999999"/>
    <n v="1.1813"/>
    <n v="2.125"/>
    <n v="5.5942999999999996"/>
  </r>
  <r>
    <x v="6"/>
    <x v="8"/>
    <d v="2020-09-22T00:00:00"/>
    <n v="41.72"/>
    <n v="39.6"/>
    <n v="1.0961000000000001"/>
    <n v="1.1642999999999999"/>
    <n v="1.8340000000000001"/>
    <n v="5.4703999999999997"/>
  </r>
  <r>
    <x v="6"/>
    <x v="8"/>
    <d v="2020-09-21T00:00:00"/>
    <n v="41.44"/>
    <n v="39.31"/>
    <n v="1.1073"/>
    <n v="1.1771"/>
    <n v="1.835"/>
    <n v="5.4131"/>
  </r>
  <r>
    <x v="6"/>
    <x v="8"/>
    <d v="2020-09-18T00:00:00"/>
    <n v="43.15"/>
    <n v="41.11"/>
    <n v="1.159"/>
    <n v="1.2365999999999999"/>
    <n v="2.048"/>
    <n v="5.3875999999999999"/>
  </r>
  <r>
    <x v="6"/>
    <x v="8"/>
    <d v="2020-09-17T00:00:00"/>
    <n v="43.3"/>
    <n v="40.97"/>
    <n v="1.1597999999999999"/>
    <n v="1.2243999999999999"/>
    <n v="2.0419999999999998"/>
    <n v="5.2393999999999998"/>
  </r>
  <r>
    <x v="6"/>
    <x v="8"/>
    <d v="2020-09-16T00:00:00"/>
    <n v="42.22"/>
    <n v="40.159999999999997"/>
    <n v="1.1163000000000001"/>
    <n v="1.1889000000000001"/>
    <n v="2.2669999999999999"/>
    <n v="5.2377000000000002"/>
  </r>
  <r>
    <x v="6"/>
    <x v="8"/>
    <d v="2020-09-15T00:00:00"/>
    <n v="40.53"/>
    <n v="38.28"/>
    <n v="1.0992999999999999"/>
    <n v="1.1380999999999999"/>
    <n v="2.3620000000000001"/>
    <n v="5.2747999999999999"/>
  </r>
  <r>
    <x v="6"/>
    <x v="8"/>
    <d v="2020-09-14T00:00:00"/>
    <n v="39.61"/>
    <n v="37.26"/>
    <n v="1.0933999999999999"/>
    <n v="1.1068"/>
    <n v="2.31"/>
    <n v="5.2706"/>
  </r>
  <r>
    <x v="6"/>
    <x v="8"/>
    <d v="2020-09-11T00:00:00"/>
    <n v="39.83"/>
    <n v="37.33"/>
    <n v="1.0895999999999999"/>
    <n v="1.0949"/>
    <n v="2.2690000000000001"/>
    <n v="5.3189000000000002"/>
  </r>
  <r>
    <x v="6"/>
    <x v="8"/>
    <d v="2020-09-10T00:00:00"/>
    <n v="40.06"/>
    <n v="37.299999999999997"/>
    <n v="1.0824"/>
    <n v="1.0976999999999999"/>
    <n v="2.323"/>
    <n v="5.3209999999999997"/>
  </r>
  <r>
    <x v="6"/>
    <x v="8"/>
    <d v="2020-09-09T00:00:00"/>
    <n v="40.79"/>
    <n v="38.049999999999997"/>
    <n v="1.1061000000000001"/>
    <n v="1.1193"/>
    <n v="2.4060000000000001"/>
    <n v="5.3078000000000003"/>
  </r>
  <r>
    <x v="6"/>
    <x v="8"/>
    <d v="2020-09-08T00:00:00"/>
    <n v="39.78"/>
    <n v="36.76"/>
    <n v="1.0768"/>
    <n v="1.1028"/>
    <n v="2.4"/>
    <n v="5.3638000000000003"/>
  </r>
  <r>
    <x v="6"/>
    <x v="8"/>
    <d v="2020-09-07T00:00:00"/>
    <n v="42.01"/>
    <m/>
    <m/>
    <m/>
    <m/>
    <n v="5.2995000000000001"/>
  </r>
  <r>
    <x v="6"/>
    <x v="8"/>
    <d v="2020-09-04T00:00:00"/>
    <n v="42.66"/>
    <n v="39.770000000000003"/>
    <n v="1.1515"/>
    <n v="1.1772"/>
    <n v="2.5880000000000001"/>
    <n v="5.3011999999999997"/>
  </r>
  <r>
    <x v="6"/>
    <x v="8"/>
    <d v="2020-09-03T00:00:00"/>
    <n v="44.07"/>
    <n v="41.37"/>
    <n v="1.1677"/>
    <n v="1.2049000000000001"/>
    <n v="2.4870000000000001"/>
    <n v="5.2914000000000003"/>
  </r>
  <r>
    <x v="6"/>
    <x v="8"/>
    <d v="2020-09-02T00:00:00"/>
    <n v="44.43"/>
    <n v="41.51"/>
    <n v="1.1884999999999999"/>
    <n v="1.202"/>
    <n v="2.4860000000000002"/>
    <n v="5.3403"/>
  </r>
  <r>
    <x v="6"/>
    <x v="8"/>
    <d v="2020-09-01T00:00:00"/>
    <n v="45.58"/>
    <n v="42.76"/>
    <n v="1.2307999999999999"/>
    <n v="1.2246999999999999"/>
    <n v="2.5270000000000001"/>
    <n v="5.3959999999999999"/>
  </r>
  <r>
    <x v="6"/>
    <x v="9"/>
    <d v="2020-08-31T00:00:00"/>
    <n v="45.28"/>
    <n v="42.61"/>
    <n v="1.1960999999999999"/>
    <n v="1.2761"/>
    <n v="2.63"/>
    <n v="5.4913999999999996"/>
  </r>
  <r>
    <x v="6"/>
    <x v="9"/>
    <d v="2020-08-28T00:00:00"/>
    <n v="45.05"/>
    <n v="42.97"/>
    <n v="1.2161999999999999"/>
    <n v="1.3154999999999999"/>
    <n v="2.657"/>
    <n v="5.3880999999999997"/>
  </r>
  <r>
    <x v="6"/>
    <x v="9"/>
    <d v="2020-08-27T00:00:00"/>
    <n v="45.09"/>
    <n v="43.04"/>
    <n v="1.2107000000000001"/>
    <n v="1.2845"/>
    <n v="2.5790000000000002"/>
    <n v="5.5690999999999997"/>
  </r>
  <r>
    <x v="6"/>
    <x v="9"/>
    <d v="2020-08-26T00:00:00"/>
    <n v="45.64"/>
    <n v="43.39"/>
    <n v="1.2446999999999999"/>
    <n v="1.3606"/>
    <n v="2.4609999999999999"/>
    <n v="5.6054000000000004"/>
  </r>
  <r>
    <x v="6"/>
    <x v="9"/>
    <d v="2020-08-25T00:00:00"/>
    <n v="45.86"/>
    <n v="43.35"/>
    <n v="1.2601"/>
    <n v="1.3958999999999999"/>
    <n v="2.4889999999999999"/>
    <n v="5.5075000000000003"/>
  </r>
  <r>
    <x v="6"/>
    <x v="9"/>
    <d v="2020-08-24T00:00:00"/>
    <n v="45.13"/>
    <n v="42.62"/>
    <n v="1.2476"/>
    <n v="1.3671"/>
    <n v="2.5129999999999999"/>
    <n v="5.61"/>
  </r>
  <r>
    <x v="6"/>
    <x v="9"/>
    <d v="2020-08-21T00:00:00"/>
    <n v="44.35"/>
    <n v="42.34"/>
    <n v="1.208"/>
    <n v="1.2841"/>
    <n v="2.448"/>
    <n v="5.6192000000000002"/>
  </r>
  <r>
    <x v="6"/>
    <x v="9"/>
    <d v="2020-08-20T00:00:00"/>
    <n v="44.9"/>
    <n v="42.58"/>
    <n v="1.2466999999999999"/>
    <n v="1.2965"/>
    <n v="2.3519999999999999"/>
    <n v="5.5568"/>
  </r>
  <r>
    <x v="6"/>
    <x v="9"/>
    <d v="2020-08-19T00:00:00"/>
    <n v="45.37"/>
    <n v="42.93"/>
    <n v="1.2509999999999999"/>
    <n v="1.2905"/>
    <n v="2.4260000000000002"/>
    <n v="5.5575000000000001"/>
  </r>
  <r>
    <x v="6"/>
    <x v="9"/>
    <d v="2020-08-18T00:00:00"/>
    <n v="45.46"/>
    <n v="42.89"/>
    <n v="1.2604"/>
    <n v="1.2829999999999999"/>
    <n v="2.4169999999999998"/>
    <n v="5.4665999999999997"/>
  </r>
  <r>
    <x v="6"/>
    <x v="9"/>
    <d v="2020-08-17T00:00:00"/>
    <n v="45.37"/>
    <n v="42.89"/>
    <n v="1.2391000000000001"/>
    <n v="1.27"/>
    <n v="2.339"/>
    <n v="5.5090000000000003"/>
  </r>
  <r>
    <x v="6"/>
    <x v="9"/>
    <d v="2020-08-14T00:00:00"/>
    <n v="44.8"/>
    <n v="42.01"/>
    <n v="1.2366999999999999"/>
    <n v="1.2445999999999999"/>
    <n v="2.3559999999999999"/>
    <n v="5.4203999999999999"/>
  </r>
  <r>
    <x v="6"/>
    <x v="9"/>
    <d v="2020-08-13T00:00:00"/>
    <n v="44.96"/>
    <n v="42.24"/>
    <n v="1.2381"/>
    <n v="1.2347999999999999"/>
    <n v="2.1819999999999999"/>
    <n v="5.3689999999999998"/>
  </r>
  <r>
    <x v="6"/>
    <x v="9"/>
    <d v="2020-08-12T00:00:00"/>
    <n v="45.43"/>
    <n v="42.67"/>
    <n v="1.2572000000000001"/>
    <n v="1.2438"/>
    <n v="2.1520000000000001"/>
    <n v="5.4333"/>
  </r>
  <r>
    <x v="6"/>
    <x v="9"/>
    <d v="2020-08-11T00:00:00"/>
    <n v="44.5"/>
    <n v="41.61"/>
    <n v="1.2383999999999999"/>
    <n v="1.2044999999999999"/>
    <n v="2.1709999999999998"/>
    <n v="5.38"/>
  </r>
  <r>
    <x v="6"/>
    <x v="9"/>
    <d v="2020-08-10T00:00:00"/>
    <n v="44.99"/>
    <n v="41.94"/>
    <n v="1.2369000000000001"/>
    <n v="1.2293000000000001"/>
    <n v="2.153"/>
    <n v="5.4812000000000003"/>
  </r>
  <r>
    <x v="6"/>
    <x v="9"/>
    <d v="2020-08-07T00:00:00"/>
    <n v="44.4"/>
    <n v="41.22"/>
    <n v="1.2199"/>
    <n v="1.2076"/>
    <n v="2.238"/>
    <n v="5.4382999999999999"/>
  </r>
  <r>
    <x v="6"/>
    <x v="9"/>
    <d v="2020-08-06T00:00:00"/>
    <n v="45.09"/>
    <n v="41.95"/>
    <n v="1.2499"/>
    <n v="1.2281"/>
    <n v="2.165"/>
    <n v="5.3315000000000001"/>
  </r>
  <r>
    <x v="6"/>
    <x v="9"/>
    <d v="2020-08-05T00:00:00"/>
    <n v="45.17"/>
    <n v="42.19"/>
    <n v="1.2630999999999999"/>
    <n v="1.2228000000000001"/>
    <n v="2.1909999999999998"/>
    <n v="5.2901999999999996"/>
  </r>
  <r>
    <x v="6"/>
    <x v="9"/>
    <d v="2020-08-04T00:00:00"/>
    <n v="44.43"/>
    <n v="41.7"/>
    <n v="1.2584"/>
    <n v="1.2142999999999999"/>
    <n v="2.1930000000000001"/>
    <n v="5.29"/>
  </r>
  <r>
    <x v="6"/>
    <x v="9"/>
    <d v="2020-08-03T00:00:00"/>
    <n v="44.15"/>
    <n v="41.01"/>
    <n v="1.2408999999999999"/>
    <n v="1.2131000000000001"/>
    <n v="2.101"/>
    <n v="5.3212999999999999"/>
  </r>
  <r>
    <x v="6"/>
    <x v="10"/>
    <d v="2020-07-31T00:00:00"/>
    <n v="43.3"/>
    <n v="40.270000000000003"/>
    <n v="1.2171000000000001"/>
    <n v="1.1871"/>
    <n v="1.7989999999999999"/>
    <n v="5.2240000000000002"/>
  </r>
  <r>
    <x v="6"/>
    <x v="10"/>
    <d v="2020-07-30T00:00:00"/>
    <n v="42.94"/>
    <n v="39.92"/>
    <n v="1.2119"/>
    <n v="1.2203999999999999"/>
    <n v="1.829"/>
    <n v="5.1534000000000004"/>
  </r>
  <r>
    <x v="6"/>
    <x v="10"/>
    <d v="2020-07-29T00:00:00"/>
    <n v="43.75"/>
    <n v="41.27"/>
    <n v="1.2533000000000001"/>
    <n v="1.2415"/>
    <n v="1.8540000000000001"/>
    <n v="5.1692"/>
  </r>
  <r>
    <x v="6"/>
    <x v="10"/>
    <d v="2020-07-28T00:00:00"/>
    <n v="43.22"/>
    <n v="41.04"/>
    <n v="1.2421"/>
    <n v="1.2656000000000001"/>
    <n v="1.8"/>
    <n v="5.1532999999999998"/>
  </r>
  <r>
    <x v="6"/>
    <x v="10"/>
    <d v="2020-07-27T00:00:00"/>
    <n v="43.41"/>
    <n v="41.6"/>
    <n v="1.2541"/>
    <n v="1.2746999999999999"/>
    <n v="1.734"/>
    <n v="5.1447000000000003"/>
  </r>
  <r>
    <x v="6"/>
    <x v="10"/>
    <d v="2020-07-24T00:00:00"/>
    <n v="43.34"/>
    <n v="41.29"/>
    <n v="1.2563"/>
    <n v="1.2847999999999999"/>
    <n v="1.8080000000000001"/>
    <n v="5.2328999999999999"/>
  </r>
  <r>
    <x v="6"/>
    <x v="10"/>
    <d v="2020-07-23T00:00:00"/>
    <n v="43.31"/>
    <n v="41.07"/>
    <n v="1.2541"/>
    <n v="1.2585999999999999"/>
    <n v="1.7849999999999999"/>
    <n v="5.2111999999999998"/>
  </r>
  <r>
    <x v="6"/>
    <x v="10"/>
    <d v="2020-07-22T00:00:00"/>
    <n v="44.29"/>
    <n v="41.9"/>
    <n v="1.2706999999999999"/>
    <n v="1.2827999999999999"/>
    <n v="1.681"/>
    <n v="5.1166"/>
  </r>
  <r>
    <x v="6"/>
    <x v="10"/>
    <d v="2020-07-21T00:00:00"/>
    <n v="44.32"/>
    <n v="41.96"/>
    <n v="1.28"/>
    <n v="1.2797000000000001"/>
    <n v="1.675"/>
    <n v="5.1712999999999996"/>
  </r>
  <r>
    <x v="6"/>
    <x v="10"/>
    <d v="2020-07-20T00:00:00"/>
    <n v="43.28"/>
    <n v="40.81"/>
    <n v="1.2355"/>
    <n v="1.2284999999999999"/>
    <n v="1.641"/>
    <n v="5.3282999999999996"/>
  </r>
  <r>
    <x v="6"/>
    <x v="10"/>
    <d v="2020-07-17T00:00:00"/>
    <n v="43.14"/>
    <n v="40.590000000000003"/>
    <n v="1.2191000000000001"/>
    <n v="1.2244999999999999"/>
    <n v="1.718"/>
    <n v="5.3849"/>
  </r>
  <r>
    <x v="6"/>
    <x v="10"/>
    <d v="2020-07-16T00:00:00"/>
    <n v="43.37"/>
    <n v="40.75"/>
    <n v="1.2279"/>
    <n v="1.2339"/>
    <n v="1.7230000000000001"/>
    <n v="5.3311000000000002"/>
  </r>
  <r>
    <x v="6"/>
    <x v="10"/>
    <d v="2020-07-15T00:00:00"/>
    <n v="43.79"/>
    <n v="41.2"/>
    <n v="1.2447999999999999"/>
    <n v="1.2645"/>
    <n v="1.778"/>
    <n v="5.3697999999999997"/>
  </r>
  <r>
    <x v="6"/>
    <x v="10"/>
    <d v="2020-07-14T00:00:00"/>
    <n v="42.9"/>
    <n v="40.29"/>
    <n v="1.2208000000000001"/>
    <n v="1.2474000000000001"/>
    <n v="1.746"/>
    <n v="5.3673999999999999"/>
  </r>
  <r>
    <x v="6"/>
    <x v="10"/>
    <d v="2020-07-13T00:00:00"/>
    <n v="42.72"/>
    <n v="40.1"/>
    <n v="1.2235"/>
    <n v="1.2734000000000001"/>
    <n v="1.7390000000000001"/>
    <n v="5.4039999999999999"/>
  </r>
  <r>
    <x v="6"/>
    <x v="10"/>
    <d v="2020-07-10T00:00:00"/>
    <n v="43.24"/>
    <n v="40.549999999999997"/>
    <n v="1.2412000000000001"/>
    <n v="1.2830999999999999"/>
    <n v="1.8049999999999999"/>
    <n v="5.3238000000000003"/>
  </r>
  <r>
    <x v="6"/>
    <x v="10"/>
    <d v="2020-07-09T00:00:00"/>
    <n v="42.35"/>
    <n v="39.619999999999997"/>
    <n v="1.2239"/>
    <n v="1.2504999999999999"/>
    <n v="1.7789999999999999"/>
    <n v="5.3413000000000004"/>
  </r>
  <r>
    <x v="6"/>
    <x v="10"/>
    <d v="2020-07-08T00:00:00"/>
    <n v="43.29"/>
    <n v="40.9"/>
    <n v="1.2343999999999999"/>
    <n v="1.2908999999999999"/>
    <n v="1.8240000000000001"/>
    <n v="5.3422000000000001"/>
  </r>
  <r>
    <x v="6"/>
    <x v="10"/>
    <d v="2020-07-07T00:00:00"/>
    <n v="43.08"/>
    <n v="40.619999999999997"/>
    <n v="1.2433000000000001"/>
    <n v="1.2749999999999999"/>
    <n v="1.8759999999999999"/>
    <n v="5.3789999999999996"/>
  </r>
  <r>
    <x v="6"/>
    <x v="10"/>
    <d v="2020-07-06T00:00:00"/>
    <n v="43.1"/>
    <n v="40.630000000000003"/>
    <n v="1.2417"/>
    <n v="1.2407999999999999"/>
    <n v="1.83"/>
    <n v="5.3562000000000003"/>
  </r>
  <r>
    <x v="6"/>
    <x v="10"/>
    <d v="2020-07-03T00:00:00"/>
    <n v="42.8"/>
    <m/>
    <m/>
    <m/>
    <m/>
    <n v="5.3158000000000003"/>
  </r>
  <r>
    <x v="6"/>
    <x v="10"/>
    <d v="2020-07-02T00:00:00"/>
    <n v="43.14"/>
    <n v="40.65"/>
    <n v="1.2311000000000001"/>
    <n v="1.2592000000000001"/>
    <n v="1.734"/>
    <n v="5.3596000000000004"/>
  </r>
  <r>
    <x v="6"/>
    <x v="10"/>
    <d v="2020-07-01T00:00:00"/>
    <n v="42.03"/>
    <n v="39.82"/>
    <n v="1.1996"/>
    <n v="1.2169000000000001"/>
    <n v="1.671"/>
    <n v="5.3174000000000001"/>
  </r>
  <r>
    <x v="6"/>
    <x v="11"/>
    <d v="2020-06-30T00:00:00"/>
    <n v="41.15"/>
    <n v="39.270000000000003"/>
    <n v="1.1780999999999999"/>
    <n v="1.2000999999999999"/>
    <n v="1.7509999999999999"/>
    <n v="5.4661"/>
  </r>
  <r>
    <x v="6"/>
    <x v="11"/>
    <d v="2020-06-29T00:00:00"/>
    <n v="41.71"/>
    <n v="39.700000000000003"/>
    <n v="1.1654"/>
    <n v="1.1840999999999999"/>
    <n v="1.7090000000000001"/>
    <n v="5.4034000000000004"/>
  </r>
  <r>
    <x v="6"/>
    <x v="11"/>
    <d v="2020-06-26T00:00:00"/>
    <n v="41.02"/>
    <n v="38.49"/>
    <n v="1.1363000000000001"/>
    <n v="1.1533"/>
    <n v="1.4950000000000001"/>
    <n v="5.484"/>
  </r>
  <r>
    <x v="6"/>
    <x v="11"/>
    <d v="2020-06-25T00:00:00"/>
    <n v="41.05"/>
    <n v="38.72"/>
    <n v="1.1556"/>
    <n v="1.1941999999999999"/>
    <n v="1.482"/>
    <n v="5.3560999999999996"/>
  </r>
  <r>
    <x v="6"/>
    <x v="11"/>
    <d v="2020-06-24T00:00:00"/>
    <n v="40.31"/>
    <n v="38.01"/>
    <n v="1.1508"/>
    <n v="1.1963999999999999"/>
    <n v="1.597"/>
    <n v="5.3467000000000002"/>
  </r>
  <r>
    <x v="6"/>
    <x v="11"/>
    <d v="2020-06-23T00:00:00"/>
    <n v="42.63"/>
    <n v="40.369999999999997"/>
    <n v="1.2030000000000001"/>
    <n v="1.2994000000000001"/>
    <n v="1.637"/>
    <n v="5.1542000000000003"/>
  </r>
  <r>
    <x v="6"/>
    <x v="11"/>
    <d v="2020-06-22T00:00:00"/>
    <n v="43.08"/>
    <n v="40.46"/>
    <n v="1.2185999999999999"/>
    <n v="1.2912999999999999"/>
    <n v="1.6639999999999999"/>
    <n v="5.2523999999999997"/>
  </r>
  <r>
    <x v="6"/>
    <x v="11"/>
    <d v="2020-06-19T00:00:00"/>
    <n v="42.19"/>
    <n v="39.75"/>
    <n v="1.2114"/>
    <n v="1.2716000000000001"/>
    <n v="1.669"/>
    <n v="5.3105000000000002"/>
  </r>
  <r>
    <x v="6"/>
    <x v="11"/>
    <d v="2020-06-18T00:00:00"/>
    <n v="41.51"/>
    <n v="38.840000000000003"/>
    <n v="1.1986000000000001"/>
    <n v="1.2577"/>
    <n v="1.6379999999999999"/>
    <n v="5.3776000000000002"/>
  </r>
  <r>
    <x v="6"/>
    <x v="11"/>
    <d v="2020-06-17T00:00:00"/>
    <n v="40.71"/>
    <n v="37.96"/>
    <n v="1.1819999999999999"/>
    <n v="1.2153"/>
    <n v="1.6379999999999999"/>
    <n v="5.2286000000000001"/>
  </r>
  <r>
    <x v="6"/>
    <x v="11"/>
    <d v="2020-06-16T00:00:00"/>
    <n v="40.96"/>
    <n v="38.380000000000003"/>
    <n v="1.1821999999999999"/>
    <n v="1.2073"/>
    <n v="1.6140000000000001"/>
    <n v="5.2430000000000003"/>
  </r>
  <r>
    <x v="6"/>
    <x v="11"/>
    <d v="2020-06-15T00:00:00"/>
    <n v="39.72"/>
    <n v="37.119999999999997"/>
    <n v="1.137"/>
    <n v="1.1657"/>
    <n v="1.669"/>
    <n v="5.1557000000000004"/>
  </r>
  <r>
    <x v="6"/>
    <x v="11"/>
    <d v="2020-06-12T00:00:00"/>
    <n v="38.729999999999997"/>
    <n v="36.26"/>
    <n v="1.1013999999999999"/>
    <n v="1.1243000000000001"/>
    <n v="1.7310000000000001"/>
    <n v="5.0505000000000004"/>
  </r>
  <r>
    <x v="6"/>
    <x v="11"/>
    <d v="2020-06-11T00:00:00"/>
    <n v="38.549999999999997"/>
    <n v="36.340000000000003"/>
    <n v="1.0880000000000001"/>
    <n v="1.1188"/>
    <n v="1.8129999999999999"/>
    <n v="4.976"/>
  </r>
  <r>
    <x v="6"/>
    <x v="11"/>
    <d v="2020-06-10T00:00:00"/>
    <n v="41.73"/>
    <n v="39.6"/>
    <n v="1.173"/>
    <n v="1.2099"/>
    <n v="1.78"/>
    <n v="4.9732000000000003"/>
  </r>
  <r>
    <x v="6"/>
    <x v="11"/>
    <d v="2020-06-09T00:00:00"/>
    <n v="41.18"/>
    <n v="38.94"/>
    <n v="1.1547000000000001"/>
    <n v="1.2102999999999999"/>
    <n v="1.7669999999999999"/>
    <n v="4.8992000000000004"/>
  </r>
  <r>
    <x v="6"/>
    <x v="11"/>
    <d v="2020-06-08T00:00:00"/>
    <n v="40.799999999999997"/>
    <n v="38.19"/>
    <n v="1.1213"/>
    <n v="1.1950000000000001"/>
    <n v="1.7889999999999999"/>
    <n v="4.8230000000000004"/>
  </r>
  <r>
    <x v="6"/>
    <x v="11"/>
    <d v="2020-06-05T00:00:00"/>
    <n v="42.3"/>
    <n v="39.549999999999997"/>
    <n v="1.1506000000000001"/>
    <n v="1.2136"/>
    <n v="1.782"/>
    <n v="4.9584999999999999"/>
  </r>
  <r>
    <x v="6"/>
    <x v="11"/>
    <d v="2020-06-04T00:00:00"/>
    <n v="39.99"/>
    <n v="37.409999999999997"/>
    <n v="1.0741000000000001"/>
    <n v="1.149"/>
    <n v="1.8220000000000001"/>
    <n v="5.1189999999999998"/>
  </r>
  <r>
    <x v="6"/>
    <x v="11"/>
    <d v="2020-06-03T00:00:00"/>
    <n v="39.79"/>
    <n v="37.29"/>
    <n v="1.0646"/>
    <n v="1.1193"/>
    <n v="1.821"/>
    <n v="5.0621999999999998"/>
  </r>
  <r>
    <x v="6"/>
    <x v="11"/>
    <d v="2020-06-02T00:00:00"/>
    <n v="39.57"/>
    <n v="36.81"/>
    <n v="1.0921000000000001"/>
    <n v="1.1183000000000001"/>
    <n v="1.7769999999999999"/>
    <n v="5.2013999999999996"/>
  </r>
  <r>
    <x v="6"/>
    <x v="11"/>
    <d v="2020-06-01T00:00:00"/>
    <n v="38.32"/>
    <n v="35.44"/>
    <n v="1.0289999999999999"/>
    <n v="1.0667"/>
    <n v="1.774"/>
    <n v="5.3632999999999997"/>
  </r>
  <r>
    <x v="6"/>
    <x v="0"/>
    <d v="2020-05-29T00:00:00"/>
    <n v="35.33"/>
    <n v="35.49"/>
    <n v="0.9647"/>
    <n v="1.0259"/>
    <n v="1.849"/>
    <n v="5.3361000000000001"/>
  </r>
  <r>
    <x v="6"/>
    <x v="0"/>
    <d v="2020-05-28T00:00:00"/>
    <n v="35.29"/>
    <n v="33.71"/>
    <n v="0.92559999999999998"/>
    <n v="0.99850000000000005"/>
    <n v="1.827"/>
    <n v="5.4044999999999996"/>
  </r>
  <r>
    <x v="6"/>
    <x v="0"/>
    <d v="2020-05-27T00:00:00"/>
    <n v="34.74"/>
    <n v="32.81"/>
    <n v="0.97209999999999996"/>
    <n v="0.99329999999999996"/>
    <n v="1.722"/>
    <n v="5.2732999999999999"/>
  </r>
  <r>
    <x v="6"/>
    <x v="0"/>
    <d v="2020-05-26T00:00:00"/>
    <n v="36.17"/>
    <n v="34.35"/>
    <n v="0.99080000000000001"/>
    <n v="1.0488999999999999"/>
    <n v="1.7929999999999999"/>
    <n v="5.3449999999999998"/>
  </r>
  <r>
    <x v="6"/>
    <x v="0"/>
    <d v="2020-05-25T00:00:00"/>
    <n v="35.53"/>
    <m/>
    <m/>
    <m/>
    <m/>
    <n v="5.4461000000000004"/>
  </r>
  <r>
    <x v="6"/>
    <x v="0"/>
    <d v="2020-05-22T00:00:00"/>
    <n v="35.130000000000003"/>
    <n v="33.25"/>
    <n v="0.98199999999999998"/>
    <n v="1.0382"/>
    <n v="1.7310000000000001"/>
    <n v="5.5338000000000003"/>
  </r>
  <r>
    <x v="6"/>
    <x v="0"/>
    <d v="2020-05-21T00:00:00"/>
    <n v="36.06"/>
    <n v="33.92"/>
    <n v="0.98899999999999999"/>
    <n v="1.0450999999999999"/>
    <n v="1.71"/>
    <n v="5.5507"/>
  </r>
  <r>
    <x v="6"/>
    <x v="0"/>
    <d v="2020-05-20T00:00:00"/>
    <n v="35.75"/>
    <n v="33.49"/>
    <n v="0.99060000000000004"/>
    <n v="1.0438000000000001"/>
    <n v="1.7709999999999999"/>
    <n v="5.6924999999999999"/>
  </r>
  <r>
    <x v="6"/>
    <x v="0"/>
    <d v="2020-05-19T00:00:00"/>
    <n v="34.65"/>
    <n v="32.5"/>
    <n v="0.97360000000000002"/>
    <n v="1.0451999999999999"/>
    <n v="1.83"/>
    <n v="5.7539999999999996"/>
  </r>
  <r>
    <x v="6"/>
    <x v="0"/>
    <d v="2020-05-18T00:00:00"/>
    <n v="34.81"/>
    <n v="31.82"/>
    <n v="1.0064"/>
    <n v="1.0258"/>
    <n v="1.7829999999999999"/>
    <n v="5.7190000000000003"/>
  </r>
  <r>
    <x v="6"/>
    <x v="0"/>
    <d v="2020-05-15T00:00:00"/>
    <n v="32.5"/>
    <n v="29.43"/>
    <n v="0.9204"/>
    <n v="0.97019999999999995"/>
    <n v="1.6459999999999999"/>
    <n v="5.8554000000000004"/>
  </r>
  <r>
    <x v="6"/>
    <x v="0"/>
    <d v="2020-05-14T00:00:00"/>
    <n v="31.13"/>
    <n v="27.56"/>
    <n v="0.89480000000000004"/>
    <n v="0.91449999999999998"/>
    <n v="1.681"/>
    <n v="5.8114999999999997"/>
  </r>
  <r>
    <x v="6"/>
    <x v="0"/>
    <d v="2020-05-13T00:00:00"/>
    <n v="29.19"/>
    <n v="25.29"/>
    <n v="0.83140000000000003"/>
    <n v="0.85270000000000001"/>
    <n v="1.6160000000000001"/>
    <n v="5.8852000000000002"/>
  </r>
  <r>
    <x v="6"/>
    <x v="0"/>
    <d v="2020-05-12T00:00:00"/>
    <n v="29.98"/>
    <n v="25.78"/>
    <n v="0.83840000000000003"/>
    <n v="0.91849999999999998"/>
    <n v="1.72"/>
    <n v="5.8856000000000002"/>
  </r>
  <r>
    <x v="6"/>
    <x v="0"/>
    <d v="2020-05-11T00:00:00"/>
    <n v="29.63"/>
    <n v="24.14"/>
    <n v="0.86870000000000003"/>
    <n v="0.92420000000000002"/>
    <n v="1.8260000000000001"/>
    <n v="5.8179999999999996"/>
  </r>
  <r>
    <x v="6"/>
    <x v="0"/>
    <d v="2020-05-08T00:00:00"/>
    <n v="30.97"/>
    <n v="24.74"/>
    <n v="0.89929999999999999"/>
    <n v="0.95220000000000005"/>
    <n v="1.823"/>
    <n v="5.7319000000000004"/>
  </r>
  <r>
    <x v="6"/>
    <x v="0"/>
    <d v="2020-05-07T00:00:00"/>
    <n v="29.46"/>
    <n v="23.55"/>
    <n v="0.83709999999999996"/>
    <n v="0.93140000000000001"/>
    <n v="1.8939999999999999"/>
    <n v="5.8307000000000002"/>
  </r>
  <r>
    <x v="6"/>
    <x v="0"/>
    <d v="2020-05-06T00:00:00"/>
    <n v="29.72"/>
    <n v="23.99"/>
    <n v="0.82399999999999995"/>
    <n v="0.87690000000000001"/>
    <n v="1.944"/>
    <n v="5.7140000000000004"/>
  </r>
  <r>
    <x v="6"/>
    <x v="0"/>
    <d v="2020-05-05T00:00:00"/>
    <n v="30.97"/>
    <n v="24.56"/>
    <n v="0.89600000000000002"/>
    <n v="0.90129999999999999"/>
    <n v="2.1339999999999999"/>
    <n v="5.5782999999999996"/>
  </r>
  <r>
    <x v="6"/>
    <x v="0"/>
    <d v="2020-05-04T00:00:00"/>
    <n v="27.2"/>
    <n v="20.39"/>
    <n v="0.80310000000000004"/>
    <n v="0.82150000000000001"/>
    <n v="1.9930000000000001"/>
    <n v="5.5449999999999999"/>
  </r>
  <r>
    <x v="6"/>
    <x v="0"/>
    <d v="2020-05-01T00:00:00"/>
    <n v="26.44"/>
    <n v="19.78"/>
    <n v="0.79610000000000003"/>
    <n v="0.76629999999999998"/>
    <n v="1.89"/>
    <n v="5.4855999999999998"/>
  </r>
  <r>
    <x v="6"/>
    <x v="1"/>
    <d v="2020-04-30T00:00:00"/>
    <n v="25.27"/>
    <n v="18.84"/>
    <n v="0.7319"/>
    <n v="0.69779999999999998"/>
    <n v="1.9490000000000001"/>
    <n v="5.4858000000000002"/>
  </r>
  <r>
    <x v="6"/>
    <x v="1"/>
    <d v="2020-04-29T00:00:00"/>
    <n v="22.54"/>
    <n v="15.06"/>
    <n v="0.69450000000000001"/>
    <n v="0.72719999999999996"/>
    <n v="1.869"/>
    <n v="5.3348000000000004"/>
  </r>
  <r>
    <x v="6"/>
    <x v="1"/>
    <d v="2020-04-28T00:00:00"/>
    <n v="20.46"/>
    <n v="12.34"/>
    <n v="0.63080000000000003"/>
    <n v="0.66720000000000002"/>
    <n v="1.794"/>
    <n v="5.4999000000000002"/>
  </r>
  <r>
    <x v="6"/>
    <x v="1"/>
    <d v="2020-04-27T00:00:00"/>
    <n v="19.989999999999998"/>
    <n v="12.78"/>
    <n v="0.61040000000000005"/>
    <n v="0.64829999999999999"/>
    <n v="1.819"/>
    <n v="5.6525999999999996"/>
  </r>
  <r>
    <x v="6"/>
    <x v="1"/>
    <d v="2020-04-24T00:00:00"/>
    <n v="21.44"/>
    <n v="16.940000000000001"/>
    <n v="0.64670000000000005"/>
    <n v="0.66120000000000001"/>
    <n v="1.746"/>
    <n v="5.5907"/>
  </r>
  <r>
    <x v="6"/>
    <x v="1"/>
    <d v="2020-04-23T00:00:00"/>
    <n v="21.33"/>
    <n v="16.5"/>
    <n v="0.73450000000000004"/>
    <n v="0.64359999999999995"/>
    <n v="1.8149999999999999"/>
    <n v="5.5335000000000001"/>
  </r>
  <r>
    <x v="6"/>
    <x v="1"/>
    <d v="2020-04-22T00:00:00"/>
    <n v="20.37"/>
    <n v="13.78"/>
    <n v="0.73109999999999997"/>
    <n v="0.63839999999999997"/>
    <n v="1.9390000000000001"/>
    <n v="5.4580000000000002"/>
  </r>
  <r>
    <x v="6"/>
    <x v="1"/>
    <d v="2020-04-21T00:00:00"/>
    <n v="19.329999999999998"/>
    <n v="10.01"/>
    <n v="0.72689999999999999"/>
    <n v="0.51029999999999998"/>
    <n v="1.821"/>
    <n v="5.3163"/>
  </r>
  <r>
    <x v="6"/>
    <x v="1"/>
    <d v="2020-04-20T00:00:00"/>
    <n v="25.57"/>
    <n v="-37.630000000000003"/>
    <n v="0.88780000000000003"/>
    <n v="0.66830000000000001"/>
    <n v="1.9239999999999999"/>
    <n v="5.3167999999999997"/>
  </r>
  <r>
    <x v="6"/>
    <x v="1"/>
    <d v="2020-04-17T00:00:00"/>
    <n v="28.08"/>
    <n v="18.27"/>
    <n v="0.95630000000000004"/>
    <n v="0.7107"/>
    <n v="1.7529999999999999"/>
    <n v="5.2363"/>
  </r>
  <r>
    <x v="6"/>
    <x v="1"/>
    <d v="2020-04-16T00:00:00"/>
    <n v="27.82"/>
    <n v="19.87"/>
    <n v="0.94630000000000003"/>
    <n v="0.70509999999999995"/>
    <n v="1.6859999999999999"/>
    <n v="5.2332999999999998"/>
  </r>
  <r>
    <x v="6"/>
    <x v="1"/>
    <d v="2020-04-15T00:00:00"/>
    <n v="27.69"/>
    <n v="19.87"/>
    <n v="0.91379999999999995"/>
    <n v="0.72040000000000004"/>
    <n v="1.5980000000000001"/>
    <n v="5.2366999999999999"/>
  </r>
  <r>
    <x v="6"/>
    <x v="1"/>
    <d v="2020-04-14T00:00:00"/>
    <n v="29.6"/>
    <n v="20.11"/>
    <n v="0.94420000000000004"/>
    <n v="0.72"/>
    <n v="1.65"/>
    <n v="5.1620999999999997"/>
  </r>
  <r>
    <x v="6"/>
    <x v="1"/>
    <d v="2020-04-13T00:00:00"/>
    <n v="31.74"/>
    <n v="22.41"/>
    <n v="0.99460000000000004"/>
    <n v="0.70330000000000004"/>
    <n v="1.724"/>
    <n v="5.1993999999999998"/>
  </r>
  <r>
    <x v="6"/>
    <x v="1"/>
    <d v="2020-04-10T00:00:00"/>
    <m/>
    <m/>
    <m/>
    <m/>
    <m/>
    <n v="5.1063000000000001"/>
  </r>
  <r>
    <x v="6"/>
    <x v="1"/>
    <d v="2020-04-09T00:00:00"/>
    <n v="31.48"/>
    <n v="22.76"/>
    <n v="0.97260000000000002"/>
    <n v="0.67730000000000001"/>
    <n v="1.7330000000000001"/>
    <n v="5.1070000000000002"/>
  </r>
  <r>
    <x v="6"/>
    <x v="1"/>
    <d v="2020-04-08T00:00:00"/>
    <n v="32.840000000000003"/>
    <n v="25.09"/>
    <n v="1.0106999999999999"/>
    <n v="0.67800000000000005"/>
    <n v="1.7829999999999999"/>
    <n v="5.1233000000000004"/>
  </r>
  <r>
    <x v="6"/>
    <x v="1"/>
    <d v="2020-04-07T00:00:00"/>
    <n v="31.87"/>
    <n v="23.63"/>
    <n v="1.0275000000000001"/>
    <n v="0.6482"/>
    <n v="1.8520000000000001"/>
    <n v="5.2214"/>
  </r>
  <r>
    <x v="6"/>
    <x v="1"/>
    <d v="2020-04-06T00:00:00"/>
    <n v="33.049999999999997"/>
    <n v="26.08"/>
    <n v="1.0457000000000001"/>
    <n v="0.7016"/>
    <n v="1.7310000000000001"/>
    <n v="5.2862999999999998"/>
  </r>
  <r>
    <x v="6"/>
    <x v="1"/>
    <d v="2020-04-03T00:00:00"/>
    <n v="34.11"/>
    <n v="28.34"/>
    <n v="1.0706"/>
    <n v="0.69159999999999999"/>
    <n v="1.621"/>
    <n v="5.3506"/>
  </r>
  <r>
    <x v="6"/>
    <x v="1"/>
    <d v="2020-04-02T00:00:00"/>
    <n v="29.94"/>
    <n v="25.32"/>
    <n v="0.99509999999999998"/>
    <n v="0.66279999999999994"/>
    <n v="1.552"/>
    <n v="5.2533000000000003"/>
  </r>
  <r>
    <x v="6"/>
    <x v="1"/>
    <d v="2020-04-01T00:00:00"/>
    <n v="24.74"/>
    <n v="20.309999999999999"/>
    <n v="0.93230000000000002"/>
    <n v="0.54649999999999999"/>
    <n v="1.587"/>
    <n v="5.2492999999999999"/>
  </r>
  <r>
    <x v="6"/>
    <x v="2"/>
    <d v="2020-03-31T00:00:00"/>
    <n v="22.74"/>
    <n v="20.48"/>
    <n v="1.0121"/>
    <n v="0.57320000000000004"/>
    <n v="1.64"/>
    <n v="5.2046000000000001"/>
  </r>
  <r>
    <x v="6"/>
    <x v="2"/>
    <d v="2020-03-30T00:00:00"/>
    <n v="22.76"/>
    <n v="20.09"/>
    <n v="1.0194000000000001"/>
    <n v="0.58550000000000002"/>
    <n v="1.69"/>
    <n v="5.1936"/>
  </r>
  <r>
    <x v="6"/>
    <x v="2"/>
    <d v="2020-03-27T00:00:00"/>
    <n v="24.93"/>
    <n v="21.51"/>
    <n v="1.0685"/>
    <n v="0.57369999999999999"/>
    <n v="1.6339999999999999"/>
    <n v="5.0997000000000003"/>
  </r>
  <r>
    <x v="6"/>
    <x v="2"/>
    <d v="2020-03-26T00:00:00"/>
    <n v="26.34"/>
    <n v="22.6"/>
    <n v="1.0503"/>
    <n v="0.54379999999999995"/>
    <n v="1.637"/>
    <n v="5.0212000000000003"/>
  </r>
  <r>
    <x v="6"/>
    <x v="2"/>
    <d v="2020-03-25T00:00:00"/>
    <n v="27.39"/>
    <n v="24.49"/>
    <n v="1.0978000000000001"/>
    <n v="0.54679999999999995"/>
    <n v="1.659"/>
    <n v="5.0353000000000003"/>
  </r>
  <r>
    <x v="6"/>
    <x v="2"/>
    <d v="2020-03-24T00:00:00"/>
    <n v="27.15"/>
    <n v="24.01"/>
    <n v="1.0803"/>
    <n v="0.44369999999999998"/>
    <n v="1.653"/>
    <n v="5.0983000000000001"/>
  </r>
  <r>
    <x v="6"/>
    <x v="2"/>
    <d v="2020-03-23T00:00:00"/>
    <n v="27.03"/>
    <n v="23.36"/>
    <n v="1.0161"/>
    <n v="0.4118"/>
    <n v="1.6020000000000001"/>
    <n v="5.1444000000000001"/>
  </r>
  <r>
    <x v="6"/>
    <x v="2"/>
    <d v="2020-03-20T00:00:00"/>
    <n v="26.98"/>
    <n v="22.43"/>
    <n v="1.0063"/>
    <n v="0.60540000000000005"/>
    <n v="1.6040000000000001"/>
    <n v="5.0627000000000004"/>
  </r>
  <r>
    <x v="6"/>
    <x v="2"/>
    <d v="2020-03-19T00:00:00"/>
    <n v="28.47"/>
    <n v="25.22"/>
    <n v="1.0417000000000001"/>
    <n v="0.68500000000000005"/>
    <n v="1.6539999999999999"/>
    <n v="5.0956999999999999"/>
  </r>
  <r>
    <x v="6"/>
    <x v="2"/>
    <d v="2020-03-18T00:00:00"/>
    <n v="24.88"/>
    <n v="20.37"/>
    <n v="0.95420000000000005"/>
    <n v="0.63770000000000004"/>
    <n v="1.6040000000000001"/>
    <n v="5.1063999999999998"/>
  </r>
  <r>
    <x v="6"/>
    <x v="2"/>
    <d v="2020-03-17T00:00:00"/>
    <n v="28.73"/>
    <n v="26.95"/>
    <n v="1.0357000000000001"/>
    <n v="0.71140000000000003"/>
    <n v="1.7290000000000001"/>
    <n v="5.0084"/>
  </r>
  <r>
    <x v="6"/>
    <x v="2"/>
    <d v="2020-03-16T00:00:00"/>
    <n v="30.05"/>
    <n v="28.7"/>
    <n v="1.0466"/>
    <n v="0.68989999999999996"/>
    <n v="1.8149999999999999"/>
    <n v="5.0002000000000004"/>
  </r>
  <r>
    <x v="6"/>
    <x v="2"/>
    <d v="2020-03-13T00:00:00"/>
    <n v="33.85"/>
    <n v="31.73"/>
    <n v="1.1374"/>
    <n v="0.8992"/>
    <n v="1.869"/>
    <n v="4.8579999999999997"/>
  </r>
  <r>
    <x v="6"/>
    <x v="2"/>
    <d v="2020-03-12T00:00:00"/>
    <n v="33.22"/>
    <n v="31.5"/>
    <n v="1.1597999999999999"/>
    <n v="0.89749999999999996"/>
    <n v="1.841"/>
    <n v="4.7910000000000004"/>
  </r>
  <r>
    <x v="6"/>
    <x v="2"/>
    <d v="2020-03-11T00:00:00"/>
    <n v="35.79"/>
    <n v="32.979999999999997"/>
    <n v="1.238"/>
    <n v="1.1103000000000001"/>
    <n v="1.8779999999999999"/>
    <n v="4.8136000000000001"/>
  </r>
  <r>
    <x v="6"/>
    <x v="2"/>
    <d v="2020-03-10T00:00:00"/>
    <n v="37.22"/>
    <n v="34.36"/>
    <n v="1.2499"/>
    <n v="1.1571"/>
    <n v="1.9359999999999999"/>
    <n v="4.6425000000000001"/>
  </r>
  <r>
    <x v="6"/>
    <x v="2"/>
    <d v="2020-03-09T00:00:00"/>
    <n v="34.36"/>
    <n v="31.13"/>
    <n v="1.1629"/>
    <n v="1.1369"/>
    <n v="1.778"/>
    <n v="4.7230999999999996"/>
  </r>
  <r>
    <x v="6"/>
    <x v="2"/>
    <d v="2020-03-06T00:00:00"/>
    <n v="45.27"/>
    <n v="41.28"/>
    <n v="1.3852"/>
    <n v="1.389"/>
    <n v="1.708"/>
    <n v="4.6269"/>
  </r>
  <r>
    <x v="6"/>
    <x v="2"/>
    <d v="2020-03-05T00:00:00"/>
    <n v="49.99"/>
    <n v="45.9"/>
    <n v="1.4884999999999999"/>
    <n v="1.5218"/>
    <n v="1.772"/>
    <n v="4.6073000000000004"/>
  </r>
  <r>
    <x v="6"/>
    <x v="2"/>
    <d v="2020-03-04T00:00:00"/>
    <n v="51.13"/>
    <n v="46.78"/>
    <n v="1.5331999999999999"/>
    <n v="1.5555000000000001"/>
    <n v="1.827"/>
    <n v="4.5846999999999998"/>
  </r>
  <r>
    <x v="6"/>
    <x v="2"/>
    <d v="2020-03-03T00:00:00"/>
    <n v="51.86"/>
    <n v="47.18"/>
    <n v="1.5329999999999999"/>
    <n v="1.5313000000000001"/>
    <n v="1.8"/>
    <n v="4.5144000000000002"/>
  </r>
  <r>
    <x v="6"/>
    <x v="2"/>
    <d v="2020-03-02T00:00:00"/>
    <n v="51.9"/>
    <n v="46.75"/>
    <n v="1.5286999999999999"/>
    <n v="1.5396000000000001"/>
    <n v="1.756"/>
    <n v="4.4740000000000002"/>
  </r>
  <r>
    <x v="6"/>
    <x v="3"/>
    <d v="2020-02-28T00:00:00"/>
    <n v="50.52"/>
    <n v="44.76"/>
    <n v="1.4905999999999999"/>
    <n v="1.3955"/>
    <n v="1.6839999999999999"/>
    <n v="4.4733000000000001"/>
  </r>
  <r>
    <x v="6"/>
    <x v="3"/>
    <d v="2020-02-27T00:00:00"/>
    <n v="52.18"/>
    <n v="47.09"/>
    <n v="1.4892000000000001"/>
    <n v="1.4106000000000001"/>
    <n v="1.752"/>
    <n v="4.4861000000000004"/>
  </r>
  <r>
    <x v="6"/>
    <x v="3"/>
    <d v="2020-02-26T00:00:00"/>
    <n v="53.43"/>
    <n v="48.73"/>
    <n v="1.4994000000000001"/>
    <n v="1.4549000000000001"/>
    <n v="1.821"/>
    <n v="4.4501999999999997"/>
  </r>
  <r>
    <x v="6"/>
    <x v="3"/>
    <d v="2020-02-25T00:00:00"/>
    <n v="54.95"/>
    <n v="49.9"/>
    <n v="1.5685"/>
    <n v="1.5324"/>
    <n v="1.847"/>
    <n v="4.3878000000000004"/>
  </r>
  <r>
    <x v="6"/>
    <x v="3"/>
    <d v="2020-02-24T00:00:00"/>
    <n v="56.3"/>
    <n v="51.43"/>
    <n v="1.6132"/>
    <n v="1.6091"/>
    <n v="1.827"/>
    <n v="4.3878000000000004"/>
  </r>
  <r>
    <x v="6"/>
    <x v="3"/>
    <d v="2020-02-21T00:00:00"/>
    <n v="58.5"/>
    <n v="53.38"/>
    <n v="1.6866000000000001"/>
    <n v="1.6506000000000001"/>
    <n v="1.905"/>
    <n v="4.3895"/>
  </r>
  <r>
    <x v="6"/>
    <x v="3"/>
    <d v="2020-02-20T00:00:00"/>
    <n v="59.31"/>
    <n v="53.78"/>
    <n v="1.6976"/>
    <n v="1.6697"/>
    <n v="1.92"/>
    <n v="4.3933"/>
  </r>
  <r>
    <x v="6"/>
    <x v="3"/>
    <d v="2020-02-19T00:00:00"/>
    <n v="59.12"/>
    <n v="53.29"/>
    <n v="1.7068000000000001"/>
    <n v="1.6633"/>
    <n v="1.9550000000000001"/>
    <n v="4.3648999999999996"/>
  </r>
  <r>
    <x v="6"/>
    <x v="3"/>
    <d v="2020-02-18T00:00:00"/>
    <n v="57.75"/>
    <n v="52.05"/>
    <n v="1.6724000000000001"/>
    <n v="1.6148"/>
    <n v="1.9810000000000001"/>
    <n v="4.3556999999999997"/>
  </r>
  <r>
    <x v="6"/>
    <x v="3"/>
    <d v="2020-02-17T00:00:00"/>
    <n v="57.67"/>
    <m/>
    <m/>
    <m/>
    <m/>
    <n v="4.327"/>
  </r>
  <r>
    <x v="6"/>
    <x v="3"/>
    <d v="2020-02-14T00:00:00"/>
    <n v="57.32"/>
    <n v="52.05"/>
    <n v="1.6981999999999999"/>
    <n v="1.5832999999999999"/>
    <n v="1.837"/>
    <n v="4.2973999999999997"/>
  </r>
  <r>
    <x v="6"/>
    <x v="3"/>
    <d v="2020-02-13T00:00:00"/>
    <n v="56.34"/>
    <n v="51.42"/>
    <n v="1.6805000000000001"/>
    <n v="1.5802"/>
    <n v="1.8260000000000001"/>
    <n v="4.3498000000000001"/>
  </r>
  <r>
    <x v="6"/>
    <x v="3"/>
    <d v="2020-02-12T00:00:00"/>
    <n v="55.79"/>
    <n v="51.17"/>
    <n v="1.6757"/>
    <n v="1.581"/>
    <n v="1.8440000000000001"/>
    <n v="4.35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4">
  <r>
    <x v="0"/>
    <x v="0"/>
    <d v="2026-05-04T00:00:00"/>
    <n v="473.25"/>
    <n v="1207.25"/>
    <n v="322.60000000000002"/>
    <n v="630"/>
    <n v="77.7"/>
    <n v="4.9710000000000001"/>
  </r>
  <r>
    <x v="0"/>
    <x v="0"/>
    <d v="2026-05-01T00:00:00"/>
    <n v="468.25"/>
    <n v="1187.75"/>
    <n v="320.8"/>
    <n v="624.5"/>
    <n v="76.650000000000006"/>
    <n v="4.9550000000000001"/>
  </r>
  <r>
    <x v="0"/>
    <x v="1"/>
    <d v="2026-04-30T00:00:00"/>
    <n v="464.75"/>
    <n v="1182"/>
    <n v="322.3"/>
    <n v="623.75"/>
    <n v="76.36"/>
    <n v="4.9539"/>
  </r>
  <r>
    <x v="0"/>
    <x v="1"/>
    <d v="2026-04-29T00:00:00"/>
    <n v="466.5"/>
    <n v="1182.25"/>
    <n v="328"/>
    <n v="642.25"/>
    <n v="75.31"/>
    <n v="4.9960000000000004"/>
  </r>
  <r>
    <x v="0"/>
    <x v="1"/>
    <d v="2026-04-28T00:00:00"/>
    <n v="465.25"/>
    <n v="1173"/>
    <n v="333.4"/>
    <n v="649"/>
    <n v="73.38"/>
    <n v="4.9739000000000004"/>
  </r>
  <r>
    <x v="0"/>
    <x v="1"/>
    <d v="2026-04-27T00:00:00"/>
    <n v="460.75"/>
    <n v="1177.25"/>
    <n v="333.8"/>
    <n v="621.5"/>
    <n v="72.260000000000005"/>
    <n v="4.9828999999999999"/>
  </r>
  <r>
    <x v="0"/>
    <x v="1"/>
    <d v="2026-04-24T00:00:00"/>
    <n v="455"/>
    <n v="1163.75"/>
    <n v="324.3"/>
    <n v="608.25"/>
    <n v="71.91"/>
    <n v="4.9798"/>
  </r>
  <r>
    <x v="0"/>
    <x v="1"/>
    <d v="2026-04-23T00:00:00"/>
    <n v="455.5"/>
    <n v="1159.75"/>
    <n v="320.60000000000002"/>
    <n v="610.75"/>
    <n v="71.66"/>
    <n v="5.0202999999999998"/>
  </r>
  <r>
    <x v="0"/>
    <x v="1"/>
    <d v="2026-04-22T00:00:00"/>
    <n v="454.25"/>
    <n v="1164.5"/>
    <n v="320.60000000000002"/>
    <n v="599.25"/>
    <n v="71.680000000000007"/>
    <n v="4.9625000000000004"/>
  </r>
  <r>
    <x v="0"/>
    <x v="1"/>
    <d v="2026-04-21T00:00:00"/>
    <n v="453.75"/>
    <n v="1174.5"/>
    <n v="325.3"/>
    <n v="605"/>
    <n v="72.14"/>
    <n v="4.9535"/>
  </r>
  <r>
    <x v="0"/>
    <x v="1"/>
    <d v="2026-04-20T00:00:00"/>
    <n v="452"/>
    <n v="1165.75"/>
    <n v="325.10000000000002"/>
    <n v="597"/>
    <n v="69.63"/>
    <n v="4.9660000000000002"/>
  </r>
  <r>
    <x v="0"/>
    <x v="1"/>
    <d v="2026-04-17T00:00:00"/>
    <n v="448.75"/>
    <n v="1167.25"/>
    <n v="331.8"/>
    <n v="591.25"/>
    <n v="68.16"/>
    <n v="4.9782000000000002"/>
  </r>
  <r>
    <x v="0"/>
    <x v="1"/>
    <d v="2026-04-16T00:00:00"/>
    <n v="448.5"/>
    <n v="1163.75"/>
    <n v="332.7"/>
    <n v="598.5"/>
    <n v="69.33"/>
    <n v="4.992"/>
  </r>
  <r>
    <x v="0"/>
    <x v="1"/>
    <d v="2026-04-15T00:00:00"/>
    <n v="451.25"/>
    <n v="1167"/>
    <n v="334.4"/>
    <n v="593.75"/>
    <n v="67.599999999999994"/>
    <n v="4.9931000000000001"/>
  </r>
  <r>
    <x v="0"/>
    <x v="1"/>
    <d v="2026-04-14T00:00:00"/>
    <n v="443"/>
    <n v="1158"/>
    <n v="329.7"/>
    <n v="592"/>
    <n v="66.44"/>
    <n v="4.9874000000000001"/>
  </r>
  <r>
    <x v="0"/>
    <x v="1"/>
    <d v="2026-04-13T00:00:00"/>
    <n v="440.25"/>
    <n v="1162.25"/>
    <n v="331.9"/>
    <n v="582.25"/>
    <n v="66.5"/>
    <n v="4.9961000000000002"/>
  </r>
  <r>
    <x v="0"/>
    <x v="1"/>
    <d v="2026-04-10T00:00:00"/>
    <n v="441"/>
    <n v="1175.75"/>
    <n v="331.8"/>
    <n v="571"/>
    <n v="67.09"/>
    <n v="5.0034000000000001"/>
  </r>
  <r>
    <x v="0"/>
    <x v="1"/>
    <d v="2026-04-09T00:00:00"/>
    <n v="444"/>
    <n v="1165.25"/>
    <n v="317.60000000000002"/>
    <n v="574.5"/>
    <n v="67.7"/>
    <n v="5.0572999999999997"/>
  </r>
  <r>
    <x v="0"/>
    <x v="1"/>
    <d v="2026-04-08T00:00:00"/>
    <n v="447.25"/>
    <n v="1162"/>
    <n v="314.10000000000002"/>
    <n v="580.25"/>
    <n v="67.42"/>
    <n v="5.0986000000000002"/>
  </r>
  <r>
    <x v="0"/>
    <x v="1"/>
    <d v="2026-04-07T00:00:00"/>
    <n v="449"/>
    <n v="1158.25"/>
    <n v="311.8"/>
    <n v="598"/>
    <n v="69.72"/>
    <n v="5.1532999999999998"/>
  </r>
  <r>
    <x v="0"/>
    <x v="1"/>
    <d v="2026-04-06T00:00:00"/>
    <n v="454"/>
    <n v="1166.75"/>
    <n v="316.60000000000002"/>
    <n v="595.25"/>
    <n v="69.95"/>
    <n v="5.1393000000000004"/>
  </r>
  <r>
    <x v="0"/>
    <x v="1"/>
    <d v="2026-04-03T00:00:00"/>
    <n v="452.25"/>
    <n v="1163.5"/>
    <n v="315.2"/>
    <n v="598.25"/>
    <n v="68.94"/>
    <n v="5.1567999999999996"/>
  </r>
  <r>
    <x v="0"/>
    <x v="1"/>
    <d v="2026-04-02T00:00:00"/>
    <n v="452.25"/>
    <n v="1163.5"/>
    <n v="315.2"/>
    <n v="598.25"/>
    <n v="68.94"/>
    <n v="5.1571999999999996"/>
  </r>
  <r>
    <x v="0"/>
    <x v="1"/>
    <d v="2026-04-01T00:00:00"/>
    <n v="454.25"/>
    <n v="1168.5"/>
    <n v="318.2"/>
    <n v="597.5"/>
    <n v="67.11"/>
    <n v="5.1546000000000003"/>
  </r>
  <r>
    <x v="0"/>
    <x v="2"/>
    <d v="2026-03-31T00:00:00"/>
    <n v="457.75"/>
    <n v="1171"/>
    <n v="316.39999999999998"/>
    <n v="616.25"/>
    <n v="68.88"/>
    <n v="5.1813000000000002"/>
  </r>
  <r>
    <x v="0"/>
    <x v="2"/>
    <d v="2026-03-30T00:00:00"/>
    <n v="455.75"/>
    <n v="1159.75"/>
    <n v="314.89999999999998"/>
    <n v="607"/>
    <n v="68.47"/>
    <n v="5.2519999999999998"/>
  </r>
  <r>
    <x v="0"/>
    <x v="2"/>
    <d v="2026-03-27T00:00:00"/>
    <n v="462"/>
    <n v="1159.25"/>
    <n v="315.3"/>
    <n v="605"/>
    <n v="67.41"/>
    <n v="5.2374000000000001"/>
  </r>
  <r>
    <x v="0"/>
    <x v="2"/>
    <d v="2026-03-26T00:00:00"/>
    <n v="467"/>
    <n v="1173.75"/>
    <n v="322.10000000000002"/>
    <n v="605"/>
    <n v="68.02"/>
    <n v="5.2401"/>
  </r>
  <r>
    <x v="0"/>
    <x v="2"/>
    <d v="2026-03-25T00:00:00"/>
    <n v="467.25"/>
    <n v="1171.75"/>
    <n v="319.8"/>
    <n v="597.75"/>
    <n v="67.099999999999994"/>
    <n v="5.2267999999999999"/>
  </r>
  <r>
    <x v="0"/>
    <x v="2"/>
    <d v="2026-03-24T00:00:00"/>
    <n v="462.5"/>
    <n v="1155"/>
    <n v="322.39999999999998"/>
    <n v="590"/>
    <n v="65.73"/>
    <n v="5.2331000000000003"/>
  </r>
  <r>
    <x v="0"/>
    <x v="2"/>
    <d v="2026-03-23T00:00:00"/>
    <n v="459.5"/>
    <n v="1163.5"/>
    <n v="326.60000000000002"/>
    <n v="587.75"/>
    <n v="65.58"/>
    <n v="5.2331000000000003"/>
  </r>
  <r>
    <x v="0"/>
    <x v="2"/>
    <d v="2026-03-20T00:00:00"/>
    <n v="465.5"/>
    <n v="1161.25"/>
    <n v="328"/>
    <n v="595.25"/>
    <n v="65.510000000000005"/>
    <n v="5.3136000000000001"/>
  </r>
  <r>
    <x v="0"/>
    <x v="2"/>
    <d v="2026-03-19T00:00:00"/>
    <n v="469.75"/>
    <n v="1168.5"/>
    <n v="332.5"/>
    <n v="608"/>
    <n v="65.41"/>
    <n v="5.2198000000000002"/>
  </r>
  <r>
    <x v="0"/>
    <x v="2"/>
    <d v="2026-03-18T00:00:00"/>
    <n v="463.25"/>
    <n v="1161.75"/>
    <n v="321.7"/>
    <n v="604.25"/>
    <n v="65.53"/>
    <n v="5.2672999999999996"/>
  </r>
  <r>
    <x v="0"/>
    <x v="2"/>
    <d v="2026-03-17T00:00:00"/>
    <n v="454"/>
    <n v="1157"/>
    <n v="311.7"/>
    <n v="589.75"/>
    <n v="65.97"/>
    <n v="5.1923000000000004"/>
  </r>
  <r>
    <x v="0"/>
    <x v="2"/>
    <d v="2026-03-16T00:00:00"/>
    <n v="454"/>
    <n v="1155.25"/>
    <n v="312.2"/>
    <n v="597.25"/>
    <n v="63.94"/>
    <n v="5.2309999999999999"/>
  </r>
  <r>
    <x v="0"/>
    <x v="2"/>
    <d v="2026-03-13T00:00:00"/>
    <n v="452.5"/>
    <n v="1211"/>
    <n v="319.89999999999998"/>
    <n v="618.5"/>
    <n v="67.34"/>
    <n v="5.3231999999999999"/>
  </r>
  <r>
    <x v="0"/>
    <x v="2"/>
    <d v="2026-03-12T00:00:00"/>
    <n v="448.25"/>
    <n v="1213"/>
    <n v="319.89999999999998"/>
    <n v="592.25"/>
    <n v="67.34"/>
    <n v="5.2438000000000002"/>
  </r>
  <r>
    <x v="0"/>
    <x v="2"/>
    <d v="2026-03-11T00:00:00"/>
    <n v="444.25"/>
    <n v="1200.5"/>
    <n v="316.39999999999998"/>
    <n v="588.5"/>
    <n v="67.08"/>
    <n v="5.1569000000000003"/>
  </r>
  <r>
    <x v="0"/>
    <x v="2"/>
    <d v="2026-03-10T00:00:00"/>
    <n v="436.25"/>
    <n v="1187.25"/>
    <n v="311.8"/>
    <n v="584.75"/>
    <n v="65.33"/>
    <n v="5.1593999999999998"/>
  </r>
  <r>
    <x v="0"/>
    <x v="2"/>
    <d v="2026-03-09T00:00:00"/>
    <n v="437.5"/>
    <n v="1180.5"/>
    <n v="308.8"/>
    <n v="598"/>
    <n v="65.75"/>
    <n v="5.1601999999999997"/>
  </r>
  <r>
    <x v="0"/>
    <x v="2"/>
    <d v="2026-03-06T00:00:00"/>
    <n v="447"/>
    <n v="1185"/>
    <n v="313.10000000000002"/>
    <n v="611.25"/>
    <n v="66.209999999999994"/>
    <n v="5.2439999999999998"/>
  </r>
  <r>
    <x v="0"/>
    <x v="2"/>
    <d v="2026-03-05T00:00:00"/>
    <n v="441.5"/>
    <n v="1163.75"/>
    <n v="305.60000000000002"/>
    <n v="582.75"/>
    <n v="65.319999999999993"/>
    <n v="5.2638999999999996"/>
  </r>
  <r>
    <x v="0"/>
    <x v="2"/>
    <d v="2026-03-04T00:00:00"/>
    <n v="431.75"/>
    <n v="1154.5"/>
    <n v="306.10000000000002"/>
    <n v="566.75"/>
    <n v="63.09"/>
    <n v="5.2312000000000003"/>
  </r>
  <r>
    <x v="0"/>
    <x v="2"/>
    <d v="2026-03-03T00:00:00"/>
    <n v="434.25"/>
    <n v="1155.75"/>
    <n v="310.5"/>
    <n v="572.25"/>
    <n v="62.27"/>
    <n v="5.2770000000000001"/>
  </r>
  <r>
    <x v="0"/>
    <x v="2"/>
    <d v="2026-03-02T00:00:00"/>
    <n v="433.25"/>
    <n v="1150"/>
    <n v="308.3"/>
    <n v="574.5"/>
    <n v="62.17"/>
    <n v="5.1711999999999998"/>
  </r>
  <r>
    <x v="0"/>
    <x v="3"/>
    <d v="2026-02-27T00:00:00"/>
    <n v="438.75"/>
    <n v="1157.25"/>
    <n v="315.5"/>
    <n v="591.25"/>
    <n v="61.29"/>
    <n v="5.13"/>
  </r>
  <r>
    <x v="0"/>
    <x v="3"/>
    <d v="2026-02-26T00:00:00"/>
    <n v="433.25"/>
    <n v="1147.75"/>
    <n v="317.60000000000002"/>
    <n v="571.75"/>
    <n v="61.29"/>
    <n v="5.1369999999999996"/>
  </r>
  <r>
    <x v="0"/>
    <x v="3"/>
    <d v="2026-02-25T00:00:00"/>
    <n v="430.5"/>
    <n v="1148.25"/>
    <n v="318.3"/>
    <n v="565.75"/>
    <n v="60.26"/>
    <n v="5.1246"/>
  </r>
  <r>
    <x v="0"/>
    <x v="3"/>
    <d v="2026-02-24T00:00:00"/>
    <n v="427.75"/>
    <n v="1139.5"/>
    <n v="310.7"/>
    <n v="567.5"/>
    <n v="60.03"/>
    <n v="5.1536999999999997"/>
  </r>
  <r>
    <x v="0"/>
    <x v="3"/>
    <d v="2026-02-23T00:00:00"/>
    <n v="427.5"/>
    <n v="1134.25"/>
    <n v="308.7"/>
    <n v="569.5"/>
    <n v="59.39"/>
    <n v="5.1718000000000002"/>
  </r>
  <r>
    <x v="0"/>
    <x v="3"/>
    <d v="2026-02-20T00:00:00"/>
    <n v="427.5"/>
    <n v="1137.5"/>
    <n v="309.8"/>
    <n v="573.5"/>
    <n v="58.92"/>
    <n v="5.1763000000000003"/>
  </r>
  <r>
    <x v="0"/>
    <x v="3"/>
    <d v="2026-02-19T00:00:00"/>
    <n v="425.75"/>
    <n v="1141"/>
    <n v="304.8"/>
    <n v="559.5"/>
    <n v="59.68"/>
    <n v="5.2103999999999999"/>
  </r>
  <r>
    <x v="0"/>
    <x v="3"/>
    <d v="2026-02-18T00:00:00"/>
    <n v="427"/>
    <n v="1133.5"/>
    <n v="303.89999999999998"/>
    <n v="547"/>
    <n v="58.59"/>
    <n v="5.2354000000000003"/>
  </r>
  <r>
    <x v="0"/>
    <x v="3"/>
    <d v="2026-02-17T00:00:00"/>
    <n v="426.25"/>
    <n v="1134"/>
    <n v="305.8"/>
    <n v="537.75"/>
    <n v="57.29"/>
    <n v="5.2228000000000003"/>
  </r>
  <r>
    <x v="0"/>
    <x v="3"/>
    <d v="2026-02-16T00:00:00"/>
    <m/>
    <m/>
    <m/>
    <m/>
    <m/>
    <n v="5.2240000000000002"/>
  </r>
  <r>
    <x v="0"/>
    <x v="3"/>
    <d v="2026-02-13T00:00:00"/>
    <n v="431.75"/>
    <n v="1133"/>
    <n v="309.2"/>
    <n v="548.75"/>
    <n v="57.08"/>
    <n v="5.2191000000000001"/>
  </r>
  <r>
    <x v="0"/>
    <x v="3"/>
    <d v="2026-02-12T00:00:00"/>
    <n v="431.25"/>
    <n v="1137.25"/>
    <n v="307.89999999999998"/>
    <n v="552.5"/>
    <n v="57.54"/>
    <n v="5.2115"/>
  </r>
  <r>
    <x v="0"/>
    <x v="3"/>
    <d v="2026-02-11T00:00:00"/>
    <n v="427.5"/>
    <n v="1124"/>
    <n v="303"/>
    <n v="537.25"/>
    <n v="57.05"/>
    <n v="5.1832000000000003"/>
  </r>
  <r>
    <x v="0"/>
    <x v="3"/>
    <d v="2026-02-10T00:00:00"/>
    <n v="428.75"/>
    <n v="1122.5"/>
    <n v="300.8"/>
    <n v="528.25"/>
    <n v="57.27"/>
    <n v="5.1920000000000002"/>
  </r>
  <r>
    <x v="0"/>
    <x v="3"/>
    <d v="2026-02-09T00:00:00"/>
    <n v="428.75"/>
    <n v="1110.75"/>
    <n v="297.8"/>
    <n v="528.75"/>
    <n v="56.69"/>
    <n v="5.1929999999999996"/>
  </r>
  <r>
    <x v="0"/>
    <x v="3"/>
    <d v="2026-02-06T00:00:00"/>
    <n v="430.25"/>
    <n v="1115.25"/>
    <n v="303.60000000000002"/>
    <n v="529.75"/>
    <n v="55.33"/>
    <n v="5.2165999999999997"/>
  </r>
  <r>
    <x v="0"/>
    <x v="3"/>
    <d v="2026-02-05T00:00:00"/>
    <n v="435"/>
    <n v="1112.25"/>
    <n v="303.2"/>
    <n v="535.25"/>
    <n v="55.65"/>
    <n v="5.2723000000000004"/>
  </r>
  <r>
    <x v="0"/>
    <x v="3"/>
    <d v="2026-02-04T00:00:00"/>
    <n v="429.5"/>
    <n v="1092.25"/>
    <n v="296.2"/>
    <n v="526.75"/>
    <n v="55.66"/>
    <n v="5.2389999999999999"/>
  </r>
  <r>
    <x v="0"/>
    <x v="3"/>
    <d v="2026-02-03T00:00:00"/>
    <n v="428.5"/>
    <n v="1065.75"/>
    <n v="291.89999999999998"/>
    <n v="528.75"/>
    <n v="54.49"/>
    <n v="5.2386999999999997"/>
  </r>
  <r>
    <x v="0"/>
    <x v="3"/>
    <d v="2026-02-02T00:00:00"/>
    <n v="425.75"/>
    <n v="1060.25"/>
    <n v="294.5"/>
    <n v="527.75"/>
    <n v="53.2"/>
    <n v="5.2603999999999997"/>
  </r>
  <r>
    <x v="0"/>
    <x v="4"/>
    <d v="2026-01-30T00:00:00"/>
    <n v="428.25"/>
    <n v="1064.25"/>
    <n v="293.60000000000002"/>
    <n v="538"/>
    <n v="53.51"/>
    <n v="5.2571000000000003"/>
  </r>
  <r>
    <x v="0"/>
    <x v="4"/>
    <d v="2026-01-29T00:00:00"/>
    <n v="430.75"/>
    <n v="1072.25"/>
    <n v="296"/>
    <n v="541.5"/>
    <n v="54.03"/>
    <n v="5.1898"/>
  </r>
  <r>
    <x v="0"/>
    <x v="4"/>
    <d v="2026-01-28T00:00:00"/>
    <n v="430"/>
    <n v="1075"/>
    <n v="297.8"/>
    <n v="536"/>
    <n v="54.31"/>
    <n v="5.1939000000000002"/>
  </r>
  <r>
    <x v="0"/>
    <x v="4"/>
    <d v="2026-01-27T00:00:00"/>
    <n v="426.5"/>
    <n v="1067.25"/>
    <n v="294"/>
    <n v="523.25"/>
    <n v="54.41"/>
    <n v="5.1806000000000001"/>
  </r>
  <r>
    <x v="0"/>
    <x v="4"/>
    <d v="2026-01-26T00:00:00"/>
    <n v="428.25"/>
    <n v="1061.75"/>
    <n v="294.3"/>
    <n v="522.5"/>
    <n v="53.89"/>
    <n v="5.2809999999999997"/>
  </r>
  <r>
    <x v="0"/>
    <x v="4"/>
    <d v="2026-01-23T00:00:00"/>
    <n v="430.5"/>
    <n v="1067.75"/>
    <n v="299.89999999999998"/>
    <n v="529.5"/>
    <n v="53.99"/>
    <n v="5.2895000000000003"/>
  </r>
  <r>
    <x v="0"/>
    <x v="4"/>
    <d v="2026-01-22T00:00:00"/>
    <n v="424"/>
    <n v="1064"/>
    <n v="296.2"/>
    <n v="515.5"/>
    <n v="53.78"/>
    <n v="5.2843999999999998"/>
  </r>
  <r>
    <x v="0"/>
    <x v="4"/>
    <d v="2026-01-21T00:00:00"/>
    <n v="421.75"/>
    <n v="1064.5"/>
    <n v="291.39999999999998"/>
    <n v="507.75"/>
    <n v="54.01"/>
    <n v="5.3196000000000003"/>
  </r>
  <r>
    <x v="0"/>
    <x v="4"/>
    <d v="2026-01-20T00:00:00"/>
    <n v="423.75"/>
    <n v="1053"/>
    <n v="291.60000000000002"/>
    <n v="510.25"/>
    <n v="52.56"/>
    <n v="5.3764000000000003"/>
  </r>
  <r>
    <x v="0"/>
    <x v="4"/>
    <d v="2026-01-19T00:00:00"/>
    <m/>
    <m/>
    <m/>
    <m/>
    <m/>
    <n v="5.3696999999999999"/>
  </r>
  <r>
    <x v="0"/>
    <x v="4"/>
    <d v="2026-01-16T00:00:00"/>
    <n v="424.75"/>
    <n v="1057.75"/>
    <n v="290"/>
    <n v="518"/>
    <n v="52.61"/>
    <n v="5.3693999999999997"/>
  </r>
  <r>
    <x v="0"/>
    <x v="4"/>
    <d v="2026-01-15T00:00:00"/>
    <n v="420.25"/>
    <n v="1053"/>
    <n v="289.2"/>
    <n v="510.5"/>
    <n v="52.97"/>
    <n v="5.3677999999999999"/>
  </r>
  <r>
    <x v="0"/>
    <x v="4"/>
    <d v="2026-01-14T00:00:00"/>
    <n v="422"/>
    <n v="1030.5"/>
    <n v="287.2"/>
    <n v="512.5"/>
    <n v="50.76"/>
    <n v="5.3967000000000001"/>
  </r>
  <r>
    <x v="0"/>
    <x v="4"/>
    <d v="2026-01-13T00:00:00"/>
    <n v="419.75"/>
    <n v="1023.25"/>
    <n v="286.39999999999998"/>
    <n v="510.5"/>
    <n v="50.78"/>
    <n v="5.3723000000000001"/>
  </r>
  <r>
    <x v="0"/>
    <x v="4"/>
    <d v="2026-01-12T00:00:00"/>
    <n v="421.5"/>
    <n v="1033"/>
    <n v="294.60000000000002"/>
    <n v="511.25"/>
    <n v="49.82"/>
    <n v="5.3752000000000004"/>
  </r>
  <r>
    <x v="0"/>
    <x v="4"/>
    <d v="2026-01-09T00:00:00"/>
    <n v="445.75"/>
    <n v="1048.5"/>
    <n v="300"/>
    <n v="517.25"/>
    <n v="49.26"/>
    <n v="5.3708"/>
  </r>
  <r>
    <x v="0"/>
    <x v="4"/>
    <d v="2026-01-08T00:00:00"/>
    <n v="446"/>
    <n v="1047"/>
    <n v="300.39999999999998"/>
    <n v="518"/>
    <n v="49.03"/>
    <n v="5.3878000000000004"/>
  </r>
  <r>
    <x v="0"/>
    <x v="4"/>
    <d v="2026-01-07T00:00:00"/>
    <n v="446.75"/>
    <n v="1052.75"/>
    <n v="301.5"/>
    <n v="518"/>
    <n v="48.82"/>
    <n v="5.3848000000000003"/>
  </r>
  <r>
    <x v="0"/>
    <x v="4"/>
    <d v="2026-01-06T00:00:00"/>
    <n v="444"/>
    <n v="1042"/>
    <n v="294.7"/>
    <n v="510.5"/>
    <n v="49"/>
    <n v="5.3718000000000004"/>
  </r>
  <r>
    <x v="0"/>
    <x v="4"/>
    <d v="2026-01-05T00:00:00"/>
    <n v="444.5"/>
    <n v="1047.25"/>
    <n v="294.89999999999998"/>
    <n v="512.5"/>
    <n v="49.47"/>
    <n v="5.4093999999999998"/>
  </r>
  <r>
    <x v="0"/>
    <x v="4"/>
    <d v="2026-01-02T00:00:00"/>
    <n v="437.5"/>
    <n v="1029.5"/>
    <n v="291"/>
    <n v="506.5"/>
    <n v="48.87"/>
    <n v="5.4222999999999999"/>
  </r>
  <r>
    <x v="0"/>
    <x v="4"/>
    <d v="2026-01-01T00:00:00"/>
    <m/>
    <m/>
    <m/>
    <m/>
    <m/>
    <n v="5.4770000000000003"/>
  </r>
  <r>
    <x v="1"/>
    <x v="5"/>
    <d v="2025-12-31T00:00:00"/>
    <n v="440.25"/>
    <n v="1030.5"/>
    <n v="294.5"/>
    <n v="507"/>
    <n v="48.07"/>
    <n v="5.4770000000000003"/>
  </r>
  <r>
    <x v="1"/>
    <x v="5"/>
    <d v="2025-12-30T00:00:00"/>
    <n v="440.5"/>
    <n v="1046.25"/>
    <n v="296.7"/>
    <n v="510.75"/>
    <n v="48.93"/>
    <n v="5.4770000000000003"/>
  </r>
  <r>
    <x v="1"/>
    <x v="5"/>
    <d v="2025-12-29T00:00:00"/>
    <n v="442.25"/>
    <n v="1049.5"/>
    <n v="298.8"/>
    <n v="513"/>
    <n v="48.78"/>
    <n v="5.5701999999999998"/>
  </r>
  <r>
    <x v="1"/>
    <x v="5"/>
    <d v="2025-12-26T00:00:00"/>
    <n v="450"/>
    <n v="1058.75"/>
    <n v="303.7"/>
    <n v="519"/>
    <n v="48.72"/>
    <n v="5.5434000000000001"/>
  </r>
  <r>
    <x v="1"/>
    <x v="5"/>
    <d v="2025-12-25T00:00:00"/>
    <m/>
    <m/>
    <m/>
    <m/>
    <m/>
    <n v="5.52"/>
  </r>
  <r>
    <x v="1"/>
    <x v="5"/>
    <d v="2025-12-24T00:00:00"/>
    <n v="451"/>
    <n v="1063.25"/>
    <n v="304.7"/>
    <n v="521.75"/>
    <n v="49.03"/>
    <n v="5.52"/>
  </r>
  <r>
    <x v="1"/>
    <x v="5"/>
    <d v="2025-12-23T00:00:00"/>
    <n v="447.5"/>
    <n v="1051.5"/>
    <n v="301.10000000000002"/>
    <n v="517"/>
    <n v="48.3"/>
    <n v="5.5202999999999998"/>
  </r>
  <r>
    <x v="1"/>
    <x v="5"/>
    <d v="2025-12-22T00:00:00"/>
    <n v="447"/>
    <n v="1053.25"/>
    <n v="298.60000000000002"/>
    <n v="515.5"/>
    <n v="48.55"/>
    <n v="5.5895999999999999"/>
  </r>
  <r>
    <x v="1"/>
    <x v="5"/>
    <d v="2025-12-19T00:00:00"/>
    <n v="443.75"/>
    <n v="1049.25"/>
    <n v="297.60000000000002"/>
    <n v="509.75"/>
    <n v="47.9"/>
    <n v="5.5425000000000004"/>
  </r>
  <r>
    <x v="1"/>
    <x v="5"/>
    <d v="2025-12-18T00:00:00"/>
    <n v="444.5"/>
    <n v="1052.25"/>
    <n v="298.39999999999998"/>
    <n v="507.75"/>
    <n v="48.11"/>
    <n v="5.5216000000000003"/>
  </r>
  <r>
    <x v="1"/>
    <x v="5"/>
    <d v="2025-12-17T00:00:00"/>
    <n v="440.5"/>
    <n v="1058.25"/>
    <n v="298.2"/>
    <n v="506.25"/>
    <n v="48.52"/>
    <n v="5.52"/>
  </r>
  <r>
    <x v="1"/>
    <x v="5"/>
    <d v="2025-12-16T00:00:00"/>
    <n v="436.5"/>
    <n v="1062.75"/>
    <n v="302.39999999999998"/>
    <n v="509.5"/>
    <n v="48.36"/>
    <n v="5.5087999999999999"/>
  </r>
  <r>
    <x v="1"/>
    <x v="5"/>
    <d v="2025-12-15T00:00:00"/>
    <n v="439.75"/>
    <n v="1071.75"/>
    <n v="303.5"/>
    <n v="520.75"/>
    <n v="49.48"/>
    <n v="5.4142999999999999"/>
  </r>
  <r>
    <x v="1"/>
    <x v="5"/>
    <d v="2025-12-12T00:00:00"/>
    <n v="431.5"/>
    <n v="1076.75"/>
    <n v="300.60000000000002"/>
    <n v="534.5"/>
    <n v="49.73"/>
    <n v="5.4185999999999996"/>
  </r>
  <r>
    <x v="1"/>
    <x v="5"/>
    <d v="2025-12-11T00:00:00"/>
    <n v="435.25"/>
    <n v="1093.5"/>
    <n v="298.8"/>
    <n v="534.5"/>
    <n v="50.56"/>
    <n v="5.4078999999999997"/>
  </r>
  <r>
    <x v="1"/>
    <x v="5"/>
    <d v="2025-12-10T00:00:00"/>
    <n v="434.75"/>
    <n v="1091.25"/>
    <n v="298.2"/>
    <n v="531.25"/>
    <n v="50.81"/>
    <n v="5.4725000000000001"/>
  </r>
  <r>
    <x v="1"/>
    <x v="5"/>
    <d v="2025-12-09T00:00:00"/>
    <n v="440.75"/>
    <n v="1087.25"/>
    <n v="298.2"/>
    <n v="536.25"/>
    <n v="50.73"/>
    <n v="5.4330999999999996"/>
  </r>
  <r>
    <x v="1"/>
    <x v="5"/>
    <d v="2025-12-08T00:00:00"/>
    <n v="436.25"/>
    <n v="1093.75"/>
    <n v="303.60000000000002"/>
    <n v="536"/>
    <n v="50.9"/>
    <n v="5.4298000000000002"/>
  </r>
  <r>
    <x v="1"/>
    <x v="5"/>
    <d v="2025-12-05T00:00:00"/>
    <n v="436.75"/>
    <n v="1105.25"/>
    <n v="304.7"/>
    <n v="537.5"/>
    <n v="51.36"/>
    <n v="5.4390000000000001"/>
  </r>
  <r>
    <x v="1"/>
    <x v="5"/>
    <d v="2025-12-04T00:00:00"/>
    <n v="437.75"/>
    <n v="1119.5"/>
    <n v="308.5"/>
    <n v="541"/>
    <n v="51.53"/>
    <n v="5.3091999999999997"/>
  </r>
  <r>
    <x v="1"/>
    <x v="5"/>
    <d v="2025-12-03T00:00:00"/>
    <n v="431.5"/>
    <n v="1115.75"/>
    <n v="308.39999999999998"/>
    <n v="537.75"/>
    <n v="51.35"/>
    <n v="5.3074000000000003"/>
  </r>
  <r>
    <x v="1"/>
    <x v="5"/>
    <d v="2025-12-02T00:00:00"/>
    <n v="438"/>
    <n v="1124.75"/>
    <n v="308.60000000000002"/>
    <n v="537.75"/>
    <n v="52.35"/>
    <n v="5.3273999999999999"/>
  </r>
  <r>
    <x v="1"/>
    <x v="5"/>
    <d v="2025-12-01T00:00:00"/>
    <n v="432.75"/>
    <n v="1128"/>
    <n v="311.10000000000002"/>
    <n v="530.25"/>
    <n v="52.06"/>
    <n v="5.3571"/>
  </r>
  <r>
    <x v="1"/>
    <x v="6"/>
    <d v="2025-11-28T00:00:00"/>
    <n v="435.5"/>
    <n v="1137.75"/>
    <n v="314.39999999999998"/>
    <n v="531"/>
    <n v="51.76"/>
    <n v="5.3362999999999996"/>
  </r>
  <r>
    <x v="1"/>
    <x v="6"/>
    <d v="2025-11-27T00:00:00"/>
    <m/>
    <m/>
    <m/>
    <m/>
    <m/>
    <n v="5.3562000000000003"/>
  </r>
  <r>
    <x v="1"/>
    <x v="6"/>
    <d v="2025-11-26T00:00:00"/>
    <n v="431.75"/>
    <n v="1131.5"/>
    <n v="317.10000000000002"/>
    <n v="529"/>
    <n v="50.87"/>
    <n v="5.3319000000000001"/>
  </r>
  <r>
    <x v="1"/>
    <x v="6"/>
    <d v="2025-11-25T00:00:00"/>
    <n v="423.5"/>
    <n v="1124.75"/>
    <n v="317"/>
    <n v="527.25"/>
    <n v="50.3"/>
    <n v="5.3810000000000002"/>
  </r>
  <r>
    <x v="1"/>
    <x v="6"/>
    <d v="2025-11-24T00:00:00"/>
    <n v="423.75"/>
    <n v="1123.25"/>
    <n v="314.2"/>
    <n v="522.25"/>
    <n v="50.18"/>
    <n v="5.3883999999999999"/>
  </r>
  <r>
    <x v="1"/>
    <x v="6"/>
    <d v="2025-11-21T00:00:00"/>
    <n v="425.5"/>
    <n v="1125"/>
    <n v="315.10000000000002"/>
    <n v="527"/>
    <n v="50.26"/>
    <n v="5.4028"/>
  </r>
  <r>
    <x v="1"/>
    <x v="6"/>
    <d v="2025-11-20T00:00:00"/>
    <n v="426.5"/>
    <n v="1122.5"/>
    <n v="314"/>
    <n v="527"/>
    <n v="50.66"/>
    <n v="5.3327999999999998"/>
  </r>
  <r>
    <x v="1"/>
    <x v="6"/>
    <d v="2025-11-19T00:00:00"/>
    <n v="429.75"/>
    <n v="1136.25"/>
    <n v="318.89999999999998"/>
    <n v="536.75"/>
    <n v="51.1"/>
    <n v="5.3304"/>
  </r>
  <r>
    <x v="1"/>
    <x v="6"/>
    <d v="2025-11-18T00:00:00"/>
    <n v="436.75"/>
    <n v="1153.5"/>
    <n v="327"/>
    <n v="546.5"/>
    <n v="52.17"/>
    <n v="5.3217999999999996"/>
  </r>
  <r>
    <x v="1"/>
    <x v="6"/>
    <d v="2025-11-17T00:00:00"/>
    <n v="434.75"/>
    <n v="1157.25"/>
    <n v="330.8"/>
    <n v="544.25"/>
    <n v="51.14"/>
    <n v="5.3289999999999997"/>
  </r>
  <r>
    <x v="1"/>
    <x v="6"/>
    <d v="2025-11-14T00:00:00"/>
    <n v="430.25"/>
    <n v="1112.75"/>
    <n v="322.5"/>
    <n v="527.25"/>
    <n v="50.15"/>
    <n v="5.2964000000000002"/>
  </r>
  <r>
    <x v="1"/>
    <x v="6"/>
    <d v="2025-11-13T00:00:00"/>
    <n v="441.5"/>
    <n v="1132"/>
    <n v="328.4"/>
    <n v="535.75"/>
    <n v="50.25"/>
    <n v="5.2977999999999996"/>
  </r>
  <r>
    <x v="1"/>
    <x v="6"/>
    <d v="2025-11-12T00:00:00"/>
    <n v="435.25"/>
    <n v="1120.5"/>
    <n v="321"/>
    <n v="536"/>
    <n v="50.62"/>
    <n v="5.2925000000000004"/>
  </r>
  <r>
    <x v="1"/>
    <x v="6"/>
    <d v="2025-11-11T00:00:00"/>
    <n v="432"/>
    <n v="1113.25"/>
    <n v="316.89999999999998"/>
    <n v="536"/>
    <n v="51.1"/>
    <n v="5.2717000000000001"/>
  </r>
  <r>
    <x v="1"/>
    <x v="6"/>
    <d v="2025-11-10T00:00:00"/>
    <n v="429.75"/>
    <n v="1116"/>
    <n v="320"/>
    <n v="535.75"/>
    <n v="50.58"/>
    <n v="5.2907000000000002"/>
  </r>
  <r>
    <x v="1"/>
    <x v="6"/>
    <d v="2025-11-07T00:00:00"/>
    <n v="427.25"/>
    <n v="1101.75"/>
    <n v="317.10000000000002"/>
    <n v="527.75"/>
    <n v="49.68"/>
    <n v="5.3320999999999996"/>
  </r>
  <r>
    <x v="1"/>
    <x v="6"/>
    <d v="2025-11-06T00:00:00"/>
    <n v="428.75"/>
    <n v="1091.75"/>
    <n v="312.7"/>
    <n v="535.5"/>
    <n v="49.35"/>
    <n v="5.3498000000000001"/>
  </r>
  <r>
    <x v="1"/>
    <x v="6"/>
    <d v="2025-11-05T00:00:00"/>
    <n v="435.25"/>
    <n v="1119.75"/>
    <n v="324.8"/>
    <n v="554.75"/>
    <n v="49.69"/>
    <n v="5.3594999999999997"/>
  </r>
  <r>
    <x v="1"/>
    <x v="6"/>
    <d v="2025-11-04T00:00:00"/>
    <n v="431.5"/>
    <n v="1108.25"/>
    <n v="317.39999999999998"/>
    <n v="550.25"/>
    <n v="49.53"/>
    <n v="5.3971999999999998"/>
  </r>
  <r>
    <x v="1"/>
    <x v="6"/>
    <d v="2025-11-03T00:00:00"/>
    <n v="434.25"/>
    <n v="1119.75"/>
    <n v="320.8"/>
    <n v="543.5"/>
    <n v="49.84"/>
    <n v="5.3567999999999998"/>
  </r>
  <r>
    <x v="1"/>
    <x v="7"/>
    <d v="2025-10-31T00:00:00"/>
    <n v="431.5"/>
    <n v="1099.75"/>
    <n v="321.60000000000002"/>
    <n v="534"/>
    <n v="48.68"/>
    <n v="5.3738999999999999"/>
  </r>
  <r>
    <x v="1"/>
    <x v="7"/>
    <d v="2025-10-30T00:00:00"/>
    <n v="430.25"/>
    <n v="1091.25"/>
    <n v="315.60000000000002"/>
    <n v="524.25"/>
    <n v="49.65"/>
    <n v="5.3807"/>
  </r>
  <r>
    <x v="1"/>
    <x v="7"/>
    <d v="2025-10-29T00:00:00"/>
    <n v="434"/>
    <n v="1080.25"/>
    <n v="308.7"/>
    <n v="532.25"/>
    <n v="50.16"/>
    <n v="5.3605"/>
  </r>
  <r>
    <x v="1"/>
    <x v="7"/>
    <d v="2025-10-28T00:00:00"/>
    <n v="432"/>
    <n v="1078.25"/>
    <n v="306.5"/>
    <n v="529"/>
    <n v="50.26"/>
    <n v="5.3578000000000001"/>
  </r>
  <r>
    <x v="1"/>
    <x v="7"/>
    <d v="2025-10-27T00:00:00"/>
    <n v="428.75"/>
    <n v="1067.25"/>
    <n v="298.2"/>
    <n v="526"/>
    <n v="50.77"/>
    <n v="5.3727999999999998"/>
  </r>
  <r>
    <x v="1"/>
    <x v="7"/>
    <d v="2025-10-24T00:00:00"/>
    <n v="423.25"/>
    <n v="1041.75"/>
    <n v="294.10000000000002"/>
    <n v="512.5"/>
    <n v="50.27"/>
    <n v="5.3887"/>
  </r>
  <r>
    <x v="1"/>
    <x v="7"/>
    <d v="2025-10-23T00:00:00"/>
    <n v="428"/>
    <n v="1044.75"/>
    <n v="292.3"/>
    <n v="513"/>
    <n v="50.87"/>
    <n v="5.3821000000000003"/>
  </r>
  <r>
    <x v="1"/>
    <x v="7"/>
    <d v="2025-10-22T00:00:00"/>
    <n v="423"/>
    <n v="1034.75"/>
    <n v="290"/>
    <n v="503.75"/>
    <n v="50.07"/>
    <n v="5.3997000000000002"/>
  </r>
  <r>
    <x v="1"/>
    <x v="7"/>
    <d v="2025-10-21T00:00:00"/>
    <n v="419.75"/>
    <n v="1030.75"/>
    <n v="286.89999999999998"/>
    <n v="500.25"/>
    <n v="50.65"/>
    <n v="5.3875999999999999"/>
  </r>
  <r>
    <x v="1"/>
    <x v="7"/>
    <d v="2025-10-20T00:00:00"/>
    <n v="423.25"/>
    <n v="1031.75"/>
    <n v="285"/>
    <n v="504.75"/>
    <n v="51.31"/>
    <n v="5.3742999999999999"/>
  </r>
  <r>
    <x v="1"/>
    <x v="7"/>
    <d v="2025-10-17T00:00:00"/>
    <n v="422.5"/>
    <n v="1019.5"/>
    <n v="281"/>
    <n v="503.75"/>
    <n v="51.13"/>
    <n v="5.4080000000000004"/>
  </r>
  <r>
    <x v="1"/>
    <x v="7"/>
    <d v="2025-10-16T00:00:00"/>
    <n v="421.75"/>
    <n v="1010.75"/>
    <n v="276.89999999999998"/>
    <n v="502.5"/>
    <n v="50.87"/>
    <n v="5.4451999999999998"/>
  </r>
  <r>
    <x v="1"/>
    <x v="7"/>
    <d v="2025-10-15T00:00:00"/>
    <n v="416.75"/>
    <n v="1006.5"/>
    <n v="275.89999999999998"/>
    <n v="498.75"/>
    <n v="50.8"/>
    <n v="5.4546000000000001"/>
  </r>
  <r>
    <x v="1"/>
    <x v="7"/>
    <d v="2025-10-14T00:00:00"/>
    <n v="413"/>
    <n v="1006.5"/>
    <n v="267"/>
    <n v="500.25"/>
    <n v="49.92"/>
    <n v="5.4817"/>
  </r>
  <r>
    <x v="1"/>
    <x v="7"/>
    <d v="2025-10-13T00:00:00"/>
    <n v="410.75"/>
    <n v="1007.75"/>
    <n v="266.5"/>
    <n v="496.75"/>
    <n v="50.04"/>
    <n v="5.4637000000000002"/>
  </r>
  <r>
    <x v="1"/>
    <x v="7"/>
    <d v="2025-10-10T00:00:00"/>
    <n v="413"/>
    <n v="1006.75"/>
    <n v="267.39999999999998"/>
    <n v="498.5"/>
    <n v="49.4"/>
    <n v="5.5217000000000001"/>
  </r>
  <r>
    <x v="1"/>
    <x v="7"/>
    <d v="2025-10-09T00:00:00"/>
    <n v="418.25"/>
    <n v="1022.25"/>
    <n v="269.7"/>
    <n v="506.5"/>
    <n v="50.38"/>
    <n v="5.3680000000000003"/>
  </r>
  <r>
    <x v="1"/>
    <x v="7"/>
    <d v="2025-10-08T00:00:00"/>
    <n v="422"/>
    <n v="1029.5"/>
    <n v="270.8"/>
    <n v="507.25"/>
    <n v="50.97"/>
    <n v="5.3426"/>
  </r>
  <r>
    <x v="1"/>
    <x v="7"/>
    <d v="2025-10-07T00:00:00"/>
    <n v="419.75"/>
    <n v="1022"/>
    <n v="268.89999999999998"/>
    <n v="506.75"/>
    <n v="50.53"/>
    <n v="5.3501000000000003"/>
  </r>
  <r>
    <x v="1"/>
    <x v="7"/>
    <d v="2025-10-06T00:00:00"/>
    <n v="421.75"/>
    <n v="1017.75"/>
    <n v="268.8"/>
    <n v="512.75"/>
    <n v="49.79"/>
    <n v="5.3127000000000004"/>
  </r>
  <r>
    <x v="1"/>
    <x v="7"/>
    <d v="2025-10-03T00:00:00"/>
    <n v="419"/>
    <n v="1018"/>
    <n v="270.7"/>
    <n v="515.25"/>
    <n v="49.43"/>
    <n v="5.3369999999999997"/>
  </r>
  <r>
    <x v="1"/>
    <x v="7"/>
    <d v="2025-10-02T00:00:00"/>
    <n v="421.75"/>
    <n v="1023.75"/>
    <n v="271.3"/>
    <n v="514.75"/>
    <n v="49.82"/>
    <n v="5.3380000000000001"/>
  </r>
  <r>
    <x v="1"/>
    <x v="7"/>
    <d v="2025-10-01T00:00:00"/>
    <n v="416.5"/>
    <n v="1013"/>
    <n v="264.7"/>
    <n v="509.25"/>
    <n v="49.75"/>
    <n v="5.3285999999999998"/>
  </r>
  <r>
    <x v="1"/>
    <x v="8"/>
    <d v="2025-09-30T00:00:00"/>
    <n v="415.5"/>
    <n v="1001.75"/>
    <n v="265.7"/>
    <n v="508"/>
    <n v="48.87"/>
    <n v="5.3224"/>
  </r>
  <r>
    <x v="1"/>
    <x v="8"/>
    <d v="2025-09-29T00:00:00"/>
    <n v="421.5"/>
    <n v="1010.5"/>
    <n v="268.10000000000002"/>
    <n v="519.5"/>
    <n v="49.11"/>
    <n v="5.3216000000000001"/>
  </r>
  <r>
    <x v="1"/>
    <x v="8"/>
    <d v="2025-09-26T00:00:00"/>
    <n v="422"/>
    <n v="1013.75"/>
    <n v="268.8"/>
    <n v="519.75"/>
    <n v="49.6"/>
    <n v="5.3426"/>
  </r>
  <r>
    <x v="1"/>
    <x v="8"/>
    <d v="2025-09-25T00:00:00"/>
    <n v="425.75"/>
    <n v="1012.25"/>
    <n v="268.60000000000002"/>
    <n v="527"/>
    <n v="49.74"/>
    <n v="5.3634000000000004"/>
  </r>
  <r>
    <x v="1"/>
    <x v="8"/>
    <d v="2025-09-24T00:00:00"/>
    <n v="424.25"/>
    <n v="1009"/>
    <n v="271.7"/>
    <n v="519.5"/>
    <n v="49.29"/>
    <n v="5.3323999999999998"/>
  </r>
  <r>
    <x v="1"/>
    <x v="8"/>
    <d v="2025-09-23T00:00:00"/>
    <n v="426.25"/>
    <n v="1012"/>
    <n v="275.10000000000002"/>
    <n v="520.5"/>
    <n v="49.35"/>
    <n v="5.2826000000000004"/>
  </r>
  <r>
    <x v="1"/>
    <x v="8"/>
    <d v="2025-09-22T00:00:00"/>
    <n v="421.75"/>
    <n v="1011"/>
    <n v="278.89999999999998"/>
    <n v="510.75"/>
    <n v="49.17"/>
    <n v="5.3345000000000002"/>
  </r>
  <r>
    <x v="1"/>
    <x v="8"/>
    <d v="2025-09-19T00:00:00"/>
    <n v="424"/>
    <n v="1025.5"/>
    <n v="282.89999999999998"/>
    <n v="522.5"/>
    <n v="50.03"/>
    <n v="5.3231999999999999"/>
  </r>
  <r>
    <x v="1"/>
    <x v="8"/>
    <d v="2025-09-18T00:00:00"/>
    <n v="423.75"/>
    <n v="1037.5"/>
    <n v="283"/>
    <n v="524.25"/>
    <n v="50.57"/>
    <n v="5.3132000000000001"/>
  </r>
  <r>
    <x v="1"/>
    <x v="8"/>
    <d v="2025-09-17T00:00:00"/>
    <n v="426.75"/>
    <n v="1043.75"/>
    <n v="283.89999999999998"/>
    <n v="528.25"/>
    <n v="51.24"/>
    <n v="5.3052000000000001"/>
  </r>
  <r>
    <x v="1"/>
    <x v="8"/>
    <d v="2025-09-16T00:00:00"/>
    <n v="429.5"/>
    <n v="1049.75"/>
    <n v="285.8"/>
    <n v="534"/>
    <n v="52.69"/>
    <n v="5.2957000000000001"/>
  </r>
  <r>
    <x v="1"/>
    <x v="8"/>
    <d v="2025-09-15T00:00:00"/>
    <n v="423.25"/>
    <n v="1042.75"/>
    <n v="285.2"/>
    <n v="525"/>
    <n v="51.76"/>
    <n v="5.3163"/>
  </r>
  <r>
    <x v="1"/>
    <x v="8"/>
    <d v="2025-09-12T00:00:00"/>
    <n v="399"/>
    <n v="1025.75"/>
    <n v="288.3"/>
    <n v="503"/>
    <n v="51.38"/>
    <n v="5.3544999999999998"/>
  </r>
  <r>
    <x v="1"/>
    <x v="8"/>
    <d v="2025-09-11T00:00:00"/>
    <n v="399"/>
    <n v="1015.25"/>
    <n v="288.3"/>
    <n v="503"/>
    <n v="50.82"/>
    <n v="5.3898999999999999"/>
  </r>
  <r>
    <x v="1"/>
    <x v="8"/>
    <d v="2025-09-10T00:00:00"/>
    <n v="397.25"/>
    <n v="1005.5"/>
    <n v="286.39999999999998"/>
    <n v="495"/>
    <n v="50.22"/>
    <n v="5.4084000000000003"/>
  </r>
  <r>
    <x v="1"/>
    <x v="8"/>
    <d v="2025-09-09T00:00:00"/>
    <n v="401.25"/>
    <n v="1011.5"/>
    <n v="291.7"/>
    <n v="500.75"/>
    <n v="49.7"/>
    <n v="5.4394"/>
  </r>
  <r>
    <x v="1"/>
    <x v="8"/>
    <d v="2025-09-08T00:00:00"/>
    <n v="403"/>
    <n v="1013.5"/>
    <n v="284.7"/>
    <n v="505.5"/>
    <n v="50.73"/>
    <n v="5.4192"/>
  </r>
  <r>
    <x v="1"/>
    <x v="8"/>
    <d v="2025-09-05T00:00:00"/>
    <n v="399"/>
    <n v="1006.5"/>
    <n v="280.5"/>
    <n v="501"/>
    <n v="50.56"/>
    <n v="5.4127000000000001"/>
  </r>
  <r>
    <x v="1"/>
    <x v="8"/>
    <d v="2025-09-04T00:00:00"/>
    <n v="399.75"/>
    <n v="1012"/>
    <n v="279.39999999999998"/>
    <n v="502.25"/>
    <n v="51.23"/>
    <n v="5.4457000000000004"/>
  </r>
  <r>
    <x v="1"/>
    <x v="8"/>
    <d v="2025-09-03T00:00:00"/>
    <n v="397.75"/>
    <n v="1016"/>
    <n v="275.89999999999998"/>
    <n v="504"/>
    <n v="51.16"/>
    <n v="5.4512999999999998"/>
  </r>
  <r>
    <x v="1"/>
    <x v="8"/>
    <d v="2025-09-02T00:00:00"/>
    <n v="403"/>
    <n v="1025.75"/>
    <n v="275.5"/>
    <n v="513"/>
    <n v="51.97"/>
    <n v="5.4645999999999999"/>
  </r>
  <r>
    <x v="1"/>
    <x v="8"/>
    <d v="2025-09-01T00:00:00"/>
    <m/>
    <m/>
    <m/>
    <m/>
    <m/>
    <n v="5.4398999999999997"/>
  </r>
  <r>
    <x v="1"/>
    <x v="9"/>
    <d v="2025-08-29T00:00:00"/>
    <n v="398"/>
    <n v="1036.75"/>
    <n v="283.60000000000002"/>
    <n v="518"/>
    <n v="51.47"/>
    <n v="5.4298999999999999"/>
  </r>
  <r>
    <x v="1"/>
    <x v="9"/>
    <d v="2025-08-28T00:00:00"/>
    <n v="385.5"/>
    <n v="1028.25"/>
    <n v="286.3"/>
    <n v="510.25"/>
    <n v="51.75"/>
    <n v="5.4124999999999996"/>
  </r>
  <r>
    <x v="1"/>
    <x v="9"/>
    <d v="2025-08-27T00:00:00"/>
    <n v="382.5"/>
    <n v="1027.25"/>
    <n v="293.10000000000002"/>
    <n v="502.25"/>
    <n v="52.47"/>
    <n v="5.4173"/>
  </r>
  <r>
    <x v="1"/>
    <x v="9"/>
    <d v="2025-08-26T00:00:00"/>
    <n v="387.5"/>
    <n v="1028.75"/>
    <n v="297.2"/>
    <n v="509.5"/>
    <n v="52.76"/>
    <n v="5.4306999999999999"/>
  </r>
  <r>
    <x v="1"/>
    <x v="9"/>
    <d v="2025-08-25T00:00:00"/>
    <n v="389.25"/>
    <n v="1025.5"/>
    <n v="295.7"/>
    <n v="506.75"/>
    <n v="54.31"/>
    <n v="5.4116"/>
  </r>
  <r>
    <x v="1"/>
    <x v="9"/>
    <d v="2025-08-22T00:00:00"/>
    <n v="388.25"/>
    <n v="1036.5"/>
    <n v="296.7"/>
    <n v="504.75"/>
    <n v="54.84"/>
    <n v="5.4217000000000004"/>
  </r>
  <r>
    <x v="1"/>
    <x v="9"/>
    <d v="2025-08-21T00:00:00"/>
    <n v="387.25"/>
    <n v="1034.5"/>
    <n v="296.8"/>
    <n v="507"/>
    <n v="53.64"/>
    <n v="5.4706999999999999"/>
  </r>
  <r>
    <x v="1"/>
    <x v="9"/>
    <d v="2025-08-20T00:00:00"/>
    <n v="380"/>
    <n v="1015"/>
    <n v="292"/>
    <n v="505.5"/>
    <n v="51.2"/>
    <n v="5.4824000000000002"/>
  </r>
  <r>
    <x v="1"/>
    <x v="9"/>
    <d v="2025-08-19T00:00:00"/>
    <n v="379.5"/>
    <n v="1013"/>
    <n v="287.39999999999998"/>
    <n v="498.5"/>
    <n v="51.68"/>
    <n v="5.5035999999999996"/>
  </r>
  <r>
    <x v="1"/>
    <x v="9"/>
    <d v="2025-08-18T00:00:00"/>
    <n v="383"/>
    <n v="1020.75"/>
    <n v="280.39999999999998"/>
    <n v="502.75"/>
    <n v="53.27"/>
    <n v="5.4363000000000001"/>
  </r>
  <r>
    <x v="1"/>
    <x v="9"/>
    <d v="2025-08-15T00:00:00"/>
    <n v="383.75"/>
    <n v="1022.25"/>
    <n v="283.39999999999998"/>
    <n v="506.5"/>
    <n v="53.18"/>
    <n v="5.4005000000000001"/>
  </r>
  <r>
    <x v="1"/>
    <x v="9"/>
    <d v="2025-08-14T00:00:00"/>
    <n v="375"/>
    <n v="1008.5"/>
    <n v="282.10000000000002"/>
    <n v="503.5"/>
    <n v="51.99"/>
    <n v="5.4154999999999998"/>
  </r>
  <r>
    <x v="1"/>
    <x v="9"/>
    <d v="2025-08-13T00:00:00"/>
    <n v="374"/>
    <n v="1023.5"/>
    <n v="284.10000000000002"/>
    <n v="507.25"/>
    <n v="53.35"/>
    <n v="5.3986000000000001"/>
  </r>
  <r>
    <x v="1"/>
    <x v="9"/>
    <d v="2025-08-12T00:00:00"/>
    <n v="371.5"/>
    <n v="1011.75"/>
    <n v="278.39999999999998"/>
    <n v="505"/>
    <n v="53.3"/>
    <n v="5.3890000000000002"/>
  </r>
  <r>
    <x v="1"/>
    <x v="9"/>
    <d v="2025-08-11T00:00:00"/>
    <n v="385"/>
    <n v="989.5"/>
    <n v="277.7"/>
    <n v="515"/>
    <n v="53.29"/>
    <n v="5.4419000000000004"/>
  </r>
  <r>
    <x v="1"/>
    <x v="9"/>
    <d v="2025-08-08T00:00:00"/>
    <n v="382.75"/>
    <n v="966.75"/>
    <n v="273.39999999999998"/>
    <n v="514.5"/>
    <n v="52.76"/>
    <n v="5.4333"/>
  </r>
  <r>
    <x v="1"/>
    <x v="9"/>
    <d v="2025-08-07T00:00:00"/>
    <n v="384.5"/>
    <n v="971.75"/>
    <n v="272.7"/>
    <n v="518.25"/>
    <n v="53.54"/>
    <n v="5.4230999999999998"/>
  </r>
  <r>
    <x v="1"/>
    <x v="9"/>
    <d v="2025-08-06T00:00:00"/>
    <n v="379.75"/>
    <n v="961.5"/>
    <n v="269.39999999999998"/>
    <n v="508.5"/>
    <n v="53.79"/>
    <n v="5.4625000000000004"/>
  </r>
  <r>
    <x v="1"/>
    <x v="9"/>
    <d v="2025-08-05T00:00:00"/>
    <n v="381.5"/>
    <n v="969"/>
    <n v="273.60000000000002"/>
    <n v="508.25"/>
    <n v="53.84"/>
    <n v="5.5069999999999997"/>
  </r>
  <r>
    <x v="1"/>
    <x v="9"/>
    <d v="2025-08-04T00:00:00"/>
    <n v="387"/>
    <n v="969"/>
    <n v="273.8"/>
    <n v="516.75"/>
    <n v="54.5"/>
    <n v="5.4980000000000002"/>
  </r>
  <r>
    <x v="1"/>
    <x v="9"/>
    <d v="2025-08-01T00:00:00"/>
    <n v="389.5"/>
    <n v="961.75"/>
    <n v="267.5"/>
    <n v="516.75"/>
    <n v="54.72"/>
    <n v="5.5412999999999997"/>
  </r>
  <r>
    <x v="1"/>
    <x v="10"/>
    <d v="2025-07-31T00:00:00"/>
    <n v="394"/>
    <n v="961.75"/>
    <n v="261.8"/>
    <n v="523.25"/>
    <n v="55.58"/>
    <n v="5.6007999999999996"/>
  </r>
  <r>
    <x v="1"/>
    <x v="10"/>
    <d v="2025-07-30T00:00:00"/>
    <n v="391.75"/>
    <n v="967.75"/>
    <n v="260.7"/>
    <n v="523.75"/>
    <n v="56.5"/>
    <n v="5.5690999999999997"/>
  </r>
  <r>
    <x v="1"/>
    <x v="10"/>
    <d v="2025-07-29T00:00:00"/>
    <n v="389.25"/>
    <n v="981.75"/>
    <n v="261.7"/>
    <n v="529.75"/>
    <n v="57.54"/>
    <n v="5.5742000000000003"/>
  </r>
  <r>
    <x v="1"/>
    <x v="10"/>
    <d v="2025-07-28T00:00:00"/>
    <n v="393.75"/>
    <n v="988.75"/>
    <n v="264.89999999999998"/>
    <n v="538.5"/>
    <n v="56.55"/>
    <n v="5.5883000000000003"/>
  </r>
  <r>
    <x v="1"/>
    <x v="10"/>
    <d v="2025-07-25T00:00:00"/>
    <n v="399.5"/>
    <n v="998.75"/>
    <n v="267.8"/>
    <n v="538.25"/>
    <n v="56.49"/>
    <n v="5.5628000000000002"/>
  </r>
  <r>
    <x v="1"/>
    <x v="10"/>
    <d v="2025-07-24T00:00:00"/>
    <n v="401.75"/>
    <n v="1004.25"/>
    <n v="269.7"/>
    <n v="541.5"/>
    <n v="56.67"/>
    <n v="5.5209999999999999"/>
  </r>
  <r>
    <x v="1"/>
    <x v="10"/>
    <d v="2025-07-23T00:00:00"/>
    <n v="398.5"/>
    <n v="1005.75"/>
    <n v="272"/>
    <n v="540.5"/>
    <n v="56.14"/>
    <n v="5.5198999999999998"/>
  </r>
  <r>
    <x v="1"/>
    <x v="10"/>
    <d v="2025-07-22T00:00:00"/>
    <n v="399.25"/>
    <n v="1010.25"/>
    <n v="273.8"/>
    <n v="549.5"/>
    <n v="55.63"/>
    <n v="5.5648999999999997"/>
  </r>
  <r>
    <x v="1"/>
    <x v="10"/>
    <d v="2025-07-21T00:00:00"/>
    <n v="403.75"/>
    <n v="1015"/>
    <n v="270.5"/>
    <n v="542.25"/>
    <n v="56.07"/>
    <n v="5.5666000000000002"/>
  </r>
  <r>
    <x v="1"/>
    <x v="10"/>
    <d v="2025-07-18T00:00:00"/>
    <n v="408.5"/>
    <n v="1027.75"/>
    <n v="274"/>
    <n v="546.25"/>
    <n v="55.82"/>
    <n v="5.5785"/>
  </r>
  <r>
    <x v="1"/>
    <x v="10"/>
    <d v="2025-07-17T00:00:00"/>
    <n v="402"/>
    <n v="1021.5"/>
    <n v="268.7"/>
    <n v="533.5"/>
    <n v="56.22"/>
    <n v="5.5435999999999996"/>
  </r>
  <r>
    <x v="1"/>
    <x v="10"/>
    <d v="2025-07-16T00:00:00"/>
    <n v="405.25"/>
    <n v="1013.5"/>
    <n v="268.39999999999998"/>
    <n v="541.25"/>
    <n v="54.82"/>
    <n v="5.5682999999999998"/>
  </r>
  <r>
    <x v="1"/>
    <x v="10"/>
    <d v="2025-07-15T00:00:00"/>
    <n v="401.25"/>
    <n v="995"/>
    <n v="265.3"/>
    <n v="538"/>
    <n v="54.56"/>
    <n v="5.5566000000000004"/>
  </r>
  <r>
    <x v="1"/>
    <x v="10"/>
    <d v="2025-07-14T00:00:00"/>
    <n v="412.75"/>
    <n v="997"/>
    <n v="265.2"/>
    <n v="534"/>
    <n v="54.41"/>
    <n v="5.5888"/>
  </r>
  <r>
    <x v="1"/>
    <x v="10"/>
    <d v="2025-07-11T00:00:00"/>
    <n v="403"/>
    <n v="1004"/>
    <n v="267.60000000000002"/>
    <n v="540.75"/>
    <n v="54.41"/>
    <n v="5.5583999999999998"/>
  </r>
  <r>
    <x v="1"/>
    <x v="10"/>
    <d v="2025-07-10T00:00:00"/>
    <n v="407.25"/>
    <n v="1012.5"/>
    <n v="268.5"/>
    <n v="550.25"/>
    <n v="53.67"/>
    <n v="5.5312999999999999"/>
  </r>
  <r>
    <x v="1"/>
    <x v="10"/>
    <d v="2025-07-09T00:00:00"/>
    <n v="412.5"/>
    <n v="1012.25"/>
    <n v="266.10000000000002"/>
    <n v="542.75"/>
    <n v="53.35"/>
    <n v="5.5757000000000003"/>
  </r>
  <r>
    <x v="1"/>
    <x v="10"/>
    <d v="2025-07-08T00:00:00"/>
    <n v="411"/>
    <n v="1024.25"/>
    <n v="267.2"/>
    <n v="543"/>
    <n v="54.11"/>
    <n v="5.4466000000000001"/>
  </r>
  <r>
    <x v="1"/>
    <x v="10"/>
    <d v="2025-07-07T00:00:00"/>
    <n v="418"/>
    <n v="1031.75"/>
    <n v="268.5"/>
    <n v="539.75"/>
    <n v="54.07"/>
    <n v="5.4871999999999996"/>
  </r>
  <r>
    <x v="1"/>
    <x v="10"/>
    <d v="2025-07-04T00:00:00"/>
    <m/>
    <m/>
    <m/>
    <m/>
    <m/>
    <n v="5.4207000000000001"/>
  </r>
  <r>
    <x v="1"/>
    <x v="10"/>
    <d v="2025-07-03T00:00:00"/>
    <n v="431.5"/>
    <n v="1056.25"/>
    <n v="273.8"/>
    <n v="547.75"/>
    <n v="54.7"/>
    <n v="5.4081999999999999"/>
  </r>
  <r>
    <x v="1"/>
    <x v="10"/>
    <d v="2025-07-02T00:00:00"/>
    <n v="429.25"/>
    <n v="1050.5"/>
    <n v="272.39999999999998"/>
    <n v="556"/>
    <n v="55.06"/>
    <n v="5.4234999999999998"/>
  </r>
  <r>
    <x v="1"/>
    <x v="10"/>
    <d v="2025-07-01T00:00:00"/>
    <n v="420"/>
    <n v="1024.75"/>
    <n v="269.2"/>
    <n v="537.25"/>
    <n v="53.76"/>
    <n v="5.4580000000000002"/>
  </r>
  <r>
    <x v="1"/>
    <x v="11"/>
    <d v="2025-06-30T00:00:00"/>
    <n v="420.5"/>
    <n v="1024.25"/>
    <n v="271.3"/>
    <n v="528.75"/>
    <n v="52.51"/>
    <n v="5.4321000000000002"/>
  </r>
  <r>
    <x v="1"/>
    <x v="11"/>
    <d v="2025-06-27T00:00:00"/>
    <n v="417.5"/>
    <n v="1027.75"/>
    <n v="271.10000000000002"/>
    <n v="524.75"/>
    <n v="52.45"/>
    <n v="5.4846000000000004"/>
  </r>
  <r>
    <x v="1"/>
    <x v="11"/>
    <d v="2025-06-26T00:00:00"/>
    <n v="409.5"/>
    <n v="1022.75"/>
    <n v="270.89999999999998"/>
    <n v="521"/>
    <n v="52.52"/>
    <n v="5.4885000000000002"/>
  </r>
  <r>
    <x v="1"/>
    <x v="11"/>
    <d v="2025-06-25T00:00:00"/>
    <n v="410.25"/>
    <n v="1025.25"/>
    <n v="276"/>
    <n v="528.25"/>
    <n v="51.82"/>
    <n v="5.5629"/>
  </r>
  <r>
    <x v="1"/>
    <x v="11"/>
    <d v="2025-06-24T00:00:00"/>
    <n v="416.25"/>
    <n v="1046.75"/>
    <n v="280.5"/>
    <n v="535.75"/>
    <n v="52.17"/>
    <n v="5.5106000000000002"/>
  </r>
  <r>
    <x v="1"/>
    <x v="11"/>
    <d v="2025-06-23T00:00:00"/>
    <n v="419.25"/>
    <n v="1058.75"/>
    <n v="282.39999999999998"/>
    <n v="552.75"/>
    <n v="53.24"/>
    <n v="5.4957000000000003"/>
  </r>
  <r>
    <x v="1"/>
    <x v="11"/>
    <d v="2025-06-20T00:00:00"/>
    <n v="428.75"/>
    <n v="1068"/>
    <n v="284.10000000000002"/>
    <n v="567.75"/>
    <n v="54.47"/>
    <n v="5.5126999999999997"/>
  </r>
  <r>
    <x v="1"/>
    <x v="11"/>
    <d v="2025-06-19T00:00:00"/>
    <m/>
    <m/>
    <m/>
    <m/>
    <m/>
    <n v="5.4909999999999997"/>
  </r>
  <r>
    <x v="1"/>
    <x v="11"/>
    <d v="2025-06-18T00:00:00"/>
    <n v="433.5"/>
    <n v="1074.75"/>
    <n v="284.89999999999998"/>
    <n v="574.25"/>
    <n v="54.77"/>
    <n v="5.4908999999999999"/>
  </r>
  <r>
    <x v="1"/>
    <x v="11"/>
    <d v="2025-06-17T00:00:00"/>
    <n v="431.5"/>
    <n v="1074"/>
    <n v="285.10000000000002"/>
    <n v="549"/>
    <n v="54.79"/>
    <n v="5.4992000000000001"/>
  </r>
  <r>
    <x v="1"/>
    <x v="11"/>
    <d v="2025-06-16T00:00:00"/>
    <n v="434.75"/>
    <n v="1069.75"/>
    <n v="283.7"/>
    <n v="536.5"/>
    <n v="55.11"/>
    <n v="5.4912000000000001"/>
  </r>
  <r>
    <x v="1"/>
    <x v="11"/>
    <d v="2025-06-13T00:00:00"/>
    <n v="444.5"/>
    <n v="1069.75"/>
    <n v="291.89999999999998"/>
    <n v="543.75"/>
    <n v="50.61"/>
    <n v="5.5434000000000001"/>
  </r>
  <r>
    <x v="1"/>
    <x v="11"/>
    <d v="2025-06-12T00:00:00"/>
    <n v="438.5"/>
    <n v="1042.25"/>
    <n v="294.5"/>
    <n v="526.5"/>
    <n v="47.61"/>
    <n v="5.5369999999999999"/>
  </r>
  <r>
    <x v="1"/>
    <x v="11"/>
    <d v="2025-06-11T00:00:00"/>
    <n v="437"/>
    <n v="1050.5"/>
    <n v="294.2"/>
    <n v="534.25"/>
    <n v="48.02"/>
    <n v="5.5359999999999996"/>
  </r>
  <r>
    <x v="1"/>
    <x v="11"/>
    <d v="2025-06-10T00:00:00"/>
    <n v="438.75"/>
    <n v="1057.75"/>
    <n v="295.89999999999998"/>
    <n v="534.5"/>
    <n v="47.79"/>
    <n v="5.5739000000000001"/>
  </r>
  <r>
    <x v="1"/>
    <x v="11"/>
    <d v="2025-06-09T00:00:00"/>
    <n v="433.5"/>
    <n v="1056"/>
    <n v="295.5"/>
    <n v="542"/>
    <n v="47.38"/>
    <n v="5.5583999999999998"/>
  </r>
  <r>
    <x v="1"/>
    <x v="11"/>
    <d v="2025-06-06T00:00:00"/>
    <n v="442.5"/>
    <n v="1057.25"/>
    <n v="295.7"/>
    <n v="554.75"/>
    <n v="47.5"/>
    <n v="5.5587"/>
  </r>
  <r>
    <x v="1"/>
    <x v="11"/>
    <d v="2025-06-05T00:00:00"/>
    <n v="439.5"/>
    <n v="1051.75"/>
    <n v="297.10000000000002"/>
    <n v="545.5"/>
    <n v="46.65"/>
    <n v="5.5884999999999998"/>
  </r>
  <r>
    <x v="1"/>
    <x v="11"/>
    <d v="2025-06-04T00:00:00"/>
    <n v="438.75"/>
    <n v="1045"/>
    <n v="297.10000000000002"/>
    <n v="543.25"/>
    <n v="46.81"/>
    <n v="5.6361999999999997"/>
  </r>
  <r>
    <x v="1"/>
    <x v="11"/>
    <d v="2025-06-03T00:00:00"/>
    <n v="438.5"/>
    <n v="1040.75"/>
    <n v="294.5"/>
    <n v="536"/>
    <n v="46.81"/>
    <n v="5.6383000000000001"/>
  </r>
  <r>
    <x v="1"/>
    <x v="11"/>
    <d v="2025-06-02T00:00:00"/>
    <n v="438.25"/>
    <n v="1033.5"/>
    <n v="293.89999999999998"/>
    <n v="539"/>
    <n v="46.28"/>
    <n v="5.6726000000000001"/>
  </r>
  <r>
    <x v="1"/>
    <x v="0"/>
    <d v="2025-05-30T00:00:00"/>
    <n v="444"/>
    <n v="1041.75"/>
    <n v="296.3"/>
    <n v="534"/>
    <n v="46.89"/>
    <n v="5.7224000000000004"/>
  </r>
  <r>
    <x v="1"/>
    <x v="0"/>
    <d v="2025-05-29T00:00:00"/>
    <n v="447"/>
    <n v="1051.75"/>
    <n v="296.39999999999998"/>
    <n v="534"/>
    <n v="48.39"/>
    <n v="5.6661999999999999"/>
  </r>
  <r>
    <x v="1"/>
    <x v="0"/>
    <d v="2025-05-28T00:00:00"/>
    <n v="451"/>
    <n v="1048.5"/>
    <n v="293.7"/>
    <n v="530.25"/>
    <n v="48.93"/>
    <n v="5.6886999999999999"/>
  </r>
  <r>
    <x v="1"/>
    <x v="0"/>
    <d v="2025-05-27T00:00:00"/>
    <n v="459.5"/>
    <n v="1062.5"/>
    <n v="296.3"/>
    <n v="528.5"/>
    <n v="49.57"/>
    <n v="5.6414"/>
  </r>
  <r>
    <x v="1"/>
    <x v="0"/>
    <d v="2025-05-26T00:00:00"/>
    <m/>
    <m/>
    <m/>
    <m/>
    <m/>
    <n v="5.6688000000000001"/>
  </r>
  <r>
    <x v="1"/>
    <x v="0"/>
    <d v="2025-05-23T00:00:00"/>
    <n v="459.5"/>
    <n v="1060.25"/>
    <n v="296.2"/>
    <n v="542.5"/>
    <n v="49.35"/>
    <n v="5.6463000000000001"/>
  </r>
  <r>
    <x v="1"/>
    <x v="0"/>
    <d v="2025-05-22T00:00:00"/>
    <n v="463"/>
    <n v="1067.5"/>
    <n v="298.5"/>
    <n v="544.5"/>
    <n v="49.11"/>
    <n v="5.7145000000000001"/>
  </r>
  <r>
    <x v="1"/>
    <x v="0"/>
    <d v="2025-05-21T00:00:00"/>
    <n v="461"/>
    <n v="1062.75"/>
    <n v="294.10000000000002"/>
    <n v="549.25"/>
    <n v="49.83"/>
    <n v="5.6448"/>
  </r>
  <r>
    <x v="1"/>
    <x v="0"/>
    <d v="2025-05-20T00:00:00"/>
    <n v="454.5"/>
    <n v="1053"/>
    <n v="292.60000000000002"/>
    <n v="546"/>
    <n v="49.5"/>
    <n v="5.6677"/>
  </r>
  <r>
    <x v="1"/>
    <x v="0"/>
    <d v="2025-05-19T00:00:00"/>
    <n v="447.5"/>
    <n v="1050.75"/>
    <n v="291.10000000000002"/>
    <n v="529"/>
    <n v="49.44"/>
    <n v="5.6512000000000002"/>
  </r>
  <r>
    <x v="1"/>
    <x v="0"/>
    <d v="2025-05-16T00:00:00"/>
    <n v="443.5"/>
    <n v="1050"/>
    <n v="291.89999999999998"/>
    <n v="525"/>
    <n v="48.93"/>
    <n v="5.6624999999999996"/>
  </r>
  <r>
    <x v="1"/>
    <x v="0"/>
    <d v="2025-05-15T00:00:00"/>
    <n v="448.5"/>
    <n v="1051.25"/>
    <n v="296.39999999999998"/>
    <n v="532.75"/>
    <n v="49.32"/>
    <n v="5.6813000000000002"/>
  </r>
  <r>
    <x v="1"/>
    <x v="0"/>
    <d v="2025-05-14T00:00:00"/>
    <n v="438.5"/>
    <n v="1067"/>
    <n v="285.39999999999998"/>
    <n v="508.75"/>
    <n v="51.62"/>
    <n v="5.6380999999999997"/>
  </r>
  <r>
    <x v="1"/>
    <x v="0"/>
    <d v="2025-05-13T00:00:00"/>
    <n v="436"/>
    <n v="1067.25"/>
    <n v="285.89999999999998"/>
    <n v="501.5"/>
    <n v="51.1"/>
    <n v="5.6079999999999997"/>
  </r>
  <r>
    <x v="1"/>
    <x v="0"/>
    <d v="2025-05-12T00:00:00"/>
    <n v="440.25"/>
    <n v="1066"/>
    <n v="291.10000000000002"/>
    <n v="499"/>
    <n v="49.49"/>
    <n v="5.6746999999999996"/>
  </r>
  <r>
    <x v="1"/>
    <x v="0"/>
    <d v="2025-05-09T00:00:00"/>
    <n v="441.5"/>
    <n v="1044"/>
    <n v="287.2"/>
    <n v="505.5"/>
    <n v="48.15"/>
    <n v="5.6553000000000004"/>
  </r>
  <r>
    <x v="1"/>
    <x v="0"/>
    <d v="2025-05-08T00:00:00"/>
    <n v="439"/>
    <n v="1036.75"/>
    <n v="287.8"/>
    <n v="513"/>
    <n v="48.03"/>
    <n v="5.6604000000000001"/>
  </r>
  <r>
    <x v="1"/>
    <x v="0"/>
    <d v="2025-05-07T00:00:00"/>
    <n v="441"/>
    <n v="1030.5"/>
    <n v="288"/>
    <n v="518"/>
    <n v="46.95"/>
    <n v="5.7453000000000003"/>
  </r>
  <r>
    <x v="1"/>
    <x v="0"/>
    <d v="2025-05-06T00:00:00"/>
    <n v="447.5"/>
    <n v="1034.75"/>
    <n v="286.10000000000002"/>
    <n v="519"/>
    <n v="47.98"/>
    <n v="5.7127999999999997"/>
  </r>
  <r>
    <x v="1"/>
    <x v="0"/>
    <d v="2025-05-05T00:00:00"/>
    <n v="446.5"/>
    <n v="1038"/>
    <n v="288.7"/>
    <n v="514.25"/>
    <n v="48.37"/>
    <n v="5.6878000000000002"/>
  </r>
  <r>
    <x v="1"/>
    <x v="0"/>
    <d v="2025-05-02T00:00:00"/>
    <n v="461.25"/>
    <n v="1048.75"/>
    <n v="290.2"/>
    <n v="526.5"/>
    <n v="49.08"/>
    <n v="5.6570999999999998"/>
  </r>
  <r>
    <x v="1"/>
    <x v="0"/>
    <d v="2025-05-01T00:00:00"/>
    <n v="464.25"/>
    <n v="1040.25"/>
    <n v="286.5"/>
    <n v="515.25"/>
    <n v="49.36"/>
    <n v="5.6729000000000003"/>
  </r>
  <r>
    <x v="1"/>
    <x v="1"/>
    <d v="2025-04-30T00:00:00"/>
    <n v="467.25"/>
    <n v="1034.75"/>
    <n v="290"/>
    <n v="513"/>
    <n v="48.58"/>
    <n v="5.6740000000000004"/>
  </r>
  <r>
    <x v="1"/>
    <x v="1"/>
    <d v="2025-04-29T00:00:00"/>
    <n v="460.5"/>
    <n v="1041"/>
    <n v="290.5"/>
    <n v="505.75"/>
    <n v="48.85"/>
    <n v="5.6204999999999998"/>
  </r>
  <r>
    <x v="1"/>
    <x v="1"/>
    <d v="2025-04-28T00:00:00"/>
    <n v="475.5"/>
    <n v="1052"/>
    <n v="287"/>
    <n v="515.5"/>
    <n v="49.91"/>
    <n v="5.6542000000000003"/>
  </r>
  <r>
    <x v="1"/>
    <x v="1"/>
    <d v="2025-04-25T00:00:00"/>
    <n v="478.75"/>
    <n v="1049.75"/>
    <n v="290"/>
    <n v="530"/>
    <n v="49.28"/>
    <n v="5.6833"/>
  </r>
  <r>
    <x v="1"/>
    <x v="1"/>
    <d v="2025-04-24T00:00:00"/>
    <n v="477.25"/>
    <n v="1053"/>
    <n v="288.7"/>
    <n v="529.25"/>
    <n v="49.65"/>
    <n v="5.6825000000000001"/>
  </r>
  <r>
    <x v="1"/>
    <x v="1"/>
    <d v="2025-04-23T00:00:00"/>
    <n v="472"/>
    <n v="1040.25"/>
    <n v="290.8"/>
    <n v="528.25"/>
    <n v="47.91"/>
    <n v="5.7089999999999996"/>
  </r>
  <r>
    <x v="1"/>
    <x v="1"/>
    <d v="2025-04-22T00:00:00"/>
    <n v="475.75"/>
    <n v="1035"/>
    <n v="291.89999999999998"/>
    <n v="535.5"/>
    <n v="47.58"/>
    <n v="5.7249999999999996"/>
  </r>
  <r>
    <x v="1"/>
    <x v="1"/>
    <d v="2025-04-21T00:00:00"/>
    <n v="481.75"/>
    <n v="1029.5"/>
    <n v="292.89999999999998"/>
    <n v="538.5"/>
    <n v="47.82"/>
    <n v="5.8067000000000002"/>
  </r>
  <r>
    <x v="1"/>
    <x v="1"/>
    <d v="2025-04-18T00:00:00"/>
    <m/>
    <m/>
    <m/>
    <m/>
    <m/>
    <n v="5.8067000000000002"/>
  </r>
  <r>
    <x v="1"/>
    <x v="1"/>
    <d v="2025-04-17T00:00:00"/>
    <n v="482.25"/>
    <n v="1036.5"/>
    <n v="295.60000000000002"/>
    <n v="548.75"/>
    <n v="47.87"/>
    <n v="5.8063000000000002"/>
  </r>
  <r>
    <x v="1"/>
    <x v="1"/>
    <d v="2025-04-16T00:00:00"/>
    <n v="484.25"/>
    <n v="1038.75"/>
    <n v="296.7"/>
    <n v="547.75"/>
    <n v="47.48"/>
    <n v="5.8663999999999996"/>
  </r>
  <r>
    <x v="1"/>
    <x v="1"/>
    <d v="2025-04-15T00:00:00"/>
    <n v="481.25"/>
    <n v="1036"/>
    <n v="294.2"/>
    <n v="542"/>
    <n v="47.33"/>
    <n v="5.8859000000000004"/>
  </r>
  <r>
    <x v="1"/>
    <x v="1"/>
    <d v="2025-04-14T00:00:00"/>
    <n v="485"/>
    <n v="1041.75"/>
    <n v="297.10000000000002"/>
    <n v="547.5"/>
    <n v="46.32"/>
    <n v="5.8551000000000002"/>
  </r>
  <r>
    <x v="1"/>
    <x v="1"/>
    <d v="2025-04-11T00:00:00"/>
    <n v="490.25"/>
    <n v="1042.75"/>
    <n v="299.60000000000002"/>
    <n v="555.75"/>
    <n v="47.35"/>
    <n v="5.8647999999999998"/>
  </r>
  <r>
    <x v="1"/>
    <x v="1"/>
    <d v="2025-04-10T00:00:00"/>
    <n v="483"/>
    <n v="1029"/>
    <n v="297.89999999999998"/>
    <n v="538"/>
    <n v="46.32"/>
    <n v="5.8856000000000002"/>
  </r>
  <r>
    <x v="1"/>
    <x v="1"/>
    <d v="2025-04-09T00:00:00"/>
    <n v="474"/>
    <n v="1012.75"/>
    <n v="294.5"/>
    <n v="542.25"/>
    <n v="46.19"/>
    <n v="5.8215000000000003"/>
  </r>
  <r>
    <x v="1"/>
    <x v="1"/>
    <d v="2025-04-08T00:00:00"/>
    <n v="469"/>
    <n v="992.75"/>
    <n v="291"/>
    <n v="540"/>
    <n v="44.94"/>
    <n v="6.0109000000000004"/>
  </r>
  <r>
    <x v="1"/>
    <x v="1"/>
    <d v="2025-04-07T00:00:00"/>
    <n v="464.5"/>
    <n v="983"/>
    <n v="288.39999999999998"/>
    <n v="536.5"/>
    <n v="45.15"/>
    <n v="5.9138999999999999"/>
  </r>
  <r>
    <x v="1"/>
    <x v="1"/>
    <d v="2025-04-04T00:00:00"/>
    <n v="460.25"/>
    <n v="977"/>
    <n v="283.10000000000002"/>
    <n v="529"/>
    <n v="45.84"/>
    <n v="5.8425000000000002"/>
  </r>
  <r>
    <x v="1"/>
    <x v="1"/>
    <d v="2025-04-03T00:00:00"/>
    <n v="457.5"/>
    <n v="1011.5"/>
    <n v="288"/>
    <n v="536"/>
    <n v="47.06"/>
    <n v="5.6289999999999996"/>
  </r>
  <r>
    <x v="1"/>
    <x v="1"/>
    <d v="2025-04-02T00:00:00"/>
    <n v="457.75"/>
    <n v="1029.5"/>
    <n v="287.2"/>
    <n v="539.25"/>
    <n v="48.5"/>
    <n v="5.6607000000000003"/>
  </r>
  <r>
    <x v="1"/>
    <x v="1"/>
    <d v="2025-04-01T00:00:00"/>
    <n v="461.75"/>
    <n v="1034.25"/>
    <n v="292.3"/>
    <n v="540.5"/>
    <n v="47.44"/>
    <n v="5.6814999999999998"/>
  </r>
  <r>
    <x v="1"/>
    <x v="2"/>
    <d v="2025-03-31T00:00:00"/>
    <n v="457.25"/>
    <n v="1014.75"/>
    <n v="292.7"/>
    <n v="537"/>
    <n v="44.89"/>
    <n v="5.7046999999999999"/>
  </r>
  <r>
    <x v="1"/>
    <x v="2"/>
    <d v="2025-03-28T00:00:00"/>
    <n v="453.25"/>
    <n v="1023"/>
    <n v="293.5"/>
    <n v="528.25"/>
    <n v="45.16"/>
    <n v="5.7603999999999997"/>
  </r>
  <r>
    <x v="1"/>
    <x v="2"/>
    <d v="2025-03-27T00:00:00"/>
    <n v="450"/>
    <n v="1016.75"/>
    <n v="294.5"/>
    <n v="532"/>
    <n v="44.27"/>
    <n v="5.7451999999999996"/>
  </r>
  <r>
    <x v="1"/>
    <x v="2"/>
    <d v="2025-03-26T00:00:00"/>
    <n v="451.25"/>
    <n v="1001"/>
    <n v="293.60000000000002"/>
    <n v="535.25"/>
    <n v="42.64"/>
    <n v="5.7359"/>
  </r>
  <r>
    <x v="1"/>
    <x v="2"/>
    <d v="2025-03-25T00:00:00"/>
    <n v="457.75"/>
    <n v="1001.75"/>
    <n v="295.10000000000002"/>
    <n v="543.25"/>
    <n v="42.3"/>
    <n v="5.6989000000000001"/>
  </r>
  <r>
    <x v="1"/>
    <x v="2"/>
    <d v="2025-03-24T00:00:00"/>
    <n v="464.5"/>
    <n v="1007.25"/>
    <n v="297.60000000000002"/>
    <n v="548.25"/>
    <n v="42.15"/>
    <n v="5.7645999999999997"/>
  </r>
  <r>
    <x v="1"/>
    <x v="2"/>
    <d v="2025-03-21T00:00:00"/>
    <n v="464.25"/>
    <n v="1009.75"/>
    <n v="300.3"/>
    <n v="558.25"/>
    <n v="42.01"/>
    <n v="5.7290999999999999"/>
  </r>
  <r>
    <x v="1"/>
    <x v="2"/>
    <d v="2025-03-20T00:00:00"/>
    <n v="469"/>
    <n v="1013"/>
    <n v="297.10000000000002"/>
    <n v="557.25"/>
    <n v="42.71"/>
    <n v="5.6797000000000004"/>
  </r>
  <r>
    <x v="1"/>
    <x v="2"/>
    <d v="2025-03-19T00:00:00"/>
    <n v="462"/>
    <n v="1008.25"/>
    <n v="297.7"/>
    <n v="563.5"/>
    <n v="42.36"/>
    <n v="5.6485000000000003"/>
  </r>
  <r>
    <x v="1"/>
    <x v="2"/>
    <d v="2025-03-18T00:00:00"/>
    <n v="458.75"/>
    <n v="1012.75"/>
    <n v="299.89999999999998"/>
    <n v="565"/>
    <n v="42.54"/>
    <n v="5.6704999999999997"/>
  </r>
  <r>
    <x v="1"/>
    <x v="2"/>
    <d v="2025-03-17T00:00:00"/>
    <n v="461"/>
    <n v="1015.5"/>
    <n v="304.3"/>
    <n v="568.5"/>
    <n v="42.1"/>
    <n v="5.6835000000000004"/>
  </r>
  <r>
    <x v="1"/>
    <x v="2"/>
    <d v="2025-03-14T00:00:00"/>
    <n v="445.5"/>
    <n v="999.25"/>
    <n v="298.89999999999998"/>
    <n v="545.75"/>
    <n v="41"/>
    <n v="5.7385000000000002"/>
  </r>
  <r>
    <x v="1"/>
    <x v="2"/>
    <d v="2025-03-13T00:00:00"/>
    <n v="453.5"/>
    <n v="996.75"/>
    <n v="300.3"/>
    <n v="547.25"/>
    <n v="40.78"/>
    <n v="5.7990000000000004"/>
  </r>
  <r>
    <x v="1"/>
    <x v="2"/>
    <d v="2025-03-12T00:00:00"/>
    <n v="448.75"/>
    <n v="987.5"/>
    <n v="292.39999999999998"/>
    <n v="538.75"/>
    <n v="41.18"/>
    <n v="5.7977999999999996"/>
  </r>
  <r>
    <x v="1"/>
    <x v="2"/>
    <d v="2025-03-11T00:00:00"/>
    <n v="456.5"/>
    <n v="997.75"/>
    <n v="294.10000000000002"/>
    <n v="541"/>
    <n v="41.43"/>
    <n v="5.8102999999999998"/>
  </r>
  <r>
    <x v="1"/>
    <x v="2"/>
    <d v="2025-03-10T00:00:00"/>
    <n v="458.75"/>
    <n v="999.75"/>
    <n v="294.39999999999998"/>
    <n v="545.25"/>
    <n v="41.71"/>
    <n v="5.8555000000000001"/>
  </r>
  <r>
    <x v="1"/>
    <x v="2"/>
    <d v="2025-03-07T00:00:00"/>
    <n v="455.25"/>
    <n v="1010.25"/>
    <n v="296.5"/>
    <n v="533.75"/>
    <n v="42.87"/>
    <n v="5.7873999999999999"/>
  </r>
  <r>
    <x v="1"/>
    <x v="2"/>
    <d v="2025-03-06T00:00:00"/>
    <n v="449.5"/>
    <n v="1014"/>
    <n v="297.10000000000002"/>
    <n v="537"/>
    <n v="42.6"/>
    <n v="5.7638999999999996"/>
  </r>
  <r>
    <x v="1"/>
    <x v="2"/>
    <d v="2025-03-05T00:00:00"/>
    <n v="440.25"/>
    <n v="997.75"/>
    <n v="293"/>
    <n v="530.75"/>
    <n v="42.44"/>
    <n v="5.7393999999999998"/>
  </r>
  <r>
    <x v="1"/>
    <x v="2"/>
    <d v="2025-03-04T00:00:00"/>
    <n v="436"/>
    <n v="984"/>
    <n v="285.89999999999998"/>
    <n v="518.5"/>
    <n v="42.27"/>
    <n v="5.8852000000000002"/>
  </r>
  <r>
    <x v="1"/>
    <x v="2"/>
    <d v="2025-03-03T00:00:00"/>
    <n v="440.25"/>
    <n v="998.25"/>
    <n v="290.10000000000002"/>
    <n v="532"/>
    <n v="42.9"/>
    <n v="5.8852000000000002"/>
  </r>
  <r>
    <x v="1"/>
    <x v="3"/>
    <d v="2025-02-28T00:00:00"/>
    <n v="453.5"/>
    <n v="1011.5"/>
    <n v="291.7"/>
    <n v="537"/>
    <n v="43.53"/>
    <n v="5.8852000000000002"/>
  </r>
  <r>
    <x v="1"/>
    <x v="3"/>
    <d v="2025-02-27T00:00:00"/>
    <n v="464.75"/>
    <n v="1022.75"/>
    <n v="290.89999999999998"/>
    <n v="546.75"/>
    <n v="44.75"/>
    <n v="5.8400999999999996"/>
  </r>
  <r>
    <x v="1"/>
    <x v="3"/>
    <d v="2025-02-26T00:00:00"/>
    <n v="478.25"/>
    <n v="1024.5"/>
    <n v="293.39999999999998"/>
    <n v="566"/>
    <n v="44.97"/>
    <n v="5.8034999999999997"/>
  </r>
  <r>
    <x v="1"/>
    <x v="3"/>
    <d v="2025-02-25T00:00:00"/>
    <n v="479.75"/>
    <n v="1031.25"/>
    <n v="293.8"/>
    <n v="572.75"/>
    <n v="45.44"/>
    <n v="5.7396000000000003"/>
  </r>
  <r>
    <x v="1"/>
    <x v="3"/>
    <d v="2025-02-24T00:00:00"/>
    <n v="482.5"/>
    <n v="1029"/>
    <n v="291.8"/>
    <n v="579"/>
    <n v="45.7"/>
    <n v="5.7785000000000002"/>
  </r>
  <r>
    <x v="1"/>
    <x v="3"/>
    <d v="2025-02-21T00:00:00"/>
    <n v="491.25"/>
    <n v="1039.5"/>
    <n v="294.8"/>
    <n v="590"/>
    <n v="46.81"/>
    <n v="5.7320000000000002"/>
  </r>
  <r>
    <x v="1"/>
    <x v="3"/>
    <d v="2025-02-20T00:00:00"/>
    <n v="498"/>
    <n v="1045.5"/>
    <n v="296"/>
    <n v="585.5"/>
    <n v="47.26"/>
    <n v="5.7028999999999996"/>
  </r>
  <r>
    <x v="1"/>
    <x v="3"/>
    <d v="2025-02-19T00:00:00"/>
    <n v="497.5"/>
    <n v="1031.75"/>
    <n v="294.7"/>
    <n v="592"/>
    <n v="46.3"/>
    <n v="5.7214"/>
  </r>
  <r>
    <x v="1"/>
    <x v="3"/>
    <d v="2025-02-18T00:00:00"/>
    <n v="502"/>
    <n v="1038.5"/>
    <n v="293.8"/>
    <n v="604.75"/>
    <n v="47.3"/>
    <n v="5.6891999999999996"/>
  </r>
  <r>
    <x v="1"/>
    <x v="3"/>
    <d v="2025-02-17T00:00:00"/>
    <m/>
    <m/>
    <m/>
    <m/>
    <m/>
    <n v="5.7130000000000001"/>
  </r>
  <r>
    <x v="1"/>
    <x v="3"/>
    <d v="2025-02-14T00:00:00"/>
    <n v="496.25"/>
    <n v="1036"/>
    <n v="295.89999999999998"/>
    <n v="600"/>
    <n v="46.07"/>
    <n v="5.7042000000000002"/>
  </r>
  <r>
    <x v="1"/>
    <x v="3"/>
    <d v="2025-02-13T00:00:00"/>
    <n v="493.5"/>
    <n v="1030"/>
    <n v="292.7"/>
    <n v="577.75"/>
    <n v="46.25"/>
    <n v="5.7668999999999997"/>
  </r>
  <r>
    <x v="1"/>
    <x v="3"/>
    <d v="2025-02-12T00:00:00"/>
    <n v="490.25"/>
    <n v="1027.75"/>
    <n v="294.10000000000002"/>
    <n v="574.25"/>
    <n v="45.66"/>
    <n v="5.7648999999999999"/>
  </r>
  <r>
    <x v="1"/>
    <x v="3"/>
    <d v="2025-02-11T00:00:00"/>
    <n v="484"/>
    <n v="1043.5"/>
    <n v="296.60000000000002"/>
    <n v="577"/>
    <n v="46.13"/>
    <n v="5.7634999999999996"/>
  </r>
  <r>
    <x v="1"/>
    <x v="3"/>
    <d v="2025-02-10T00:00:00"/>
    <n v="491.5"/>
    <n v="1049.5"/>
    <n v="300.5"/>
    <n v="579.5"/>
    <n v="45.73"/>
    <n v="5.7873999999999999"/>
  </r>
  <r>
    <x v="1"/>
    <x v="3"/>
    <d v="2025-02-07T00:00:00"/>
    <n v="487.5"/>
    <n v="1049.5"/>
    <n v="301.39999999999998"/>
    <n v="582.75"/>
    <n v="45.98"/>
    <n v="5.8057999999999996"/>
  </r>
  <r>
    <x v="1"/>
    <x v="3"/>
    <d v="2025-02-06T00:00:00"/>
    <n v="495.25"/>
    <n v="1060.5"/>
    <n v="306.39999999999998"/>
    <n v="587.75"/>
    <n v="45.4"/>
    <n v="5.7617000000000003"/>
  </r>
  <r>
    <x v="1"/>
    <x v="3"/>
    <d v="2025-02-05T00:00:00"/>
    <n v="493.25"/>
    <n v="1057"/>
    <n v="308.3"/>
    <n v="572.25"/>
    <n v="45.09"/>
    <n v="5.7972999999999999"/>
  </r>
  <r>
    <x v="1"/>
    <x v="3"/>
    <d v="2025-02-04T00:00:00"/>
    <n v="494.5"/>
    <n v="1075"/>
    <n v="314"/>
    <n v="577"/>
    <n v="45.76"/>
    <n v="5.7539999999999996"/>
  </r>
  <r>
    <x v="1"/>
    <x v="3"/>
    <d v="2025-02-03T00:00:00"/>
    <n v="488.75"/>
    <n v="1058.25"/>
    <n v="303.7"/>
    <n v="566.75"/>
    <n v="46.51"/>
    <n v="5.8066000000000004"/>
  </r>
  <r>
    <x v="1"/>
    <x v="4"/>
    <d v="2025-01-31T00:00:00"/>
    <n v="482"/>
    <n v="1042"/>
    <n v="301.10000000000002"/>
    <n v="559.5"/>
    <n v="46.11"/>
    <n v="5.8410000000000002"/>
  </r>
  <r>
    <x v="1"/>
    <x v="4"/>
    <d v="2025-01-30T00:00:00"/>
    <n v="490.25"/>
    <n v="1044"/>
    <n v="304.7"/>
    <n v="566.5"/>
    <n v="44.98"/>
    <n v="5.8739999999999997"/>
  </r>
  <r>
    <x v="1"/>
    <x v="4"/>
    <d v="2025-01-29T00:00:00"/>
    <n v="497"/>
    <n v="1060.5"/>
    <n v="309.8"/>
    <n v="562.5"/>
    <n v="44.97"/>
    <n v="5.8563000000000001"/>
  </r>
  <r>
    <x v="1"/>
    <x v="4"/>
    <d v="2025-01-28T00:00:00"/>
    <n v="485.25"/>
    <n v="1045"/>
    <n v="301.60000000000002"/>
    <n v="545.25"/>
    <n v="45.13"/>
    <n v="5.8571"/>
  </r>
  <r>
    <x v="1"/>
    <x v="4"/>
    <d v="2025-01-27T00:00:00"/>
    <n v="482"/>
    <n v="1045"/>
    <n v="300.8"/>
    <n v="535.5"/>
    <n v="45"/>
    <n v="5.8925999999999998"/>
  </r>
  <r>
    <x v="1"/>
    <x v="4"/>
    <d v="2025-01-24T00:00:00"/>
    <n v="486.5"/>
    <n v="1055.75"/>
    <n v="304.89999999999998"/>
    <n v="544"/>
    <n v="45.22"/>
    <n v="5.9108999999999998"/>
  </r>
  <r>
    <x v="1"/>
    <x v="4"/>
    <d v="2025-01-23T00:00:00"/>
    <n v="489.75"/>
    <n v="1065.5"/>
    <n v="315.3"/>
    <n v="554"/>
    <n v="45.04"/>
    <n v="5.9242999999999997"/>
  </r>
  <r>
    <x v="1"/>
    <x v="4"/>
    <d v="2025-01-22T00:00:00"/>
    <n v="484.25"/>
    <n v="1056"/>
    <n v="315.8"/>
    <n v="554"/>
    <n v="44.42"/>
    <n v="5.9414999999999996"/>
  </r>
  <r>
    <x v="1"/>
    <x v="4"/>
    <d v="2025-01-21T00:00:00"/>
    <n v="490"/>
    <n v="1067.25"/>
    <n v="311"/>
    <n v="558.75"/>
    <n v="45.77"/>
    <n v="6.0220000000000002"/>
  </r>
  <r>
    <x v="1"/>
    <x v="4"/>
    <d v="2025-01-20T00:00:00"/>
    <m/>
    <m/>
    <m/>
    <m/>
    <m/>
    <n v="6.0315000000000003"/>
  </r>
  <r>
    <x v="1"/>
    <x v="4"/>
    <d v="2025-01-17T00:00:00"/>
    <n v="484.25"/>
    <n v="1034"/>
    <n v="297.2"/>
    <n v="538.75"/>
    <n v="45.69"/>
    <n v="6.0704000000000002"/>
  </r>
  <r>
    <x v="1"/>
    <x v="4"/>
    <d v="2025-01-16T00:00:00"/>
    <n v="474.5"/>
    <n v="1019"/>
    <n v="294.39999999999998"/>
    <n v="537.5"/>
    <n v="45.03"/>
    <n v="6.0499000000000001"/>
  </r>
  <r>
    <x v="1"/>
    <x v="4"/>
    <d v="2025-01-15T00:00:00"/>
    <n v="478.75"/>
    <n v="1042.75"/>
    <n v="302"/>
    <n v="547"/>
    <n v="46.27"/>
    <n v="6.0098000000000003"/>
  </r>
  <r>
    <x v="1"/>
    <x v="4"/>
    <d v="2025-01-14T00:00:00"/>
    <n v="474.5"/>
    <n v="1043"/>
    <n v="298.39999999999998"/>
    <n v="546.25"/>
    <n v="45.73"/>
    <n v="6.0559000000000003"/>
  </r>
  <r>
    <x v="1"/>
    <x v="4"/>
    <d v="2025-01-13T00:00:00"/>
    <n v="476.5"/>
    <n v="1041.5"/>
    <n v="300.2"/>
    <n v="545"/>
    <n v="45.47"/>
    <n v="6.0944000000000003"/>
  </r>
  <r>
    <x v="1"/>
    <x v="4"/>
    <d v="2025-01-10T00:00:00"/>
    <n v="470.5"/>
    <n v="1013.5"/>
    <n v="290.60000000000002"/>
    <n v="530.75"/>
    <n v="45.05"/>
    <n v="6.1052999999999997"/>
  </r>
  <r>
    <x v="1"/>
    <x v="4"/>
    <d v="2025-01-09T00:00:00"/>
    <n v="456"/>
    <n v="992.25"/>
    <n v="291.8"/>
    <n v="534"/>
    <n v="42.28"/>
    <n v="6.0364000000000004"/>
  </r>
  <r>
    <x v="1"/>
    <x v="4"/>
    <d v="2025-01-08T00:00:00"/>
    <n v="454"/>
    <n v="987.5"/>
    <n v="292.60000000000002"/>
    <n v="536.25"/>
    <n v="41.11"/>
    <n v="6.1055000000000001"/>
  </r>
  <r>
    <x v="1"/>
    <x v="4"/>
    <d v="2025-01-07T00:00:00"/>
    <n v="458"/>
    <n v="992.25"/>
    <n v="295.3"/>
    <n v="542.5"/>
    <n v="40.72"/>
    <n v="6.101"/>
  </r>
  <r>
    <x v="1"/>
    <x v="4"/>
    <d v="2025-01-06T00:00:00"/>
    <n v="457.75"/>
    <n v="992.5"/>
    <n v="298.60000000000002"/>
    <n v="540.5"/>
    <n v="39.76"/>
    <n v="6.1151999999999997"/>
  </r>
  <r>
    <x v="1"/>
    <x v="4"/>
    <d v="2025-01-03T00:00:00"/>
    <n v="450.75"/>
    <n v="981"/>
    <n v="299.89999999999998"/>
    <n v="529.25"/>
    <n v="39.4"/>
    <n v="6.1798000000000002"/>
  </r>
  <r>
    <x v="1"/>
    <x v="4"/>
    <d v="2025-01-02T00:00:00"/>
    <n v="459.5"/>
    <n v="999.5"/>
    <n v="310.89999999999998"/>
    <n v="545.75"/>
    <n v="39.72"/>
    <n v="6.1519000000000004"/>
  </r>
  <r>
    <x v="1"/>
    <x v="4"/>
    <d v="2025-01-01T00:00:00"/>
    <m/>
    <m/>
    <m/>
    <m/>
    <m/>
    <n v="6.1840000000000002"/>
  </r>
  <r>
    <x v="2"/>
    <x v="5"/>
    <d v="2024-12-31T00:00:00"/>
    <n v="458.5"/>
    <n v="998.25"/>
    <n v="307.60000000000002"/>
    <n v="551.5"/>
    <n v="39.78"/>
    <n v="6.1778000000000004"/>
  </r>
  <r>
    <x v="2"/>
    <x v="5"/>
    <d v="2024-12-30T00:00:00"/>
    <n v="452.25"/>
    <n v="982"/>
    <n v="302.60000000000002"/>
    <n v="548.25"/>
    <n v="39.72"/>
    <n v="6.1778000000000004"/>
  </r>
  <r>
    <x v="2"/>
    <x v="5"/>
    <d v="2024-12-27T00:00:00"/>
    <n v="454"/>
    <n v="980"/>
    <n v="300.89999999999998"/>
    <n v="546.5"/>
    <n v="39.520000000000003"/>
    <n v="6.1963999999999997"/>
  </r>
  <r>
    <x v="2"/>
    <x v="5"/>
    <d v="2024-12-26T00:00:00"/>
    <n v="453.75"/>
    <n v="988"/>
    <n v="305.7"/>
    <n v="541"/>
    <n v="39.47"/>
    <n v="6.1828000000000003"/>
  </r>
  <r>
    <x v="2"/>
    <x v="5"/>
    <d v="2024-12-25T00:00:00"/>
    <m/>
    <m/>
    <m/>
    <m/>
    <m/>
    <n v="6.1905999999999999"/>
  </r>
  <r>
    <x v="2"/>
    <x v="5"/>
    <d v="2024-12-24T00:00:00"/>
    <n v="448.5"/>
    <n v="975.25"/>
    <n v="292.89999999999998"/>
    <n v="534.75"/>
    <n v="39.840000000000003"/>
    <n v="6.1905999999999999"/>
  </r>
  <r>
    <x v="2"/>
    <x v="5"/>
    <d v="2024-12-23T00:00:00"/>
    <n v="447.75"/>
    <n v="969.5"/>
    <n v="289.5"/>
    <n v="540.5"/>
    <n v="40.229999999999997"/>
    <n v="6.1939000000000002"/>
  </r>
  <r>
    <x v="2"/>
    <x v="5"/>
    <d v="2024-12-20T00:00:00"/>
    <n v="446.25"/>
    <n v="974.5"/>
    <n v="294.5"/>
    <n v="533"/>
    <n v="39.479999999999997"/>
    <n v="6.0853000000000002"/>
  </r>
  <r>
    <x v="2"/>
    <x v="5"/>
    <d v="2024-12-19T00:00:00"/>
    <n v="440.75"/>
    <n v="963"/>
    <n v="284.10000000000002"/>
    <n v="533"/>
    <n v="40.01"/>
    <n v="6.1524999999999999"/>
  </r>
  <r>
    <x v="2"/>
    <x v="5"/>
    <d v="2024-12-18T00:00:00"/>
    <n v="437.25"/>
    <n v="951.75"/>
    <n v="279.5"/>
    <n v="541.25"/>
    <n v="39.549999999999997"/>
    <n v="6.2896000000000001"/>
  </r>
  <r>
    <x v="2"/>
    <x v="5"/>
    <d v="2024-12-17T00:00:00"/>
    <n v="443.5"/>
    <n v="976.75"/>
    <n v="287.2"/>
    <n v="545"/>
    <n v="40.619999999999997"/>
    <n v="6.1048"/>
  </r>
  <r>
    <x v="2"/>
    <x v="5"/>
    <d v="2024-12-16T00:00:00"/>
    <n v="445"/>
    <n v="982"/>
    <n v="286.89999999999998"/>
    <n v="550"/>
    <n v="41.72"/>
    <n v="6.1478999999999999"/>
  </r>
  <r>
    <x v="2"/>
    <x v="5"/>
    <d v="2024-12-13T00:00:00"/>
    <n v="430"/>
    <n v="988.25"/>
    <n v="284.10000000000002"/>
    <n v="526.5"/>
    <n v="42.28"/>
    <n v="6.0419"/>
  </r>
  <r>
    <x v="2"/>
    <x v="5"/>
    <d v="2024-12-12T00:00:00"/>
    <n v="431.75"/>
    <n v="995.75"/>
    <n v="286.5"/>
    <n v="538.75"/>
    <n v="42.47"/>
    <n v="5.9915000000000003"/>
  </r>
  <r>
    <x v="2"/>
    <x v="5"/>
    <d v="2024-12-11T00:00:00"/>
    <n v="438"/>
    <n v="995.5"/>
    <n v="288"/>
    <n v="543.5"/>
    <n v="42.26"/>
    <n v="5.9542999999999999"/>
  </r>
  <r>
    <x v="2"/>
    <x v="5"/>
    <d v="2024-12-10T00:00:00"/>
    <n v="440.5"/>
    <n v="994.75"/>
    <n v="288.8"/>
    <n v="542"/>
    <n v="42.56"/>
    <n v="6.0449999999999999"/>
  </r>
  <r>
    <x v="2"/>
    <x v="5"/>
    <d v="2024-12-09T00:00:00"/>
    <n v="434"/>
    <n v="990"/>
    <n v="286.10000000000002"/>
    <n v="541.25"/>
    <n v="42.63"/>
    <n v="6.0788000000000002"/>
  </r>
  <r>
    <x v="2"/>
    <x v="5"/>
    <d v="2024-12-06T00:00:00"/>
    <n v="430.75"/>
    <n v="993.75"/>
    <n v="283.8"/>
    <n v="542.5"/>
    <n v="42.78"/>
    <n v="6.0894000000000004"/>
  </r>
  <r>
    <x v="2"/>
    <x v="5"/>
    <d v="2024-12-05T00:00:00"/>
    <n v="426.5"/>
    <n v="993.75"/>
    <n v="287.39999999999998"/>
    <n v="546.75"/>
    <n v="42.12"/>
    <n v="6.0113000000000003"/>
  </r>
  <r>
    <x v="2"/>
    <x v="5"/>
    <d v="2024-12-04T00:00:00"/>
    <n v="422"/>
    <n v="983.75"/>
    <n v="288"/>
    <n v="538"/>
    <n v="41.23"/>
    <n v="6.0408999999999997"/>
  </r>
  <r>
    <x v="2"/>
    <x v="5"/>
    <d v="2024-12-03T00:00:00"/>
    <n v="423.25"/>
    <n v="991.75"/>
    <n v="286"/>
    <n v="536.75"/>
    <n v="41.95"/>
    <n v="6.0439999999999996"/>
  </r>
  <r>
    <x v="2"/>
    <x v="5"/>
    <d v="2024-12-02T00:00:00"/>
    <n v="424.5"/>
    <n v="985.25"/>
    <n v="283.39999999999998"/>
    <n v="537.5"/>
    <n v="41.27"/>
    <n v="6.0579999999999998"/>
  </r>
  <r>
    <x v="2"/>
    <x v="6"/>
    <d v="2024-11-29T00:00:00"/>
    <n v="423"/>
    <n v="989.5"/>
    <n v="287.10000000000002"/>
    <n v="532.25"/>
    <n v="41.61"/>
    <n v="5.9729999999999999"/>
  </r>
  <r>
    <x v="2"/>
    <x v="6"/>
    <d v="2024-11-28T00:00:00"/>
    <m/>
    <m/>
    <m/>
    <m/>
    <m/>
    <n v="6.0141999999999998"/>
  </r>
  <r>
    <x v="2"/>
    <x v="6"/>
    <d v="2024-11-27T00:00:00"/>
    <n v="415.75"/>
    <n v="988.75"/>
    <n v="290.5"/>
    <n v="537.75"/>
    <n v="40.75"/>
    <n v="5.9377000000000004"/>
  </r>
  <r>
    <x v="2"/>
    <x v="6"/>
    <d v="2024-11-26T00:00:00"/>
    <n v="420"/>
    <n v="983.5"/>
    <n v="288.10000000000002"/>
    <n v="539.5"/>
    <n v="42.59"/>
    <n v="5.8094999999999999"/>
  </r>
  <r>
    <x v="2"/>
    <x v="6"/>
    <d v="2024-11-25T00:00:00"/>
    <n v="424.75"/>
    <n v="985.75"/>
    <n v="293.7"/>
    <n v="535.75"/>
    <n v="41.21"/>
    <n v="5.7983000000000002"/>
  </r>
  <r>
    <x v="2"/>
    <x v="6"/>
    <d v="2024-11-22T00:00:00"/>
    <n v="425.5"/>
    <n v="983.5"/>
    <n v="289.2"/>
    <n v="544.25"/>
    <n v="41.77"/>
    <n v="5.8010000000000002"/>
  </r>
  <r>
    <x v="2"/>
    <x v="6"/>
    <d v="2024-11-21T00:00:00"/>
    <n v="426.75"/>
    <n v="977.75"/>
    <n v="287.7"/>
    <n v="548.75"/>
    <n v="42.18"/>
    <n v="5.8144"/>
  </r>
  <r>
    <x v="2"/>
    <x v="6"/>
    <d v="2024-11-20T00:00:00"/>
    <n v="430.25"/>
    <n v="990.5"/>
    <n v="289.39999999999998"/>
    <n v="552.5"/>
    <n v="43.28"/>
    <n v="5.7725"/>
  </r>
  <r>
    <x v="2"/>
    <x v="6"/>
    <d v="2024-11-19T00:00:00"/>
    <n v="427.25"/>
    <n v="998.5"/>
    <n v="288.60000000000002"/>
    <n v="549.75"/>
    <n v="44.84"/>
    <n v="5.7694000000000001"/>
  </r>
  <r>
    <x v="2"/>
    <x v="6"/>
    <d v="2024-11-18T00:00:00"/>
    <n v="429.25"/>
    <n v="1009.75"/>
    <n v="290.3"/>
    <n v="547.25"/>
    <n v="45.52"/>
    <n v="5.7473000000000001"/>
  </r>
  <r>
    <x v="2"/>
    <x v="6"/>
    <d v="2024-11-15T00:00:00"/>
    <n v="424"/>
    <n v="998.5"/>
    <n v="289.60000000000002"/>
    <n v="536.5"/>
    <n v="45.35"/>
    <n v="5.7946999999999997"/>
  </r>
  <r>
    <x v="2"/>
    <x v="6"/>
    <d v="2024-11-14T00:00:00"/>
    <n v="419"/>
    <n v="985.75"/>
    <n v="287"/>
    <n v="530.25"/>
    <n v="44.44"/>
    <n v="5.7889999999999997"/>
  </r>
  <r>
    <x v="2"/>
    <x v="6"/>
    <d v="2024-11-13T00:00:00"/>
    <n v="426.5"/>
    <n v="1004.25"/>
    <n v="291.60000000000002"/>
    <n v="541"/>
    <n v="45.18"/>
    <n v="5.8060999999999998"/>
  </r>
  <r>
    <x v="2"/>
    <x v="6"/>
    <d v="2024-11-12T00:00:00"/>
    <n v="428.5"/>
    <n v="1003.5"/>
    <n v="292.89999999999998"/>
    <n v="552.25"/>
    <n v="46.23"/>
    <n v="5.7489999999999997"/>
  </r>
  <r>
    <x v="2"/>
    <x v="6"/>
    <d v="2024-11-11T00:00:00"/>
    <n v="430"/>
    <n v="1011.75"/>
    <n v="295.10000000000002"/>
    <n v="565.5"/>
    <n v="48.14"/>
    <n v="5.7558999999999996"/>
  </r>
  <r>
    <x v="2"/>
    <x v="6"/>
    <d v="2024-11-08T00:00:00"/>
    <n v="431"/>
    <n v="1016.75"/>
    <n v="296.2"/>
    <n v="572.5"/>
    <n v="48.77"/>
    <n v="5.7375999999999996"/>
  </r>
  <r>
    <x v="2"/>
    <x v="6"/>
    <d v="2024-11-07T00:00:00"/>
    <n v="427.5"/>
    <n v="1015.5"/>
    <n v="298.5"/>
    <n v="571.5"/>
    <n v="48.32"/>
    <n v="5.6923000000000004"/>
  </r>
  <r>
    <x v="2"/>
    <x v="6"/>
    <d v="2024-11-06T00:00:00"/>
    <n v="426.25"/>
    <n v="994.5"/>
    <n v="298.39999999999998"/>
    <n v="573.25"/>
    <n v="46.34"/>
    <n v="5.6792999999999996"/>
  </r>
  <r>
    <x v="2"/>
    <x v="6"/>
    <d v="2024-11-05T00:00:00"/>
    <n v="418.5"/>
    <n v="993.75"/>
    <n v="299.5"/>
    <n v="572.5"/>
    <n v="44.99"/>
    <n v="5.7507999999999999"/>
  </r>
  <r>
    <x v="2"/>
    <x v="6"/>
    <d v="2024-11-04T00:00:00"/>
    <n v="416.5"/>
    <n v="987.25"/>
    <n v="299.60000000000002"/>
    <n v="568.75"/>
    <n v="45.56"/>
    <n v="5.7915999999999999"/>
  </r>
  <r>
    <x v="2"/>
    <x v="6"/>
    <d v="2024-11-01T00:00:00"/>
    <n v="414.5"/>
    <n v="982.5"/>
    <n v="295.3"/>
    <n v="568"/>
    <n v="46.3"/>
    <n v="5.8681000000000001"/>
  </r>
  <r>
    <x v="2"/>
    <x v="7"/>
    <d v="2024-10-31T00:00:00"/>
    <n v="410.75"/>
    <n v="982.5"/>
    <n v="299.5"/>
    <n v="570.5"/>
    <n v="45.14"/>
    <n v="5.7866999999999997"/>
  </r>
  <r>
    <x v="2"/>
    <x v="7"/>
    <d v="2024-10-30T00:00:00"/>
    <n v="411.5"/>
    <n v="976.5"/>
    <n v="301.60000000000002"/>
    <n v="573.25"/>
    <n v="43.81"/>
    <n v="5.7629999999999999"/>
  </r>
  <r>
    <x v="2"/>
    <x v="7"/>
    <d v="2024-10-29T00:00:00"/>
    <n v="413.75"/>
    <n v="965.25"/>
    <n v="301.8"/>
    <n v="570.5"/>
    <n v="42.8"/>
    <n v="5.7603999999999997"/>
  </r>
  <r>
    <x v="2"/>
    <x v="7"/>
    <d v="2024-10-28T00:00:00"/>
    <n v="410.75"/>
    <n v="974"/>
    <n v="304.8"/>
    <n v="558.75"/>
    <n v="42.69"/>
    <n v="5.7096"/>
  </r>
  <r>
    <x v="2"/>
    <x v="7"/>
    <d v="2024-10-25T00:00:00"/>
    <n v="415.25"/>
    <n v="987.75"/>
    <n v="305.8"/>
    <n v="569"/>
    <n v="44.15"/>
    <n v="5.7073"/>
  </r>
  <r>
    <x v="2"/>
    <x v="7"/>
    <d v="2024-10-24T00:00:00"/>
    <n v="421.5"/>
    <n v="996.25"/>
    <n v="310.39999999999998"/>
    <n v="581.5"/>
    <n v="44.33"/>
    <n v="5.6642999999999999"/>
  </r>
  <r>
    <x v="2"/>
    <x v="7"/>
    <d v="2024-10-23T00:00:00"/>
    <n v="419"/>
    <n v="997.5"/>
    <n v="315"/>
    <n v="578.5"/>
    <n v="43.39"/>
    <n v="5.6883999999999997"/>
  </r>
  <r>
    <x v="2"/>
    <x v="7"/>
    <d v="2024-10-22T00:00:00"/>
    <n v="416.5"/>
    <n v="991.75"/>
    <n v="317.7"/>
    <n v="576"/>
    <n v="43.69"/>
    <n v="5.6894"/>
  </r>
  <r>
    <x v="2"/>
    <x v="7"/>
    <d v="2024-10-21T00:00:00"/>
    <n v="409.5"/>
    <n v="981"/>
    <n v="318.3"/>
    <n v="572.25"/>
    <n v="42.39"/>
    <n v="5.6939000000000002"/>
  </r>
  <r>
    <x v="2"/>
    <x v="7"/>
    <d v="2024-10-18T00:00:00"/>
    <n v="404.75"/>
    <n v="970"/>
    <n v="315.60000000000002"/>
    <n v="572.75"/>
    <n v="41.82"/>
    <n v="5.6912000000000003"/>
  </r>
  <r>
    <x v="2"/>
    <x v="7"/>
    <d v="2024-10-17T00:00:00"/>
    <n v="406.75"/>
    <n v="988.75"/>
    <n v="318.10000000000002"/>
    <n v="589.5"/>
    <n v="42.59"/>
    <n v="5.6546000000000003"/>
  </r>
  <r>
    <x v="2"/>
    <x v="7"/>
    <d v="2024-10-16T00:00:00"/>
    <n v="404.75"/>
    <n v="980"/>
    <n v="313.7"/>
    <n v="585"/>
    <n v="41.68"/>
    <n v="5.6651999999999996"/>
  </r>
  <r>
    <x v="2"/>
    <x v="7"/>
    <d v="2024-10-15T00:00:00"/>
    <n v="401.25"/>
    <n v="991"/>
    <n v="311.8"/>
    <n v="579.5"/>
    <n v="42.45"/>
    <n v="5.6501999999999999"/>
  </r>
  <r>
    <x v="2"/>
    <x v="7"/>
    <d v="2024-10-14T00:00:00"/>
    <n v="408.25"/>
    <n v="996"/>
    <n v="316.5"/>
    <n v="585.25"/>
    <n v="42.16"/>
    <n v="5.5928000000000004"/>
  </r>
  <r>
    <x v="2"/>
    <x v="7"/>
    <d v="2024-10-11T00:00:00"/>
    <n v="415.75"/>
    <n v="1005.5"/>
    <n v="316.5"/>
    <n v="599"/>
    <n v="43.44"/>
    <n v="5.6125999999999996"/>
  </r>
  <r>
    <x v="2"/>
    <x v="7"/>
    <d v="2024-10-10T00:00:00"/>
    <n v="418.5"/>
    <n v="1014.75"/>
    <n v="317.5"/>
    <n v="603.75"/>
    <n v="43.87"/>
    <n v="5.5820999999999996"/>
  </r>
  <r>
    <x v="2"/>
    <x v="7"/>
    <d v="2024-10-09T00:00:00"/>
    <n v="421"/>
    <n v="1020.25"/>
    <n v="322.5"/>
    <n v="599"/>
    <n v="43.26"/>
    <n v="5.5941000000000001"/>
  </r>
  <r>
    <x v="2"/>
    <x v="7"/>
    <d v="2024-10-08T00:00:00"/>
    <n v="420.75"/>
    <n v="1016.25"/>
    <n v="323.60000000000002"/>
    <n v="594.75"/>
    <n v="43.37"/>
    <n v="5.5349000000000004"/>
  </r>
  <r>
    <x v="2"/>
    <x v="7"/>
    <d v="2024-10-07T00:00:00"/>
    <n v="426"/>
    <n v="1034"/>
    <n v="324.8"/>
    <n v="592.5"/>
    <n v="44.56"/>
    <n v="5.49"/>
  </r>
  <r>
    <x v="2"/>
    <x v="7"/>
    <d v="2024-10-04T00:00:00"/>
    <n v="424.75"/>
    <n v="1037.75"/>
    <n v="330.5"/>
    <n v="589.75"/>
    <n v="44.04"/>
    <n v="5.4554999999999998"/>
  </r>
  <r>
    <x v="2"/>
    <x v="7"/>
    <d v="2024-10-03T00:00:00"/>
    <n v="428.25"/>
    <n v="1046"/>
    <n v="332.8"/>
    <n v="603.5"/>
    <n v="44.69"/>
    <n v="5.4759000000000002"/>
  </r>
  <r>
    <x v="2"/>
    <x v="7"/>
    <d v="2024-10-02T00:00:00"/>
    <n v="432.5"/>
    <n v="1056"/>
    <n v="341.4"/>
    <n v="615.25"/>
    <n v="43.72"/>
    <n v="5.4406999999999996"/>
  </r>
  <r>
    <x v="2"/>
    <x v="7"/>
    <d v="2024-10-01T00:00:00"/>
    <n v="429"/>
    <n v="1057.25"/>
    <n v="350"/>
    <n v="599"/>
    <n v="42.91"/>
    <n v="5.4367999999999999"/>
  </r>
  <r>
    <x v="2"/>
    <x v="8"/>
    <d v="2024-09-30T00:00:00"/>
    <n v="424.75"/>
    <n v="1057"/>
    <n v="344.3"/>
    <n v="584"/>
    <n v="43.51"/>
    <n v="5.4481999999999999"/>
  </r>
  <r>
    <x v="2"/>
    <x v="8"/>
    <d v="2024-09-27T00:00:00"/>
    <n v="418"/>
    <n v="1065.75"/>
    <n v="343.7"/>
    <n v="580"/>
    <n v="42.18"/>
    <n v="5.4329000000000001"/>
  </r>
  <r>
    <x v="2"/>
    <x v="8"/>
    <d v="2024-09-26T00:00:00"/>
    <n v="413.25"/>
    <n v="1041"/>
    <n v="324.2"/>
    <n v="584.25"/>
    <n v="42.92"/>
    <n v="5.4375"/>
  </r>
  <r>
    <x v="2"/>
    <x v="8"/>
    <d v="2024-09-25T00:00:00"/>
    <n v="415.25"/>
    <n v="1053.25"/>
    <n v="326.10000000000002"/>
    <n v="589.25"/>
    <n v="44.38"/>
    <n v="5.4774000000000003"/>
  </r>
  <r>
    <x v="2"/>
    <x v="8"/>
    <d v="2024-09-24T00:00:00"/>
    <n v="411.75"/>
    <n v="1042.25"/>
    <n v="323.60000000000002"/>
    <n v="578"/>
    <n v="43.95"/>
    <n v="5.4546999999999999"/>
  </r>
  <r>
    <x v="2"/>
    <x v="8"/>
    <d v="2024-09-23T00:00:00"/>
    <n v="413.5"/>
    <n v="1039.25"/>
    <n v="326.5"/>
    <n v="582.5"/>
    <n v="42.62"/>
    <n v="5.5364000000000004"/>
  </r>
  <r>
    <x v="2"/>
    <x v="8"/>
    <d v="2024-09-20T00:00:00"/>
    <n v="401.75"/>
    <n v="1012"/>
    <n v="317.39999999999998"/>
    <n v="568.5"/>
    <n v="42.16"/>
    <n v="5.5103"/>
  </r>
  <r>
    <x v="2"/>
    <x v="8"/>
    <d v="2024-09-19T00:00:00"/>
    <n v="405.75"/>
    <n v="1013.25"/>
    <n v="319.89999999999998"/>
    <n v="565.5"/>
    <n v="41.75"/>
    <n v="5.4263000000000003"/>
  </r>
  <r>
    <x v="2"/>
    <x v="8"/>
    <d v="2024-09-18T00:00:00"/>
    <n v="412.75"/>
    <n v="1014"/>
    <n v="317.89999999999998"/>
    <n v="575.75"/>
    <n v="40.99"/>
    <n v="5.4611999999999998"/>
  </r>
  <r>
    <x v="2"/>
    <x v="8"/>
    <d v="2024-09-17T00:00:00"/>
    <n v="412.5"/>
    <n v="1006"/>
    <n v="318"/>
    <n v="575.75"/>
    <n v="40.549999999999997"/>
    <n v="5.4824999999999999"/>
  </r>
  <r>
    <x v="2"/>
    <x v="8"/>
    <d v="2024-09-16T00:00:00"/>
    <n v="410.75"/>
    <n v="1004.5"/>
    <n v="320.10000000000002"/>
    <n v="578.5"/>
    <n v="39.75"/>
    <n v="5.51"/>
  </r>
  <r>
    <x v="2"/>
    <x v="8"/>
    <d v="2024-09-13T00:00:00"/>
    <n v="390.75"/>
    <n v="986.75"/>
    <n v="315.39999999999998"/>
    <n v="571.25"/>
    <n v="40.69"/>
    <n v="5.5640000000000001"/>
  </r>
  <r>
    <x v="2"/>
    <x v="8"/>
    <d v="2024-09-12T00:00:00"/>
    <n v="386.25"/>
    <n v="991.5"/>
    <n v="316.5"/>
    <n v="563"/>
    <n v="40.81"/>
    <n v="5.6276000000000002"/>
  </r>
  <r>
    <x v="2"/>
    <x v="8"/>
    <d v="2024-09-11T00:00:00"/>
    <n v="380.5"/>
    <n v="979.75"/>
    <n v="313.3"/>
    <n v="563.75"/>
    <n v="40.32"/>
    <n v="5.6618000000000004"/>
  </r>
  <r>
    <x v="2"/>
    <x v="8"/>
    <d v="2024-09-10T00:00:00"/>
    <n v="379.5"/>
    <n v="977.5"/>
    <n v="310.60000000000002"/>
    <n v="558.75"/>
    <n v="40.85"/>
    <n v="5.6581999999999999"/>
  </r>
  <r>
    <x v="2"/>
    <x v="8"/>
    <d v="2024-09-09T00:00:00"/>
    <n v="384.25"/>
    <n v="1000"/>
    <n v="317.8"/>
    <n v="555.5"/>
    <n v="41.61"/>
    <n v="5.5842000000000001"/>
  </r>
  <r>
    <x v="2"/>
    <x v="8"/>
    <d v="2024-09-06T00:00:00"/>
    <n v="383.75"/>
    <n v="989.25"/>
    <n v="318.39999999999998"/>
    <n v="553.25"/>
    <n v="40.770000000000003"/>
    <n v="5.5990000000000002"/>
  </r>
  <r>
    <x v="2"/>
    <x v="8"/>
    <d v="2024-09-05T00:00:00"/>
    <n v="390"/>
    <n v="1008.25"/>
    <n v="320.7"/>
    <n v="561"/>
    <n v="42.32"/>
    <n v="5.5740999999999996"/>
  </r>
  <r>
    <x v="2"/>
    <x v="8"/>
    <d v="2024-09-04T00:00:00"/>
    <n v="390.5"/>
    <n v="1006"/>
    <n v="323.8"/>
    <n v="565.25"/>
    <n v="41.35"/>
    <n v="5.6398999999999999"/>
  </r>
  <r>
    <x v="2"/>
    <x v="8"/>
    <d v="2024-09-03T00:00:00"/>
    <n v="386.5"/>
    <n v="997"/>
    <n v="319.7"/>
    <n v="552"/>
    <n v="42.07"/>
    <n v="5.6454000000000004"/>
  </r>
  <r>
    <x v="2"/>
    <x v="8"/>
    <d v="2024-09-02T00:00:00"/>
    <m/>
    <m/>
    <m/>
    <m/>
    <m/>
    <n v="5.6177000000000001"/>
  </r>
  <r>
    <x v="2"/>
    <x v="9"/>
    <d v="2024-08-30T00:00:00"/>
    <n v="378"/>
    <n v="982"/>
    <n v="311.60000000000002"/>
    <n v="532.75"/>
    <n v="43.14"/>
    <n v="5.6102999999999996"/>
  </r>
  <r>
    <x v="2"/>
    <x v="9"/>
    <d v="2024-08-29T00:00:00"/>
    <n v="371.75"/>
    <n v="973.75"/>
    <n v="308.60000000000002"/>
    <n v="525"/>
    <n v="43.17"/>
    <n v="5.6265999999999998"/>
  </r>
  <r>
    <x v="2"/>
    <x v="9"/>
    <d v="2024-08-28T00:00:00"/>
    <n v="365.25"/>
    <n v="958.5"/>
    <n v="310.8"/>
    <n v="514.25"/>
    <n v="41.8"/>
    <n v="5.5644"/>
  </r>
  <r>
    <x v="2"/>
    <x v="9"/>
    <d v="2024-08-27T00:00:00"/>
    <n v="367.25"/>
    <n v="967.5"/>
    <n v="317.3"/>
    <n v="508.25"/>
    <n v="41.15"/>
    <n v="5.5082000000000004"/>
  </r>
  <r>
    <x v="2"/>
    <x v="9"/>
    <d v="2024-08-26T00:00:00"/>
    <n v="362"/>
    <n v="959.75"/>
    <n v="312.10000000000002"/>
    <n v="498"/>
    <n v="41.7"/>
    <n v="5.4950000000000001"/>
  </r>
  <r>
    <x v="2"/>
    <x v="9"/>
    <d v="2024-08-23T00:00:00"/>
    <n v="367.75"/>
    <n v="952"/>
    <n v="306.3"/>
    <n v="502.25"/>
    <n v="41.47"/>
    <n v="5.4863"/>
  </r>
  <r>
    <x v="2"/>
    <x v="9"/>
    <d v="2024-08-22T00:00:00"/>
    <n v="371.5"/>
    <n v="941.25"/>
    <n v="306.39999999999998"/>
    <n v="511"/>
    <n v="40.44"/>
    <n v="5.5834000000000001"/>
  </r>
  <r>
    <x v="2"/>
    <x v="9"/>
    <d v="2024-08-21T00:00:00"/>
    <n v="375.5"/>
    <n v="963"/>
    <n v="312.5"/>
    <n v="519.75"/>
    <n v="41"/>
    <n v="5.4858000000000002"/>
  </r>
  <r>
    <x v="2"/>
    <x v="9"/>
    <d v="2024-08-20T00:00:00"/>
    <n v="375"/>
    <n v="957.25"/>
    <n v="312.3"/>
    <n v="533"/>
    <n v="40.71"/>
    <n v="5.4779999999999998"/>
  </r>
  <r>
    <x v="2"/>
    <x v="9"/>
    <d v="2024-08-19T00:00:00"/>
    <n v="378"/>
    <n v="956.25"/>
    <n v="311.7"/>
    <n v="528.25"/>
    <n v="40.47"/>
    <n v="5.4120999999999997"/>
  </r>
  <r>
    <x v="2"/>
    <x v="9"/>
    <d v="2024-08-16T00:00:00"/>
    <n v="370.5"/>
    <n v="938.75"/>
    <n v="303.39999999999998"/>
    <n v="530"/>
    <n v="39.950000000000003"/>
    <n v="5.4752999999999998"/>
  </r>
  <r>
    <x v="2"/>
    <x v="9"/>
    <d v="2024-08-15T00:00:00"/>
    <n v="375"/>
    <n v="951.5"/>
    <n v="307.89999999999998"/>
    <n v="528.25"/>
    <n v="39.47"/>
    <n v="5.4827000000000004"/>
  </r>
  <r>
    <x v="2"/>
    <x v="9"/>
    <d v="2024-08-14T00:00:00"/>
    <n v="381"/>
    <n v="979.75"/>
    <n v="320.60000000000002"/>
    <n v="534.75"/>
    <n v="40.049999999999997"/>
    <n v="5.4729999999999999"/>
  </r>
  <r>
    <x v="2"/>
    <x v="9"/>
    <d v="2024-08-13T00:00:00"/>
    <n v="377.75"/>
    <n v="989"/>
    <n v="306.60000000000002"/>
    <n v="528.75"/>
    <n v="40.68"/>
    <n v="5.4538000000000002"/>
  </r>
  <r>
    <x v="2"/>
    <x v="9"/>
    <d v="2024-08-12T00:00:00"/>
    <n v="383.25"/>
    <n v="1012"/>
    <n v="318.3"/>
    <n v="536.75"/>
    <n v="41.61"/>
    <n v="5.4973999999999998"/>
  </r>
  <r>
    <x v="2"/>
    <x v="9"/>
    <d v="2024-08-09T00:00:00"/>
    <n v="376.75"/>
    <n v="1028"/>
    <n v="326.3"/>
    <n v="542.5"/>
    <n v="42.74"/>
    <n v="5.5064000000000002"/>
  </r>
  <r>
    <x v="2"/>
    <x v="9"/>
    <d v="2024-08-08T00:00:00"/>
    <n v="379.25"/>
    <n v="1009.75"/>
    <n v="335.3"/>
    <n v="537.5"/>
    <n v="42.36"/>
    <n v="5.5492999999999997"/>
  </r>
  <r>
    <x v="2"/>
    <x v="9"/>
    <d v="2024-08-07T00:00:00"/>
    <n v="383.25"/>
    <n v="1020.25"/>
    <n v="340.8"/>
    <n v="538.25"/>
    <n v="42.25"/>
    <n v="5.6341000000000001"/>
  </r>
  <r>
    <x v="2"/>
    <x v="9"/>
    <d v="2024-08-06T00:00:00"/>
    <n v="388.75"/>
    <n v="1028.5"/>
    <n v="347.7"/>
    <n v="543.25"/>
    <n v="40.869999999999997"/>
    <n v="5.6623000000000001"/>
  </r>
  <r>
    <x v="2"/>
    <x v="9"/>
    <d v="2024-08-05T00:00:00"/>
    <n v="390.75"/>
    <n v="1044.25"/>
    <n v="360.7"/>
    <n v="539.5"/>
    <n v="41.04"/>
    <n v="5.7237999999999998"/>
  </r>
  <r>
    <x v="2"/>
    <x v="9"/>
    <d v="2024-08-02T00:00:00"/>
    <n v="386.5"/>
    <n v="1029.25"/>
    <n v="361.5"/>
    <n v="539"/>
    <n v="41.71"/>
    <n v="5.7272999999999996"/>
  </r>
  <r>
    <x v="2"/>
    <x v="9"/>
    <d v="2024-08-01T00:00:00"/>
    <n v="382"/>
    <n v="1022"/>
    <n v="355.9"/>
    <n v="532"/>
    <n v="42.87"/>
    <n v="5.7483000000000004"/>
  </r>
  <r>
    <x v="2"/>
    <x v="10"/>
    <d v="2024-07-31T00:00:00"/>
    <n v="382.75"/>
    <n v="1028.5"/>
    <n v="354.1"/>
    <n v="527.25"/>
    <n v="43.3"/>
    <n v="5.65"/>
  </r>
  <r>
    <x v="2"/>
    <x v="10"/>
    <d v="2024-07-30T00:00:00"/>
    <n v="388.75"/>
    <n v="1027.25"/>
    <n v="352"/>
    <n v="524"/>
    <n v="42.75"/>
    <n v="5.6120999999999999"/>
  </r>
  <r>
    <x v="2"/>
    <x v="10"/>
    <d v="2024-07-29T00:00:00"/>
    <n v="396.25"/>
    <n v="1054.75"/>
    <n v="355.5"/>
    <n v="531"/>
    <n v="42.84"/>
    <n v="5.6158999999999999"/>
  </r>
  <r>
    <x v="2"/>
    <x v="10"/>
    <d v="2024-07-26T00:00:00"/>
    <n v="394.5"/>
    <n v="1077.5"/>
    <n v="353.3"/>
    <n v="523.5"/>
    <n v="43.66"/>
    <n v="5.6557000000000004"/>
  </r>
  <r>
    <x v="2"/>
    <x v="10"/>
    <d v="2024-07-25T00:00:00"/>
    <n v="406"/>
    <n v="1116"/>
    <n v="352.4"/>
    <n v="537.75"/>
    <n v="45.81"/>
    <n v="5.6441999999999997"/>
  </r>
  <r>
    <x v="2"/>
    <x v="10"/>
    <d v="2024-07-24T00:00:00"/>
    <n v="403.75"/>
    <n v="1111"/>
    <n v="343.4"/>
    <n v="547"/>
    <n v="46.02"/>
    <n v="5.6536"/>
  </r>
  <r>
    <x v="2"/>
    <x v="10"/>
    <d v="2024-07-23T00:00:00"/>
    <n v="402.5"/>
    <n v="1117.5"/>
    <n v="342.7"/>
    <n v="542.75"/>
    <n v="46.66"/>
    <n v="5.5846"/>
  </r>
  <r>
    <x v="2"/>
    <x v="10"/>
    <d v="2024-07-22T00:00:00"/>
    <n v="400.25"/>
    <n v="1117.75"/>
    <n v="343.6"/>
    <n v="548"/>
    <n v="47"/>
    <n v="5.5778999999999996"/>
  </r>
  <r>
    <x v="2"/>
    <x v="10"/>
    <d v="2024-07-19T00:00:00"/>
    <n v="390.5"/>
    <n v="1097.25"/>
    <n v="336.8"/>
    <n v="542.75"/>
    <n v="46.56"/>
    <n v="5.5952000000000002"/>
  </r>
  <r>
    <x v="2"/>
    <x v="10"/>
    <d v="2024-07-18T00:00:00"/>
    <n v="391.25"/>
    <n v="1098.5"/>
    <n v="337.2"/>
    <n v="535.25"/>
    <n v="46.45"/>
    <n v="5.5460000000000003"/>
  </r>
  <r>
    <x v="2"/>
    <x v="10"/>
    <d v="2024-07-17T00:00:00"/>
    <n v="398"/>
    <n v="1097.25"/>
    <n v="339.1"/>
    <n v="539.25"/>
    <n v="46.21"/>
    <n v="5.4821"/>
  </r>
  <r>
    <x v="2"/>
    <x v="10"/>
    <d v="2024-07-16T00:00:00"/>
    <n v="395.75"/>
    <n v="1090.5"/>
    <n v="335.4"/>
    <n v="530.75"/>
    <n v="46.7"/>
    <n v="5.4286000000000003"/>
  </r>
  <r>
    <x v="2"/>
    <x v="10"/>
    <d v="2024-07-15T00:00:00"/>
    <n v="390.5"/>
    <n v="1078"/>
    <n v="333.8"/>
    <n v="532.5"/>
    <n v="46.42"/>
    <n v="5.4447999999999999"/>
  </r>
  <r>
    <x v="2"/>
    <x v="10"/>
    <d v="2024-07-12T00:00:00"/>
    <n v="400"/>
    <n v="1134.5"/>
    <n v="368.5"/>
    <n v="538"/>
    <n v="47.55"/>
    <n v="5.4284999999999997"/>
  </r>
  <r>
    <x v="2"/>
    <x v="10"/>
    <d v="2024-07-11T00:00:00"/>
    <n v="406.75"/>
    <n v="1142.75"/>
    <n v="378.4"/>
    <n v="554.25"/>
    <n v="47.11"/>
    <n v="5.4381000000000004"/>
  </r>
  <r>
    <x v="2"/>
    <x v="10"/>
    <d v="2024-07-10T00:00:00"/>
    <n v="403.25"/>
    <n v="1141.25"/>
    <n v="376.3"/>
    <n v="543.5"/>
    <n v="46.26"/>
    <n v="5.4143999999999997"/>
  </r>
  <r>
    <x v="2"/>
    <x v="10"/>
    <d v="2024-07-09T00:00:00"/>
    <n v="400.25"/>
    <n v="1161.5"/>
    <n v="376.2"/>
    <n v="554.25"/>
    <n v="46.86"/>
    <n v="5.4222000000000001"/>
  </r>
  <r>
    <x v="2"/>
    <x v="10"/>
    <d v="2024-07-08T00:00:00"/>
    <n v="395.75"/>
    <n v="1174.25"/>
    <n v="379.5"/>
    <n v="553"/>
    <n v="49"/>
    <n v="5.4699"/>
  </r>
  <r>
    <x v="2"/>
    <x v="10"/>
    <d v="2024-07-05T00:00:00"/>
    <n v="411.25"/>
    <n v="1188.5"/>
    <n v="387"/>
    <n v="572.25"/>
    <n v="49.62"/>
    <n v="5.4592000000000001"/>
  </r>
  <r>
    <x v="2"/>
    <x v="10"/>
    <d v="2024-07-04T00:00:00"/>
    <m/>
    <m/>
    <m/>
    <m/>
    <m/>
    <n v="5.4886999999999997"/>
  </r>
  <r>
    <x v="2"/>
    <x v="10"/>
    <d v="2024-07-03T00:00:00"/>
    <n v="403.5"/>
    <n v="1176.5"/>
    <n v="370.5"/>
    <n v="554.5"/>
    <n v="48.6"/>
    <n v="5.5563000000000002"/>
  </r>
  <r>
    <x v="2"/>
    <x v="10"/>
    <d v="2024-07-02T00:00:00"/>
    <n v="402"/>
    <n v="1165"/>
    <n v="368.9"/>
    <n v="561.5"/>
    <n v="46.93"/>
    <n v="5.6776999999999997"/>
  </r>
  <r>
    <x v="2"/>
    <x v="10"/>
    <d v="2024-07-01T00:00:00"/>
    <n v="398.25"/>
    <n v="1159.5"/>
    <n v="365.7"/>
    <n v="569.25"/>
    <n v="45.83"/>
    <n v="5.6603000000000003"/>
  </r>
  <r>
    <x v="2"/>
    <x v="11"/>
    <d v="2024-06-28T00:00:00"/>
    <n v="397.25"/>
    <n v="1150.5"/>
    <n v="360.5"/>
    <n v="553.5"/>
    <n v="43.77"/>
    <n v="5.5925000000000002"/>
  </r>
  <r>
    <x v="2"/>
    <x v="11"/>
    <d v="2024-06-27T00:00:00"/>
    <n v="413.75"/>
    <n v="1152.25"/>
    <n v="361.1"/>
    <n v="559.75"/>
    <n v="43.49"/>
    <n v="5.5019"/>
  </r>
  <r>
    <x v="2"/>
    <x v="11"/>
    <d v="2024-06-26T00:00:00"/>
    <n v="420"/>
    <n v="1162.75"/>
    <n v="360.9"/>
    <n v="541.25"/>
    <n v="43.45"/>
    <n v="5.5194000000000001"/>
  </r>
  <r>
    <x v="2"/>
    <x v="11"/>
    <d v="2024-06-25T00:00:00"/>
    <n v="425.5"/>
    <n v="1163.25"/>
    <n v="365.3"/>
    <n v="541.75"/>
    <n v="42.76"/>
    <n v="5.4508999999999999"/>
  </r>
  <r>
    <x v="2"/>
    <x v="11"/>
    <d v="2024-06-24T00:00:00"/>
    <n v="433.5"/>
    <n v="1175.25"/>
    <n v="372.8"/>
    <n v="552.5"/>
    <n v="43.49"/>
    <n v="5.3928000000000003"/>
  </r>
  <r>
    <x v="2"/>
    <x v="11"/>
    <d v="2024-06-21T00:00:00"/>
    <n v="435"/>
    <n v="1160.5"/>
    <n v="361.8"/>
    <n v="561.5"/>
    <n v="43.94"/>
    <n v="5.4302000000000001"/>
  </r>
  <r>
    <x v="2"/>
    <x v="11"/>
    <d v="2024-06-20T00:00:00"/>
    <n v="439.75"/>
    <n v="1155.25"/>
    <n v="357.6"/>
    <n v="572.75"/>
    <n v="43.97"/>
    <n v="5.4482999999999997"/>
  </r>
  <r>
    <x v="2"/>
    <x v="11"/>
    <d v="2024-06-19T00:00:00"/>
    <m/>
    <m/>
    <m/>
    <m/>
    <m/>
    <n v="5.4362000000000004"/>
  </r>
  <r>
    <x v="2"/>
    <x v="11"/>
    <d v="2024-06-18T00:00:00"/>
    <n v="450"/>
    <n v="1174"/>
    <n v="364.6"/>
    <n v="582"/>
    <n v="44.3"/>
    <n v="5.4359000000000002"/>
  </r>
  <r>
    <x v="2"/>
    <x v="11"/>
    <d v="2024-06-17T00:00:00"/>
    <n v="443.75"/>
    <n v="1157.75"/>
    <n v="360.3"/>
    <n v="591.5"/>
    <n v="43.73"/>
    <n v="5.4195000000000002"/>
  </r>
  <r>
    <x v="2"/>
    <x v="11"/>
    <d v="2024-06-14T00:00:00"/>
    <n v="450"/>
    <n v="1179.75"/>
    <n v="368.4"/>
    <n v="612.75"/>
    <n v="43.68"/>
    <n v="5.3757000000000001"/>
  </r>
  <r>
    <x v="2"/>
    <x v="11"/>
    <d v="2024-06-13T00:00:00"/>
    <n v="458.5"/>
    <n v="1189.5"/>
    <n v="368.3"/>
    <n v="620"/>
    <n v="43.86"/>
    <n v="5.3635999999999999"/>
  </r>
  <r>
    <x v="2"/>
    <x v="11"/>
    <d v="2024-06-12T00:00:00"/>
    <n v="454.25"/>
    <n v="1177.25"/>
    <n v="360.2"/>
    <n v="617"/>
    <n v="43.79"/>
    <n v="5.4123000000000001"/>
  </r>
  <r>
    <x v="2"/>
    <x v="11"/>
    <d v="2024-06-11T00:00:00"/>
    <n v="449.5"/>
    <n v="1178"/>
    <n v="359.3"/>
    <n v="626.5"/>
    <n v="43.67"/>
    <n v="5.3662000000000001"/>
  </r>
  <r>
    <x v="2"/>
    <x v="11"/>
    <d v="2024-06-10T00:00:00"/>
    <n v="451.75"/>
    <n v="1188.25"/>
    <n v="368"/>
    <n v="607.5"/>
    <n v="43.66"/>
    <n v="5.3547000000000002"/>
  </r>
  <r>
    <x v="2"/>
    <x v="11"/>
    <d v="2024-06-07T00:00:00"/>
    <n v="448.75"/>
    <n v="1179.25"/>
    <n v="360.7"/>
    <n v="627.5"/>
    <n v="43.63"/>
    <n v="5.3448000000000002"/>
  </r>
  <r>
    <x v="2"/>
    <x v="11"/>
    <d v="2024-06-06T00:00:00"/>
    <n v="452"/>
    <n v="1200"/>
    <n v="362.8"/>
    <n v="639.5"/>
    <n v="44.35"/>
    <n v="5.2560000000000002"/>
  </r>
  <r>
    <x v="2"/>
    <x v="11"/>
    <d v="2024-06-05T00:00:00"/>
    <n v="439.25"/>
    <n v="1177.25"/>
    <n v="359.5"/>
    <n v="646.75"/>
    <n v="43.13"/>
    <n v="5.2964000000000002"/>
  </r>
  <r>
    <x v="2"/>
    <x v="11"/>
    <d v="2024-06-04T00:00:00"/>
    <n v="442.5"/>
    <n v="1179"/>
    <n v="355.1"/>
    <n v="658.25"/>
    <n v="43.62"/>
    <n v="5.2861000000000002"/>
  </r>
  <r>
    <x v="2"/>
    <x v="11"/>
    <d v="2024-06-03T00:00:00"/>
    <n v="443.5"/>
    <n v="1184.5"/>
    <n v="359.5"/>
    <n v="672.75"/>
    <n v="44.14"/>
    <n v="5.2466999999999997"/>
  </r>
  <r>
    <x v="2"/>
    <x v="0"/>
    <d v="2024-05-31T00:00:00"/>
    <n v="446.25"/>
    <n v="1205"/>
    <n v="364.7"/>
    <n v="678.5"/>
    <n v="45.52"/>
    <n v="5.2443"/>
  </r>
  <r>
    <x v="2"/>
    <x v="0"/>
    <d v="2024-05-30T00:00:00"/>
    <n v="448.75"/>
    <n v="1209.75"/>
    <n v="363.6"/>
    <n v="681"/>
    <n v="45.72"/>
    <n v="5.2034000000000002"/>
  </r>
  <r>
    <x v="2"/>
    <x v="0"/>
    <d v="2024-05-29T00:00:00"/>
    <n v="455.25"/>
    <n v="1214"/>
    <n v="369.1"/>
    <n v="692.75"/>
    <n v="45.88"/>
    <n v="5.2018000000000004"/>
  </r>
  <r>
    <x v="2"/>
    <x v="0"/>
    <d v="2024-05-28T00:00:00"/>
    <n v="462.5"/>
    <n v="1229.5"/>
    <n v="376.6"/>
    <n v="700.25"/>
    <n v="45.52"/>
    <n v="5.1611000000000002"/>
  </r>
  <r>
    <x v="2"/>
    <x v="0"/>
    <d v="2024-05-27T00:00:00"/>
    <m/>
    <m/>
    <m/>
    <m/>
    <m/>
    <n v="5.1707999999999998"/>
  </r>
  <r>
    <x v="2"/>
    <x v="0"/>
    <d v="2024-05-24T00:00:00"/>
    <n v="464.75"/>
    <n v="1248"/>
    <n v="386.5"/>
    <n v="697.25"/>
    <n v="44.95"/>
    <n v="5.1660000000000004"/>
  </r>
  <r>
    <x v="2"/>
    <x v="0"/>
    <d v="2024-05-23T00:00:00"/>
    <n v="464"/>
    <n v="1239.25"/>
    <n v="376.7"/>
    <n v="698"/>
    <n v="45.19"/>
    <n v="5.1441999999999997"/>
  </r>
  <r>
    <x v="2"/>
    <x v="0"/>
    <d v="2024-05-22T00:00:00"/>
    <n v="461.25"/>
    <n v="1246.25"/>
    <n v="378.2"/>
    <n v="693"/>
    <n v="45.88"/>
    <n v="5.1502999999999997"/>
  </r>
  <r>
    <x v="2"/>
    <x v="0"/>
    <d v="2024-05-21T00:00:00"/>
    <n v="458"/>
    <n v="1236.25"/>
    <n v="372.3"/>
    <n v="697.5"/>
    <n v="45.81"/>
    <n v="5.1224999999999996"/>
  </r>
  <r>
    <x v="2"/>
    <x v="0"/>
    <d v="2024-05-20T00:00:00"/>
    <n v="460.5"/>
    <n v="1248"/>
    <n v="374.1"/>
    <n v="688.75"/>
    <n v="46.32"/>
    <n v="5.1032999999999999"/>
  </r>
  <r>
    <x v="2"/>
    <x v="0"/>
    <d v="2024-05-17T00:00:00"/>
    <n v="452.5"/>
    <n v="1228"/>
    <n v="368.8"/>
    <n v="651.25"/>
    <n v="45.27"/>
    <n v="5.1031000000000004"/>
  </r>
  <r>
    <x v="2"/>
    <x v="0"/>
    <d v="2024-05-16T00:00:00"/>
    <n v="457"/>
    <n v="1216.25"/>
    <n v="367.7"/>
    <n v="663.25"/>
    <n v="44.52"/>
    <n v="5.1288"/>
  </r>
  <r>
    <x v="2"/>
    <x v="0"/>
    <d v="2024-05-15T00:00:00"/>
    <n v="462.5"/>
    <n v="1213.5"/>
    <n v="371.7"/>
    <n v="665.75"/>
    <n v="43.55"/>
    <n v="5.1372999999999998"/>
  </r>
  <r>
    <x v="2"/>
    <x v="0"/>
    <d v="2024-05-14T00:00:00"/>
    <n v="453.75"/>
    <n v="1199"/>
    <n v="363.6"/>
    <n v="657"/>
    <n v="42.68"/>
    <n v="5.1299000000000001"/>
  </r>
  <r>
    <x v="2"/>
    <x v="0"/>
    <d v="2024-05-13T00:00:00"/>
    <n v="458.5"/>
    <n v="1205.5"/>
    <n v="361.6"/>
    <n v="670.25"/>
    <n v="44.52"/>
    <n v="5.1510999999999996"/>
  </r>
  <r>
    <x v="2"/>
    <x v="0"/>
    <d v="2024-05-10T00:00:00"/>
    <n v="455.75"/>
    <n v="1205"/>
    <n v="367"/>
    <n v="645.75"/>
    <n v="43.81"/>
    <n v="5.1584000000000003"/>
  </r>
  <r>
    <x v="2"/>
    <x v="0"/>
    <d v="2024-05-09T00:00:00"/>
    <n v="442.75"/>
    <n v="1192.75"/>
    <n v="368"/>
    <n v="619.75"/>
    <n v="42.01"/>
    <n v="5.1412000000000004"/>
  </r>
  <r>
    <x v="2"/>
    <x v="0"/>
    <d v="2024-05-08T00:00:00"/>
    <n v="445.5"/>
    <n v="1212.75"/>
    <n v="374.8"/>
    <n v="616"/>
    <n v="43.15"/>
    <n v="5.0909000000000004"/>
  </r>
  <r>
    <x v="2"/>
    <x v="0"/>
    <d v="2024-05-07T00:00:00"/>
    <n v="453.75"/>
    <n v="1232.25"/>
    <n v="377.4"/>
    <n v="624.75"/>
    <n v="43.85"/>
    <n v="5.0707000000000004"/>
  </r>
  <r>
    <x v="2"/>
    <x v="0"/>
    <d v="2024-05-06T00:00:00"/>
    <n v="457"/>
    <n v="1234.75"/>
    <n v="381.2"/>
    <n v="632.25"/>
    <n v="43.17"/>
    <n v="5.0758000000000001"/>
  </r>
  <r>
    <x v="2"/>
    <x v="0"/>
    <d v="2024-05-03T00:00:00"/>
    <n v="447"/>
    <n v="1201.75"/>
    <n v="366.5"/>
    <n v="606"/>
    <n v="42.42"/>
    <n v="5.0721999999999996"/>
  </r>
  <r>
    <x v="2"/>
    <x v="0"/>
    <d v="2024-05-02T00:00:00"/>
    <n v="452"/>
    <n v="1190"/>
    <n v="357.1"/>
    <n v="586.5"/>
    <n v="42.57"/>
    <n v="5.1113"/>
  </r>
  <r>
    <x v="2"/>
    <x v="0"/>
    <d v="2024-05-01T00:00:00"/>
    <n v="443.25"/>
    <n v="1155.75"/>
    <n v="342.6"/>
    <n v="581.5"/>
    <n v="42.57"/>
    <n v="5.1936"/>
  </r>
  <r>
    <x v="2"/>
    <x v="1"/>
    <d v="2024-04-30T00:00:00"/>
    <n v="439.5"/>
    <n v="1145.5"/>
    <n v="346.3"/>
    <n v="585"/>
    <n v="42.29"/>
    <n v="5.1933999999999996"/>
  </r>
  <r>
    <x v="2"/>
    <x v="1"/>
    <d v="2024-04-29T00:00:00"/>
    <n v="439.25"/>
    <n v="1160.75"/>
    <n v="348.3"/>
    <n v="590.25"/>
    <n v="43.69"/>
    <n v="5.1189"/>
  </r>
  <r>
    <x v="2"/>
    <x v="1"/>
    <d v="2024-04-26T00:00:00"/>
    <n v="440"/>
    <n v="1159.5"/>
    <n v="340"/>
    <n v="603.25"/>
    <n v="44.93"/>
    <n v="5.1151"/>
  </r>
  <r>
    <x v="2"/>
    <x v="1"/>
    <d v="2024-04-25T00:00:00"/>
    <n v="441"/>
    <n v="1162.75"/>
    <n v="343.9"/>
    <n v="602.25"/>
    <n v="44.82"/>
    <n v="5.1601999999999997"/>
  </r>
  <r>
    <x v="2"/>
    <x v="1"/>
    <d v="2024-04-24T00:00:00"/>
    <n v="437.75"/>
    <n v="1166"/>
    <n v="346"/>
    <n v="594.5"/>
    <n v="44.66"/>
    <n v="5.1456999999999997"/>
  </r>
  <r>
    <x v="2"/>
    <x v="1"/>
    <d v="2024-04-23T00:00:00"/>
    <n v="443"/>
    <n v="1167.5"/>
    <n v="345.2"/>
    <n v="585"/>
    <n v="45.31"/>
    <n v="5.1260000000000003"/>
  </r>
  <r>
    <x v="2"/>
    <x v="1"/>
    <d v="2024-04-22T00:00:00"/>
    <n v="439.75"/>
    <n v="1161"/>
    <n v="344.3"/>
    <n v="570.25"/>
    <n v="45.04"/>
    <n v="5.1680000000000001"/>
  </r>
  <r>
    <x v="2"/>
    <x v="1"/>
    <d v="2024-04-19T00:00:00"/>
    <n v="433.5"/>
    <n v="1150.5"/>
    <n v="343.7"/>
    <n v="550.25"/>
    <n v="44.38"/>
    <n v="5.2027000000000001"/>
  </r>
  <r>
    <x v="2"/>
    <x v="1"/>
    <d v="2024-04-18T00:00:00"/>
    <n v="426.75"/>
    <n v="1134.25"/>
    <n v="338"/>
    <n v="536.75"/>
    <n v="44.12"/>
    <n v="5.2481999999999998"/>
  </r>
  <r>
    <x v="2"/>
    <x v="1"/>
    <d v="2024-04-17T00:00:00"/>
    <n v="430.25"/>
    <n v="1149.5"/>
    <n v="338.7"/>
    <n v="537"/>
    <n v="45"/>
    <n v="5.242"/>
  </r>
  <r>
    <x v="2"/>
    <x v="1"/>
    <d v="2024-04-16T00:00:00"/>
    <n v="431"/>
    <n v="1145"/>
    <n v="335.3"/>
    <n v="549.75"/>
    <n v="44.91"/>
    <n v="5.2826000000000004"/>
  </r>
  <r>
    <x v="2"/>
    <x v="1"/>
    <d v="2024-04-15T00:00:00"/>
    <n v="431.5"/>
    <n v="1158.25"/>
    <n v="338.5"/>
    <n v="551.75"/>
    <n v="45.47"/>
    <n v="5.1845999999999997"/>
  </r>
  <r>
    <x v="2"/>
    <x v="1"/>
    <d v="2024-04-12T00:00:00"/>
    <n v="435.5"/>
    <n v="1174"/>
    <n v="344.4"/>
    <n v="556"/>
    <n v="45.89"/>
    <n v="5.1174999999999997"/>
  </r>
  <r>
    <x v="2"/>
    <x v="1"/>
    <d v="2024-04-11T00:00:00"/>
    <n v="428.75"/>
    <n v="1159.25"/>
    <n v="335.6"/>
    <n v="551.75"/>
    <n v="46.02"/>
    <n v="5.0917000000000003"/>
  </r>
  <r>
    <x v="2"/>
    <x v="1"/>
    <d v="2024-04-10T00:00:00"/>
    <n v="434.25"/>
    <n v="1164.75"/>
    <n v="330.9"/>
    <n v="558.5"/>
    <n v="47.6"/>
    <n v="5.0746000000000002"/>
  </r>
  <r>
    <x v="2"/>
    <x v="1"/>
    <d v="2024-04-09T00:00:00"/>
    <n v="431.25"/>
    <n v="1174.5"/>
    <n v="335.6"/>
    <n v="557.75"/>
    <n v="47.52"/>
    <n v="5.0090000000000003"/>
  </r>
  <r>
    <x v="2"/>
    <x v="1"/>
    <d v="2024-04-08T00:00:00"/>
    <n v="435.5"/>
    <n v="1181.5"/>
    <n v="336"/>
    <n v="565.75"/>
    <n v="47.9"/>
    <n v="5.0267999999999997"/>
  </r>
  <r>
    <x v="2"/>
    <x v="1"/>
    <d v="2024-04-05T00:00:00"/>
    <n v="434.25"/>
    <n v="1185"/>
    <n v="333.1"/>
    <n v="567.25"/>
    <n v="48.89"/>
    <n v="5.0655000000000001"/>
  </r>
  <r>
    <x v="2"/>
    <x v="1"/>
    <d v="2024-04-04T00:00:00"/>
    <n v="435.25"/>
    <n v="1180"/>
    <n v="333.5"/>
    <n v="556.25"/>
    <n v="48.15"/>
    <n v="5.0537999999999998"/>
  </r>
  <r>
    <x v="2"/>
    <x v="1"/>
    <d v="2024-04-03T00:00:00"/>
    <n v="431.75"/>
    <n v="1182.25"/>
    <n v="330"/>
    <n v="556"/>
    <n v="48.85"/>
    <n v="5.0392999999999999"/>
  </r>
  <r>
    <x v="2"/>
    <x v="1"/>
    <d v="2024-04-02T00:00:00"/>
    <n v="426.5"/>
    <n v="1174"/>
    <n v="328.3"/>
    <n v="545.25"/>
    <n v="48.6"/>
    <n v="5.0575999999999999"/>
  </r>
  <r>
    <x v="2"/>
    <x v="1"/>
    <d v="2024-04-01T00:00:00"/>
    <n v="435.5"/>
    <n v="1185.75"/>
    <n v="333.4"/>
    <n v="557"/>
    <n v="48.24"/>
    <n v="5.0542999999999996"/>
  </r>
  <r>
    <x v="2"/>
    <x v="2"/>
    <d v="2024-03-29T00:00:00"/>
    <m/>
    <m/>
    <m/>
    <m/>
    <m/>
    <n v="5.0152999999999999"/>
  </r>
  <r>
    <x v="2"/>
    <x v="2"/>
    <d v="2024-03-28T00:00:00"/>
    <n v="442"/>
    <n v="1191.5"/>
    <n v="337.7"/>
    <n v="560.25"/>
    <n v="47.95"/>
    <n v="5.0129000000000001"/>
  </r>
  <r>
    <x v="2"/>
    <x v="2"/>
    <d v="2024-03-27T00:00:00"/>
    <n v="426.75"/>
    <n v="1192.5"/>
    <n v="339"/>
    <n v="547.5"/>
    <n v="47.67"/>
    <n v="4.9866000000000001"/>
  </r>
  <r>
    <x v="2"/>
    <x v="2"/>
    <d v="2024-03-26T00:00:00"/>
    <n v="432.5"/>
    <n v="1199"/>
    <n v="339.8"/>
    <n v="543.5"/>
    <n v="48.42"/>
    <n v="4.9808000000000003"/>
  </r>
  <r>
    <x v="2"/>
    <x v="2"/>
    <d v="2024-03-25T00:00:00"/>
    <n v="437.75"/>
    <n v="1209.25"/>
    <n v="341.7"/>
    <n v="555"/>
    <n v="49.02"/>
    <n v="4.9751000000000003"/>
  </r>
  <r>
    <x v="2"/>
    <x v="2"/>
    <d v="2024-03-22T00:00:00"/>
    <n v="439.25"/>
    <n v="1192.5"/>
    <n v="339.1"/>
    <n v="554.75"/>
    <n v="47.64"/>
    <n v="4.9996999999999998"/>
  </r>
  <r>
    <x v="2"/>
    <x v="2"/>
    <d v="2024-03-21T00:00:00"/>
    <n v="440.75"/>
    <n v="1212"/>
    <n v="344.3"/>
    <n v="546.75"/>
    <n v="48.79"/>
    <n v="4.9781000000000004"/>
  </r>
  <r>
    <x v="2"/>
    <x v="2"/>
    <d v="2024-03-20T00:00:00"/>
    <n v="439"/>
    <n v="1209.5"/>
    <n v="342.5"/>
    <n v="545"/>
    <n v="49"/>
    <n v="4.9691000000000001"/>
  </r>
  <r>
    <x v="2"/>
    <x v="2"/>
    <d v="2024-03-19T00:00:00"/>
    <n v="439.5"/>
    <n v="1185.5"/>
    <n v="333.9"/>
    <n v="552.5"/>
    <n v="48.14"/>
    <n v="5.0301"/>
  </r>
  <r>
    <x v="2"/>
    <x v="2"/>
    <d v="2024-03-18T00:00:00"/>
    <n v="436"/>
    <n v="1187.75"/>
    <n v="331.9"/>
    <n v="542.75"/>
    <n v="48.7"/>
    <n v="5.0252999999999997"/>
  </r>
  <r>
    <x v="2"/>
    <x v="2"/>
    <d v="2024-03-15T00:00:00"/>
    <n v="436.75"/>
    <n v="1198.25"/>
    <n v="334.7"/>
    <n v="528.5"/>
    <n v="49.42"/>
    <n v="4.9949000000000003"/>
  </r>
  <r>
    <x v="2"/>
    <x v="2"/>
    <d v="2024-03-14T00:00:00"/>
    <n v="422.5"/>
    <n v="1180.75"/>
    <n v="333.2"/>
    <n v="519.5"/>
    <n v="47.94"/>
    <n v="4.9894999999999996"/>
  </r>
  <r>
    <x v="2"/>
    <x v="2"/>
    <d v="2024-03-13T00:00:00"/>
    <n v="426.5"/>
    <n v="1181.75"/>
    <n v="331"/>
    <n v="532.25"/>
    <n v="47.99"/>
    <n v="4.97"/>
  </r>
  <r>
    <x v="2"/>
    <x v="2"/>
    <d v="2024-03-12T00:00:00"/>
    <n v="429"/>
    <n v="1182"/>
    <n v="333.8"/>
    <n v="535.5"/>
    <n v="47.23"/>
    <n v="4.9718"/>
  </r>
  <r>
    <x v="2"/>
    <x v="2"/>
    <d v="2024-03-11T00:00:00"/>
    <n v="428.25"/>
    <n v="1165"/>
    <n v="337.1"/>
    <n v="537.5"/>
    <n v="46.05"/>
    <n v="4.9771000000000001"/>
  </r>
  <r>
    <x v="2"/>
    <x v="2"/>
    <d v="2024-03-08T00:00:00"/>
    <n v="426.25"/>
    <n v="1170.5"/>
    <n v="341.3"/>
    <n v="526.75"/>
    <n v="45.6"/>
    <n v="4.9805999999999999"/>
  </r>
  <r>
    <x v="2"/>
    <x v="2"/>
    <d v="2024-03-07T00:00:00"/>
    <n v="426"/>
    <n v="1157"/>
    <n v="339.9"/>
    <n v="520.75"/>
    <n v="45.83"/>
    <n v="4.9349999999999996"/>
  </r>
  <r>
    <x v="2"/>
    <x v="2"/>
    <d v="2024-03-06T00:00:00"/>
    <n v="418"/>
    <n v="1140.25"/>
    <n v="334.9"/>
    <n v="521.25"/>
    <n v="44.78"/>
    <n v="4.9446000000000003"/>
  </r>
  <r>
    <x v="2"/>
    <x v="2"/>
    <d v="2024-03-05T00:00:00"/>
    <n v="413.5"/>
    <n v="1140.75"/>
    <n v="331.2"/>
    <n v="545.75"/>
    <n v="44.51"/>
    <n v="4.9581"/>
  </r>
  <r>
    <x v="2"/>
    <x v="2"/>
    <d v="2024-03-04T00:00:00"/>
    <n v="417.5"/>
    <n v="1147"/>
    <n v="335.2"/>
    <n v="563.5"/>
    <n v="44.65"/>
    <n v="4.9458000000000002"/>
  </r>
  <r>
    <x v="2"/>
    <x v="2"/>
    <d v="2024-03-01T00:00:00"/>
    <n v="412.25"/>
    <n v="1143"/>
    <n v="334"/>
    <n v="560"/>
    <n v="44.62"/>
    <n v="4.9541000000000004"/>
  </r>
  <r>
    <x v="2"/>
    <x v="3"/>
    <d v="2024-02-29T00:00:00"/>
    <n v="415.75"/>
    <n v="1128.25"/>
    <n v="333.3"/>
    <n v="577.5"/>
    <n v="44.66"/>
    <n v="4.9715999999999996"/>
  </r>
  <r>
    <x v="2"/>
    <x v="3"/>
    <d v="2024-02-28T00:00:00"/>
    <n v="413.25"/>
    <n v="1134"/>
    <n v="331.3"/>
    <n v="571"/>
    <n v="44.66"/>
    <n v="4.9675000000000002"/>
  </r>
  <r>
    <x v="2"/>
    <x v="3"/>
    <d v="2024-02-27T00:00:00"/>
    <n v="408.25"/>
    <n v="1131.25"/>
    <n v="327.8"/>
    <n v="586"/>
    <n v="44.91"/>
    <n v="4.9335000000000004"/>
  </r>
  <r>
    <x v="2"/>
    <x v="3"/>
    <d v="2024-02-26T00:00:00"/>
    <n v="407"/>
    <n v="1136"/>
    <n v="334.4"/>
    <n v="577.25"/>
    <n v="44.4"/>
    <n v="4.9798999999999998"/>
  </r>
  <r>
    <x v="2"/>
    <x v="3"/>
    <d v="2024-02-23T00:00:00"/>
    <n v="399.75"/>
    <n v="1133"/>
    <n v="331.5"/>
    <n v="573.5"/>
    <n v="44.02"/>
    <n v="4.9950999999999999"/>
  </r>
  <r>
    <x v="2"/>
    <x v="3"/>
    <d v="2024-02-22T00:00:00"/>
    <n v="406"/>
    <n v="1147.75"/>
    <n v="334.9"/>
    <n v="583.25"/>
    <n v="44.21"/>
    <n v="4.9604999999999997"/>
  </r>
  <r>
    <x v="2"/>
    <x v="3"/>
    <d v="2024-02-21T00:00:00"/>
    <n v="411"/>
    <n v="1160.75"/>
    <n v="342"/>
    <n v="583.25"/>
    <n v="44.83"/>
    <n v="4.9358000000000004"/>
  </r>
  <r>
    <x v="2"/>
    <x v="3"/>
    <d v="2024-02-20T00:00:00"/>
    <n v="418.75"/>
    <n v="1179"/>
    <n v="347.6"/>
    <n v="582.75"/>
    <n v="45.41"/>
    <n v="4.9275000000000002"/>
  </r>
  <r>
    <x v="2"/>
    <x v="3"/>
    <d v="2024-02-19T00:00:00"/>
    <m/>
    <m/>
    <m/>
    <m/>
    <m/>
    <n v="4.9564000000000004"/>
  </r>
  <r>
    <x v="2"/>
    <x v="3"/>
    <d v="2024-02-16T00:00:00"/>
    <n v="416.5"/>
    <n v="1172.25"/>
    <n v="345.6"/>
    <n v="560.5"/>
    <n v="45.59"/>
    <n v="4.9664999999999999"/>
  </r>
  <r>
    <x v="2"/>
    <x v="3"/>
    <d v="2024-02-15T00:00:00"/>
    <n v="417.75"/>
    <n v="1162.25"/>
    <n v="339.5"/>
    <n v="567"/>
    <n v="46"/>
    <n v="4.9732000000000003"/>
  </r>
  <r>
    <x v="2"/>
    <x v="3"/>
    <d v="2024-02-14T00:00:00"/>
    <n v="424.25"/>
    <n v="1170.5"/>
    <n v="343.3"/>
    <n v="585.5"/>
    <n v="46.35"/>
    <n v="4.9690000000000003"/>
  </r>
  <r>
    <x v="2"/>
    <x v="3"/>
    <d v="2024-02-13T00:00:00"/>
    <n v="430.75"/>
    <n v="1186.25"/>
    <n v="344.8"/>
    <n v="597.5"/>
    <n v="47.3"/>
    <n v="4.9535999999999998"/>
  </r>
  <r>
    <x v="2"/>
    <x v="3"/>
    <d v="2024-02-12T00:00:00"/>
    <n v="430.5"/>
    <n v="1193"/>
    <n v="348.9"/>
    <n v="597.5"/>
    <n v="46.9"/>
    <n v="4.9535999999999998"/>
  </r>
  <r>
    <x v="2"/>
    <x v="3"/>
    <d v="2024-02-09T00:00:00"/>
    <n v="429"/>
    <n v="1183.5"/>
    <n v="346.8"/>
    <n v="596.75"/>
    <n v="47.26"/>
    <n v="4.9516999999999998"/>
  </r>
  <r>
    <x v="2"/>
    <x v="3"/>
    <d v="2024-02-08T00:00:00"/>
    <n v="433.25"/>
    <n v="1193.5"/>
    <n v="347.1"/>
    <n v="588.5"/>
    <n v="47.94"/>
    <n v="4.992"/>
  </r>
  <r>
    <x v="2"/>
    <x v="3"/>
    <d v="2024-02-07T00:00:00"/>
    <n v="434.25"/>
    <n v="1189"/>
    <n v="351.2"/>
    <n v="602"/>
    <n v="46.76"/>
    <n v="4.9684999999999997"/>
  </r>
  <r>
    <x v="2"/>
    <x v="3"/>
    <d v="2024-02-06T00:00:00"/>
    <n v="438.75"/>
    <n v="1199.5"/>
    <n v="358.8"/>
    <n v="595"/>
    <n v="45.94"/>
    <n v="4.9634"/>
  </r>
  <r>
    <x v="2"/>
    <x v="3"/>
    <d v="2024-02-05T00:00:00"/>
    <n v="442.75"/>
    <n v="1196.25"/>
    <n v="361.1"/>
    <n v="590.25"/>
    <n v="45.33"/>
    <n v="4.9854000000000003"/>
  </r>
  <r>
    <x v="2"/>
    <x v="3"/>
    <d v="2024-02-02T00:00:00"/>
    <n v="442.75"/>
    <n v="1188.5"/>
    <n v="356.8"/>
    <n v="599.75"/>
    <n v="44.73"/>
    <n v="4.9699"/>
  </r>
  <r>
    <x v="2"/>
    <x v="3"/>
    <d v="2024-02-01T00:00:00"/>
    <n v="447.25"/>
    <n v="1203.25"/>
    <n v="361.7"/>
    <n v="601.5"/>
    <n v="45.6"/>
    <n v="4.9162999999999997"/>
  </r>
  <r>
    <x v="2"/>
    <x v="4"/>
    <d v="2024-01-31T00:00:00"/>
    <n v="448.25"/>
    <n v="1222.25"/>
    <n v="368.3"/>
    <n v="595.25"/>
    <n v="46.02"/>
    <n v="4.9526000000000003"/>
  </r>
  <r>
    <x v="2"/>
    <x v="4"/>
    <d v="2024-01-30T00:00:00"/>
    <n v="447.75"/>
    <n v="1218.75"/>
    <n v="363"/>
    <n v="605.5"/>
    <n v="46"/>
    <n v="4.9516"/>
  </r>
  <r>
    <x v="2"/>
    <x v="4"/>
    <d v="2024-01-29T00:00:00"/>
    <n v="440.25"/>
    <n v="1194.25"/>
    <n v="354.3"/>
    <n v="593.5"/>
    <n v="45.55"/>
    <n v="4.9518000000000004"/>
  </r>
  <r>
    <x v="2"/>
    <x v="4"/>
    <d v="2024-01-26T00:00:00"/>
    <n v="446.25"/>
    <n v="1209.25"/>
    <n v="349"/>
    <n v="600.25"/>
    <n v="46.93"/>
    <n v="4.9168000000000003"/>
  </r>
  <r>
    <x v="2"/>
    <x v="4"/>
    <d v="2024-01-25T00:00:00"/>
    <n v="451.75"/>
    <n v="1223"/>
    <n v="358.2"/>
    <n v="612.25"/>
    <n v="46.53"/>
    <n v="4.9165000000000001"/>
  </r>
  <r>
    <x v="2"/>
    <x v="4"/>
    <d v="2024-01-24T00:00:00"/>
    <n v="452.25"/>
    <n v="1240.25"/>
    <n v="363.3"/>
    <n v="610.75"/>
    <n v="47.32"/>
    <n v="4.9335000000000004"/>
  </r>
  <r>
    <x v="2"/>
    <x v="4"/>
    <d v="2024-01-23T00:00:00"/>
    <n v="446.5"/>
    <n v="1239.5"/>
    <n v="361.1"/>
    <n v="596.5"/>
    <n v="48.21"/>
    <n v="4.9535"/>
  </r>
  <r>
    <x v="2"/>
    <x v="4"/>
    <d v="2024-01-22T00:00:00"/>
    <n v="445.75"/>
    <n v="1224.25"/>
    <n v="355.8"/>
    <n v="596.5"/>
    <n v="48.16"/>
    <n v="4.9892000000000003"/>
  </r>
  <r>
    <x v="2"/>
    <x v="4"/>
    <d v="2024-01-19T00:00:00"/>
    <n v="445.5"/>
    <n v="1213.25"/>
    <n v="356.5"/>
    <n v="593.25"/>
    <n v="46.9"/>
    <n v="4.931"/>
  </r>
  <r>
    <x v="2"/>
    <x v="4"/>
    <d v="2024-01-18T00:00:00"/>
    <n v="444"/>
    <n v="1213.5"/>
    <n v="361.3"/>
    <n v="585.5"/>
    <n v="47.62"/>
    <n v="4.9268999999999998"/>
  </r>
  <r>
    <x v="2"/>
    <x v="4"/>
    <d v="2024-01-17T00:00:00"/>
    <n v="442.25"/>
    <n v="1205.75"/>
    <n v="358.7"/>
    <n v="582.5"/>
    <n v="47.7"/>
    <n v="4.9348999999999998"/>
  </r>
  <r>
    <x v="2"/>
    <x v="4"/>
    <d v="2024-01-16T00:00:00"/>
    <n v="443.5"/>
    <n v="1227.25"/>
    <n v="371.1"/>
    <n v="582"/>
    <n v="47.25"/>
    <n v="4.9257999999999997"/>
  </r>
  <r>
    <x v="2"/>
    <x v="4"/>
    <d v="2024-01-15T00:00:00"/>
    <m/>
    <m/>
    <m/>
    <m/>
    <m/>
    <n v="4.8628"/>
  </r>
  <r>
    <x v="2"/>
    <x v="4"/>
    <d v="2024-01-12T00:00:00"/>
    <n v="447"/>
    <n v="1205.75"/>
    <n v="351.3"/>
    <n v="596"/>
    <n v="47.75"/>
    <n v="4.8539000000000003"/>
  </r>
  <r>
    <x v="2"/>
    <x v="4"/>
    <d v="2024-01-11T00:00:00"/>
    <n v="457.75"/>
    <n v="1231.25"/>
    <n v="361.4"/>
    <n v="603.75"/>
    <n v="48.37"/>
    <n v="4.87"/>
  </r>
  <r>
    <x v="2"/>
    <x v="4"/>
    <d v="2024-01-10T00:00:00"/>
    <n v="459.5"/>
    <n v="1228.75"/>
    <n v="361.3"/>
    <n v="610.75"/>
    <n v="47.86"/>
    <n v="4.8909000000000002"/>
  </r>
  <r>
    <x v="2"/>
    <x v="4"/>
    <d v="2024-01-09T00:00:00"/>
    <n v="459.25"/>
    <n v="1241.5"/>
    <n v="366"/>
    <n v="610"/>
    <n v="48.12"/>
    <n v="4.9038000000000004"/>
  </r>
  <r>
    <x v="2"/>
    <x v="4"/>
    <d v="2024-01-08T00:00:00"/>
    <n v="455"/>
    <n v="1239.5"/>
    <n v="368.1"/>
    <n v="596.25"/>
    <n v="47.44"/>
    <n v="4.87"/>
  </r>
  <r>
    <x v="2"/>
    <x v="4"/>
    <d v="2024-01-05T00:00:00"/>
    <n v="460.75"/>
    <n v="1249.75"/>
    <n v="368.6"/>
    <n v="616"/>
    <n v="47.17"/>
    <n v="4.8742999999999999"/>
  </r>
  <r>
    <x v="2"/>
    <x v="4"/>
    <d v="2024-01-04T00:00:00"/>
    <n v="466.5"/>
    <n v="1262"/>
    <n v="381.2"/>
    <n v="613.5"/>
    <n v="47.88"/>
    <n v="4.8967999999999998"/>
  </r>
  <r>
    <x v="2"/>
    <x v="4"/>
    <d v="2024-01-03T00:00:00"/>
    <n v="465.25"/>
    <n v="1269.5"/>
    <n v="381"/>
    <n v="600.25"/>
    <n v="48.1"/>
    <n v="4.9198000000000004"/>
  </r>
  <r>
    <x v="2"/>
    <x v="4"/>
    <d v="2024-01-02T00:00:00"/>
    <n v="463.75"/>
    <n v="1274"/>
    <n v="378.9"/>
    <n v="606.75"/>
    <n v="47.79"/>
    <n v="4.9234999999999998"/>
  </r>
  <r>
    <x v="2"/>
    <x v="4"/>
    <d v="2024-01-01T00:00:00"/>
    <m/>
    <m/>
    <m/>
    <m/>
    <m/>
    <n v="4.8525999999999998"/>
  </r>
  <r>
    <x v="3"/>
    <x v="5"/>
    <d v="2023-12-29T00:00:00"/>
    <n v="471.25"/>
    <n v="1293.5"/>
    <n v="386"/>
    <n v="628"/>
    <n v="47.84"/>
    <n v="4.8521000000000001"/>
  </r>
  <r>
    <x v="3"/>
    <x v="5"/>
    <d v="2023-12-28T00:00:00"/>
    <n v="474.25"/>
    <n v="1305.25"/>
    <n v="393"/>
    <n v="631.5"/>
    <n v="47.49"/>
    <n v="4.8521000000000001"/>
  </r>
  <r>
    <x v="3"/>
    <x v="5"/>
    <d v="2023-12-27T00:00:00"/>
    <n v="476.5"/>
    <n v="1316.75"/>
    <n v="398.9"/>
    <n v="623"/>
    <n v="48.24"/>
    <n v="4.8266999999999998"/>
  </r>
  <r>
    <x v="3"/>
    <x v="5"/>
    <d v="2023-12-26T00:00:00"/>
    <n v="480.25"/>
    <n v="1313.25"/>
    <n v="403.2"/>
    <n v="636.25"/>
    <n v="47.91"/>
    <n v="4.8140000000000001"/>
  </r>
  <r>
    <x v="3"/>
    <x v="5"/>
    <d v="2023-12-25T00:00:00"/>
    <m/>
    <m/>
    <m/>
    <m/>
    <m/>
    <n v="4.8585000000000003"/>
  </r>
  <r>
    <x v="3"/>
    <x v="5"/>
    <d v="2023-12-22T00:00:00"/>
    <n v="473"/>
    <n v="1299.75"/>
    <n v="399.6"/>
    <n v="616.25"/>
    <n v="48.53"/>
    <n v="4.8585000000000003"/>
  </r>
  <r>
    <x v="3"/>
    <x v="5"/>
    <d v="2023-12-21T00:00:00"/>
    <n v="472.5"/>
    <n v="1297.25"/>
    <n v="395.4"/>
    <n v="612.5"/>
    <n v="49.04"/>
    <n v="4.8844000000000003"/>
  </r>
  <r>
    <x v="3"/>
    <x v="5"/>
    <d v="2023-12-20T00:00:00"/>
    <n v="469.75"/>
    <n v="1308.25"/>
    <n v="399.9"/>
    <n v="610"/>
    <n v="50.56"/>
    <n v="4.9162999999999997"/>
  </r>
  <r>
    <x v="3"/>
    <x v="5"/>
    <d v="2023-12-19T00:00:00"/>
    <n v="472.75"/>
    <n v="1312.5"/>
    <n v="403.2"/>
    <n v="622.75"/>
    <n v="50.73"/>
    <n v="4.8674999999999997"/>
  </r>
  <r>
    <x v="3"/>
    <x v="5"/>
    <d v="2023-12-18T00:00:00"/>
    <n v="477"/>
    <n v="1327"/>
    <n v="412.8"/>
    <n v="617"/>
    <n v="50.64"/>
    <n v="4.8967000000000001"/>
  </r>
  <r>
    <x v="3"/>
    <x v="5"/>
    <d v="2023-12-15T00:00:00"/>
    <n v="483"/>
    <n v="1315.75"/>
    <n v="405.6"/>
    <n v="629.25"/>
    <n v="49.99"/>
    <n v="4.9371"/>
  </r>
  <r>
    <x v="3"/>
    <x v="5"/>
    <d v="2023-12-14T00:00:00"/>
    <n v="456.75"/>
    <n v="1314"/>
    <n v="421.1"/>
    <n v="594"/>
    <n v="49.28"/>
    <n v="4.9154999999999998"/>
  </r>
  <r>
    <x v="3"/>
    <x v="5"/>
    <d v="2023-12-13T00:00:00"/>
    <n v="456.75"/>
    <n v="1307.5"/>
    <n v="421.1"/>
    <n v="585.25"/>
    <n v="49.82"/>
    <n v="4.9196999999999997"/>
  </r>
  <r>
    <x v="3"/>
    <x v="5"/>
    <d v="2023-12-12T00:00:00"/>
    <n v="462.5"/>
    <n v="1323.75"/>
    <n v="429.2"/>
    <n v="607"/>
    <n v="50.39"/>
    <n v="4.9630999999999998"/>
  </r>
  <r>
    <x v="3"/>
    <x v="5"/>
    <d v="2023-12-11T00:00:00"/>
    <n v="460.5"/>
    <n v="1336"/>
    <n v="430.7"/>
    <n v="591.25"/>
    <n v="51.06"/>
    <n v="4.9386000000000001"/>
  </r>
  <r>
    <x v="3"/>
    <x v="5"/>
    <d v="2023-12-08T00:00:00"/>
    <n v="465.75"/>
    <n v="1304"/>
    <n v="424.2"/>
    <n v="615"/>
    <n v="50.15"/>
    <n v="4.9317000000000002"/>
  </r>
  <r>
    <x v="3"/>
    <x v="5"/>
    <d v="2023-12-07T00:00:00"/>
    <n v="468.25"/>
    <n v="1311.75"/>
    <n v="424.5"/>
    <n v="626"/>
    <n v="51.11"/>
    <n v="4.9115000000000002"/>
  </r>
  <r>
    <x v="3"/>
    <x v="5"/>
    <d v="2023-12-06T00:00:00"/>
    <n v="464.75"/>
    <n v="1295.5"/>
    <n v="424.4"/>
    <n v="615.75"/>
    <n v="49.29"/>
    <n v="4.9021999999999997"/>
  </r>
  <r>
    <x v="3"/>
    <x v="5"/>
    <d v="2023-12-05T00:00:00"/>
    <n v="468.5"/>
    <n v="1305.5"/>
    <n v="433.7"/>
    <n v="620.75"/>
    <n v="50.22"/>
    <n v="4.9306000000000001"/>
  </r>
  <r>
    <x v="3"/>
    <x v="5"/>
    <d v="2023-12-04T00:00:00"/>
    <n v="460.25"/>
    <n v="1306.25"/>
    <n v="422.3"/>
    <n v="595.75"/>
    <n v="51.19"/>
    <n v="4.9432"/>
  </r>
  <r>
    <x v="3"/>
    <x v="5"/>
    <d v="2023-12-01T00:00:00"/>
    <n v="464.5"/>
    <n v="1325"/>
    <n v="425.3"/>
    <n v="577"/>
    <n v="51.38"/>
    <n v="4.8800999999999997"/>
  </r>
  <r>
    <x v="3"/>
    <x v="6"/>
    <d v="2023-11-30T00:00:00"/>
    <n v="461.75"/>
    <n v="1342.75"/>
    <n v="442.2"/>
    <n v="570.25"/>
    <n v="52.29"/>
    <n v="4.9204999999999997"/>
  </r>
  <r>
    <x v="3"/>
    <x v="6"/>
    <d v="2023-11-29T00:00:00"/>
    <n v="449.75"/>
    <n v="1347"/>
    <n v="444.3"/>
    <n v="556"/>
    <n v="52.68"/>
    <n v="4.9028999999999998"/>
  </r>
  <r>
    <x v="3"/>
    <x v="6"/>
    <d v="2023-11-28T00:00:00"/>
    <n v="451.5"/>
    <n v="1346.5"/>
    <n v="450.3"/>
    <n v="543.75"/>
    <n v="53.34"/>
    <n v="4.8704999999999998"/>
  </r>
  <r>
    <x v="3"/>
    <x v="6"/>
    <d v="2023-11-27T00:00:00"/>
    <n v="455.5"/>
    <n v="1329.75"/>
    <n v="458.7"/>
    <n v="534.25"/>
    <n v="51.91"/>
    <n v="4.8963999999999999"/>
  </r>
  <r>
    <x v="3"/>
    <x v="6"/>
    <d v="2023-11-24T00:00:00"/>
    <n v="463.25"/>
    <n v="1330.75"/>
    <n v="457.4"/>
    <n v="548.75"/>
    <n v="51.53"/>
    <n v="4.9020000000000001"/>
  </r>
  <r>
    <x v="3"/>
    <x v="6"/>
    <d v="2023-11-23T00:00:00"/>
    <m/>
    <m/>
    <m/>
    <m/>
    <m/>
    <n v="4.9039000000000001"/>
  </r>
  <r>
    <x v="3"/>
    <x v="6"/>
    <d v="2023-11-22T00:00:00"/>
    <n v="468.75"/>
    <n v="1356.5"/>
    <n v="458.1"/>
    <n v="555.75"/>
    <n v="53.6"/>
    <n v="4.9067999999999996"/>
  </r>
  <r>
    <x v="3"/>
    <x v="6"/>
    <d v="2023-11-21T00:00:00"/>
    <n v="470"/>
    <n v="1377.25"/>
    <n v="459.2"/>
    <n v="555"/>
    <n v="54.19"/>
    <n v="4.9005999999999998"/>
  </r>
  <r>
    <x v="3"/>
    <x v="6"/>
    <d v="2023-11-20T00:00:00"/>
    <n v="469.5"/>
    <n v="1367.25"/>
    <n v="460.2"/>
    <n v="543.5"/>
    <n v="53.11"/>
    <n v="4.8543000000000003"/>
  </r>
  <r>
    <x v="3"/>
    <x v="6"/>
    <d v="2023-11-17T00:00:00"/>
    <n v="467"/>
    <n v="1340.25"/>
    <n v="453.3"/>
    <n v="550.75"/>
    <n v="52.01"/>
    <n v="4.9058999999999999"/>
  </r>
  <r>
    <x v="3"/>
    <x v="6"/>
    <d v="2023-11-16T00:00:00"/>
    <n v="474.75"/>
    <n v="1360.25"/>
    <n v="466.8"/>
    <n v="553.5"/>
    <n v="51.63"/>
    <n v="4.8632"/>
  </r>
  <r>
    <x v="3"/>
    <x v="6"/>
    <d v="2023-11-15T00:00:00"/>
    <n v="470.75"/>
    <n v="1385"/>
    <n v="469.2"/>
    <n v="560.5"/>
    <n v="53.05"/>
    <n v="4.8620000000000001"/>
  </r>
  <r>
    <x v="3"/>
    <x v="6"/>
    <d v="2023-11-14T00:00:00"/>
    <n v="478.25"/>
    <n v="1368.75"/>
    <n v="473.6"/>
    <n v="572"/>
    <n v="52.75"/>
    <n v="4.8654000000000002"/>
  </r>
  <r>
    <x v="3"/>
    <x v="6"/>
    <d v="2023-11-13T00:00:00"/>
    <n v="477.25"/>
    <n v="1368"/>
    <n v="469.1"/>
    <n v="579"/>
    <n v="51.54"/>
    <n v="4.9074999999999998"/>
  </r>
  <r>
    <x v="3"/>
    <x v="6"/>
    <d v="2023-11-10T00:00:00"/>
    <n v="464"/>
    <n v="1333.5"/>
    <n v="449.4"/>
    <n v="575.25"/>
    <n v="51.2"/>
    <n v="4.9013"/>
  </r>
  <r>
    <x v="3"/>
    <x v="6"/>
    <d v="2023-11-09T00:00:00"/>
    <n v="468"/>
    <n v="1327.75"/>
    <n v="449.9"/>
    <n v="580.75"/>
    <n v="50.45"/>
    <n v="4.9341999999999997"/>
  </r>
  <r>
    <x v="3"/>
    <x v="6"/>
    <d v="2023-11-08T00:00:00"/>
    <n v="476"/>
    <n v="1349"/>
    <n v="449.8"/>
    <n v="592.25"/>
    <n v="49.95"/>
    <n v="4.9103000000000003"/>
  </r>
  <r>
    <x v="3"/>
    <x v="6"/>
    <d v="2023-11-07T00:00:00"/>
    <n v="468.5"/>
    <n v="1348.75"/>
    <n v="447.4"/>
    <n v="570.25"/>
    <n v="49.49"/>
    <n v="4.8723999999999998"/>
  </r>
  <r>
    <x v="3"/>
    <x v="6"/>
    <d v="2023-11-06T00:00:00"/>
    <n v="477.25"/>
    <n v="1340.5"/>
    <n v="437.5"/>
    <n v="575.75"/>
    <n v="50.8"/>
    <n v="4.8853"/>
  </r>
  <r>
    <x v="3"/>
    <x v="6"/>
    <d v="2023-11-03T00:00:00"/>
    <n v="477.25"/>
    <n v="1327.5"/>
    <n v="442.1"/>
    <n v="572.5"/>
    <n v="49.36"/>
    <n v="4.9012000000000002"/>
  </r>
  <r>
    <x v="3"/>
    <x v="6"/>
    <d v="2023-11-02T00:00:00"/>
    <n v="470"/>
    <n v="1304"/>
    <n v="426.3"/>
    <n v="565.5"/>
    <n v="50.32"/>
    <n v="4.9534000000000002"/>
  </r>
  <r>
    <x v="3"/>
    <x v="6"/>
    <d v="2023-11-01T00:00:00"/>
    <n v="475"/>
    <n v="1291.25"/>
    <n v="430.4"/>
    <n v="561.75"/>
    <n v="49.9"/>
    <n v="4.9534000000000002"/>
  </r>
  <r>
    <x v="3"/>
    <x v="7"/>
    <d v="2023-10-31T00:00:00"/>
    <n v="478.75"/>
    <n v="1287"/>
    <n v="431"/>
    <n v="556.25"/>
    <n v="51.42"/>
    <n v="5.0350000000000001"/>
  </r>
  <r>
    <x v="3"/>
    <x v="7"/>
    <d v="2023-10-30T00:00:00"/>
    <n v="478.25"/>
    <n v="1282.75"/>
    <n v="426.5"/>
    <n v="566"/>
    <n v="52.39"/>
    <n v="5.0472000000000001"/>
  </r>
  <r>
    <x v="3"/>
    <x v="7"/>
    <d v="2023-10-27T00:00:00"/>
    <n v="480.75"/>
    <n v="1297.25"/>
    <n v="442.4"/>
    <n v="575.5"/>
    <n v="52.27"/>
    <n v="5.0152000000000001"/>
  </r>
  <r>
    <x v="3"/>
    <x v="7"/>
    <d v="2023-10-26T00:00:00"/>
    <n v="479.25"/>
    <n v="1279.5"/>
    <n v="429.5"/>
    <n v="579.5"/>
    <n v="51.74"/>
    <n v="4.9861000000000004"/>
  </r>
  <r>
    <x v="3"/>
    <x v="7"/>
    <d v="2023-10-25T00:00:00"/>
    <n v="480"/>
    <n v="1288.25"/>
    <n v="429.2"/>
    <n v="568.5"/>
    <n v="52.6"/>
    <n v="4.9946999999999999"/>
  </r>
  <r>
    <x v="3"/>
    <x v="7"/>
    <d v="2023-10-24T00:00:00"/>
    <n v="484"/>
    <n v="1295.25"/>
    <n v="434.2"/>
    <n v="580.5"/>
    <n v="51.32"/>
    <n v="4.9908000000000001"/>
  </r>
  <r>
    <x v="3"/>
    <x v="7"/>
    <d v="2023-10-23T00:00:00"/>
    <n v="490.25"/>
    <n v="1286.75"/>
    <n v="420.5"/>
    <n v="587.25"/>
    <n v="51.94"/>
    <n v="5.0111999999999997"/>
  </r>
  <r>
    <x v="3"/>
    <x v="7"/>
    <d v="2023-10-20T00:00:00"/>
    <n v="495.5"/>
    <n v="1302.25"/>
    <n v="423.9"/>
    <n v="586"/>
    <n v="53.39"/>
    <n v="5.0312000000000001"/>
  </r>
  <r>
    <x v="3"/>
    <x v="7"/>
    <d v="2023-10-19T00:00:00"/>
    <n v="505"/>
    <n v="1315.5"/>
    <n v="423"/>
    <n v="594"/>
    <n v="53.11"/>
    <n v="5.0646000000000004"/>
  </r>
  <r>
    <x v="3"/>
    <x v="7"/>
    <d v="2023-10-18T00:00:00"/>
    <n v="492"/>
    <n v="1311"/>
    <n v="413.8"/>
    <n v="580.25"/>
    <n v="54.86"/>
    <n v="5.0590999999999999"/>
  </r>
  <r>
    <x v="3"/>
    <x v="7"/>
    <d v="2023-10-17T00:00:00"/>
    <n v="489"/>
    <n v="1296.75"/>
    <n v="399.8"/>
    <n v="570.5"/>
    <n v="55.35"/>
    <n v="5.0414000000000003"/>
  </r>
  <r>
    <x v="3"/>
    <x v="7"/>
    <d v="2023-10-16T00:00:00"/>
    <n v="490"/>
    <n v="1286.25"/>
    <n v="390.2"/>
    <n v="577.25"/>
    <n v="55.9"/>
    <n v="5.0377000000000001"/>
  </r>
  <r>
    <x v="3"/>
    <x v="7"/>
    <d v="2023-10-13T00:00:00"/>
    <n v="493.25"/>
    <n v="1280.25"/>
    <n v="387.6"/>
    <n v="579.75"/>
    <n v="55.35"/>
    <n v="5.0800999999999998"/>
  </r>
  <r>
    <x v="3"/>
    <x v="7"/>
    <d v="2023-10-12T00:00:00"/>
    <n v="496"/>
    <n v="1290"/>
    <n v="387.6"/>
    <n v="571.5"/>
    <n v="54.47"/>
    <n v="5.0460000000000003"/>
  </r>
  <r>
    <x v="3"/>
    <x v="7"/>
    <d v="2023-10-11T00:00:00"/>
    <n v="488"/>
    <n v="1252.5"/>
    <n v="374.3"/>
    <n v="556"/>
    <n v="53.52"/>
    <n v="5.0483000000000002"/>
  </r>
  <r>
    <x v="3"/>
    <x v="7"/>
    <d v="2023-10-10T00:00:00"/>
    <n v="485.5"/>
    <n v="1271.5"/>
    <n v="372"/>
    <n v="558.5"/>
    <n v="53.99"/>
    <n v="5.0515999999999996"/>
  </r>
  <r>
    <x v="3"/>
    <x v="7"/>
    <d v="2023-10-09T00:00:00"/>
    <n v="488.25"/>
    <n v="1264.25"/>
    <n v="370.9"/>
    <n v="572.75"/>
    <n v="56.13"/>
    <n v="5.1355000000000004"/>
  </r>
  <r>
    <x v="3"/>
    <x v="7"/>
    <d v="2023-10-06T00:00:00"/>
    <n v="492"/>
    <n v="1266"/>
    <n v="367.6"/>
    <n v="568.25"/>
    <n v="57.29"/>
    <n v="5.1456999999999997"/>
  </r>
  <r>
    <x v="3"/>
    <x v="7"/>
    <d v="2023-10-05T00:00:00"/>
    <n v="497.5"/>
    <n v="1280.75"/>
    <n v="373.6"/>
    <n v="578.25"/>
    <n v="57.86"/>
    <n v="5.1657999999999999"/>
  </r>
  <r>
    <x v="3"/>
    <x v="7"/>
    <d v="2023-10-04T00:00:00"/>
    <n v="486"/>
    <n v="1273"/>
    <n v="368.7"/>
    <n v="560"/>
    <n v="58.43"/>
    <n v="5.1562000000000001"/>
  </r>
  <r>
    <x v="3"/>
    <x v="7"/>
    <d v="2023-10-03T00:00:00"/>
    <n v="487.5"/>
    <n v="1272.75"/>
    <n v="363.2"/>
    <n v="568.5"/>
    <n v="59.45"/>
    <n v="5.1669"/>
  </r>
  <r>
    <x v="3"/>
    <x v="7"/>
    <d v="2023-10-02T00:00:00"/>
    <n v="488.75"/>
    <n v="1277"/>
    <n v="367.6"/>
    <n v="564.75"/>
    <n v="59.85"/>
    <n v="5.0609999999999999"/>
  </r>
  <r>
    <x v="3"/>
    <x v="8"/>
    <d v="2023-09-29T00:00:00"/>
    <n v="476.75"/>
    <n v="1275"/>
    <n v="375.9"/>
    <n v="541.5"/>
    <n v="57.44"/>
    <n v="5.032"/>
  </r>
  <r>
    <x v="3"/>
    <x v="8"/>
    <d v="2023-09-28T00:00:00"/>
    <n v="488.5"/>
    <n v="1300.5"/>
    <n v="392.4"/>
    <n v="578.75"/>
    <n v="58.53"/>
    <n v="5.0331000000000001"/>
  </r>
  <r>
    <x v="3"/>
    <x v="8"/>
    <d v="2023-09-27T00:00:00"/>
    <n v="483.25"/>
    <n v="1303.25"/>
    <n v="390.1"/>
    <n v="579.5"/>
    <n v="59.61"/>
    <n v="5.0425000000000004"/>
  </r>
  <r>
    <x v="3"/>
    <x v="8"/>
    <d v="2023-09-26T00:00:00"/>
    <n v="479.75"/>
    <n v="1302.75"/>
    <n v="394"/>
    <n v="589"/>
    <n v="58.86"/>
    <n v="4.9897999999999998"/>
  </r>
  <r>
    <x v="3"/>
    <x v="8"/>
    <d v="2023-09-25T00:00:00"/>
    <n v="481.25"/>
    <n v="1297.75"/>
    <n v="392"/>
    <n v="589"/>
    <n v="58.75"/>
    <n v="4.9678000000000004"/>
  </r>
  <r>
    <x v="3"/>
    <x v="8"/>
    <d v="2023-09-22T00:00:00"/>
    <n v="477.25"/>
    <n v="1296.25"/>
    <n v="388.2"/>
    <n v="579.5"/>
    <n v="60.85"/>
    <n v="4.9351000000000003"/>
  </r>
  <r>
    <x v="3"/>
    <x v="8"/>
    <d v="2023-09-21T00:00:00"/>
    <n v="475.25"/>
    <n v="1293.75"/>
    <n v="390.3"/>
    <n v="575.75"/>
    <n v="59.65"/>
    <n v="4.9351000000000003"/>
  </r>
  <r>
    <x v="3"/>
    <x v="8"/>
    <d v="2023-09-20T00:00:00"/>
    <n v="482.25"/>
    <n v="1320"/>
    <n v="397.2"/>
    <n v="588.75"/>
    <n v="60.68"/>
    <n v="4.8800999999999997"/>
  </r>
  <r>
    <x v="3"/>
    <x v="8"/>
    <d v="2023-09-19T00:00:00"/>
    <n v="476.25"/>
    <n v="1315.5"/>
    <n v="391.5"/>
    <n v="584"/>
    <n v="61.76"/>
    <n v="4.8673000000000002"/>
  </r>
  <r>
    <x v="3"/>
    <x v="8"/>
    <d v="2023-09-18T00:00:00"/>
    <n v="471.5"/>
    <n v="1316.75"/>
    <n v="390.4"/>
    <n v="591.25"/>
    <n v="62.39"/>
    <n v="4.8555999999999999"/>
  </r>
  <r>
    <x v="3"/>
    <x v="8"/>
    <d v="2023-09-15T00:00:00"/>
    <n v="476.25"/>
    <n v="1340.25"/>
    <n v="393.6"/>
    <n v="604.25"/>
    <n v="63.38"/>
    <n v="4.8662999999999998"/>
  </r>
  <r>
    <x v="3"/>
    <x v="8"/>
    <d v="2023-09-14T00:00:00"/>
    <n v="462.5"/>
    <n v="1343.75"/>
    <n v="401.9"/>
    <n v="567.5"/>
    <n v="64.430000000000007"/>
    <n v="4.8667999999999996"/>
  </r>
  <r>
    <x v="3"/>
    <x v="8"/>
    <d v="2023-09-13T00:00:00"/>
    <n v="464"/>
    <n v="1336"/>
    <n v="401.9"/>
    <n v="569"/>
    <n v="64.430000000000007"/>
    <n v="4.9153000000000002"/>
  </r>
  <r>
    <x v="3"/>
    <x v="8"/>
    <d v="2023-09-12T00:00:00"/>
    <n v="463.25"/>
    <n v="1331.75"/>
    <n v="405.2"/>
    <n v="560.25"/>
    <n v="62.72"/>
    <n v="4.9470000000000001"/>
  </r>
  <r>
    <x v="3"/>
    <x v="8"/>
    <d v="2023-09-11T00:00:00"/>
    <n v="471.25"/>
    <n v="1352.5"/>
    <n v="412"/>
    <n v="556"/>
    <n v="63.15"/>
    <n v="4.9306999999999999"/>
  </r>
  <r>
    <x v="3"/>
    <x v="8"/>
    <d v="2023-09-08T00:00:00"/>
    <n v="468.5"/>
    <n v="1349.5"/>
    <n v="411.9"/>
    <n v="567.25"/>
    <n v="63.15"/>
    <n v="4.9882"/>
  </r>
  <r>
    <x v="3"/>
    <x v="8"/>
    <d v="2023-09-07T00:00:00"/>
    <n v="470.75"/>
    <n v="1345"/>
    <n v="403.4"/>
    <n v="571.5"/>
    <n v="63.86"/>
    <n v="4.9767000000000001"/>
  </r>
  <r>
    <x v="3"/>
    <x v="8"/>
    <d v="2023-09-06T00:00:00"/>
    <n v="471.5"/>
    <n v="1360.25"/>
    <n v="408.1"/>
    <n v="581"/>
    <n v="65.349999999999994"/>
    <n v="4.9783999999999997"/>
  </r>
  <r>
    <x v="3"/>
    <x v="8"/>
    <d v="2023-09-05T00:00:00"/>
    <n v="471"/>
    <n v="1349"/>
    <n v="406.3"/>
    <n v="572.5"/>
    <n v="66"/>
    <n v="4.9671000000000003"/>
  </r>
  <r>
    <x v="3"/>
    <x v="8"/>
    <d v="2023-09-04T00:00:00"/>
    <m/>
    <m/>
    <m/>
    <m/>
    <m/>
    <n v="4.9375999999999998"/>
  </r>
  <r>
    <x v="3"/>
    <x v="8"/>
    <d v="2023-09-01T00:00:00"/>
    <n v="464.75"/>
    <n v="1356.25"/>
    <n v="412.7"/>
    <n v="567.5"/>
    <n v="66.55"/>
    <n v="4.9462999999999999"/>
  </r>
  <r>
    <x v="3"/>
    <x v="9"/>
    <d v="2023-08-31T00:00:00"/>
    <n v="461"/>
    <n v="1360"/>
    <n v="418.7"/>
    <n v="573"/>
    <n v="65.52"/>
    <n v="4.9543999999999997"/>
  </r>
  <r>
    <x v="3"/>
    <x v="9"/>
    <d v="2023-08-30T00:00:00"/>
    <n v="461.75"/>
    <n v="1381.25"/>
    <n v="423"/>
    <n v="576.75"/>
    <n v="65.540000000000006"/>
    <n v="4.8890000000000002"/>
  </r>
  <r>
    <x v="3"/>
    <x v="9"/>
    <d v="2023-08-29T00:00:00"/>
    <n v="469.5"/>
    <n v="1382"/>
    <n v="419.3"/>
    <n v="569.75"/>
    <n v="66.56"/>
    <n v="4.8522999999999996"/>
  </r>
  <r>
    <x v="3"/>
    <x v="9"/>
    <d v="2023-08-28T00:00:00"/>
    <n v="478.5"/>
    <n v="1395.25"/>
    <n v="425.7"/>
    <n v="588"/>
    <n v="66.900000000000006"/>
    <n v="4.8731"/>
  </r>
  <r>
    <x v="3"/>
    <x v="9"/>
    <d v="2023-08-25T00:00:00"/>
    <n v="470.75"/>
    <n v="1381"/>
    <n v="422.8"/>
    <n v="593.25"/>
    <n v="66.73"/>
    <n v="4.8711000000000002"/>
  </r>
  <r>
    <x v="3"/>
    <x v="9"/>
    <d v="2023-08-24T00:00:00"/>
    <n v="472.25"/>
    <n v="1365.75"/>
    <n v="422.7"/>
    <n v="604"/>
    <n v="65.540000000000006"/>
    <n v="4.8802000000000003"/>
  </r>
  <r>
    <x v="3"/>
    <x v="9"/>
    <d v="2023-08-23T00:00:00"/>
    <n v="476.25"/>
    <n v="1359.5"/>
    <n v="413"/>
    <n v="612.5"/>
    <n v="66.150000000000006"/>
    <n v="4.8571999999999997"/>
  </r>
  <r>
    <x v="3"/>
    <x v="9"/>
    <d v="2023-08-22T00:00:00"/>
    <n v="466.5"/>
    <n v="1351.5"/>
    <n v="406.3"/>
    <n v="601.75"/>
    <n v="65.209999999999994"/>
    <n v="4.9386000000000001"/>
  </r>
  <r>
    <x v="3"/>
    <x v="9"/>
    <d v="2023-08-21T00:00:00"/>
    <n v="469.25"/>
    <n v="1370"/>
    <n v="409.8"/>
    <n v="599.25"/>
    <n v="67.989999999999995"/>
    <n v="4.9793000000000003"/>
  </r>
  <r>
    <x v="3"/>
    <x v="9"/>
    <d v="2023-08-18T00:00:00"/>
    <n v="479.5"/>
    <n v="1362.75"/>
    <n v="403.9"/>
    <n v="613.25"/>
    <n v="68.290000000000006"/>
    <n v="4.9694000000000003"/>
  </r>
  <r>
    <x v="3"/>
    <x v="9"/>
    <d v="2023-08-17T00:00:00"/>
    <n v="473"/>
    <n v="1336.75"/>
    <n v="399.6"/>
    <n v="589.5"/>
    <n v="67.760000000000005"/>
    <n v="4.9757999999999996"/>
  </r>
  <r>
    <x v="3"/>
    <x v="9"/>
    <d v="2023-08-16T00:00:00"/>
    <n v="469.5"/>
    <n v="1334.75"/>
    <n v="404.5"/>
    <n v="597.75"/>
    <n v="66.77"/>
    <n v="4.9878999999999998"/>
  </r>
  <r>
    <x v="3"/>
    <x v="9"/>
    <d v="2023-08-15T00:00:00"/>
    <n v="464"/>
    <n v="1323.25"/>
    <n v="403.8"/>
    <n v="598.5"/>
    <n v="65.900000000000006"/>
    <n v="4.9844999999999997"/>
  </r>
  <r>
    <x v="3"/>
    <x v="9"/>
    <d v="2023-08-14T00:00:00"/>
    <n v="475.75"/>
    <n v="1391"/>
    <n v="462.3"/>
    <n v="616"/>
    <n v="66.319999999999993"/>
    <n v="4.9615"/>
  </r>
  <r>
    <x v="3"/>
    <x v="9"/>
    <d v="2023-08-11T00:00:00"/>
    <n v="474.5"/>
    <n v="1401.25"/>
    <n v="436.9"/>
    <n v="626.75"/>
    <n v="66.34"/>
    <n v="4.9047999999999998"/>
  </r>
  <r>
    <x v="3"/>
    <x v="9"/>
    <d v="2023-08-10T00:00:00"/>
    <n v="483.25"/>
    <n v="1412"/>
    <n v="429.6"/>
    <n v="637.75"/>
    <n v="66.599999999999994"/>
    <n v="4.8924000000000003"/>
  </r>
  <r>
    <x v="3"/>
    <x v="9"/>
    <d v="2023-08-09T00:00:00"/>
    <n v="481"/>
    <n v="1431.5"/>
    <n v="426.3"/>
    <n v="635"/>
    <n v="66.790000000000006"/>
    <n v="4.9020000000000001"/>
  </r>
  <r>
    <x v="3"/>
    <x v="9"/>
    <d v="2023-08-08T00:00:00"/>
    <n v="485.75"/>
    <n v="1430"/>
    <n v="433.2"/>
    <n v="656.25"/>
    <n v="66.58"/>
    <n v="4.8996000000000004"/>
  </r>
  <r>
    <x v="3"/>
    <x v="9"/>
    <d v="2023-08-07T00:00:00"/>
    <n v="482.25"/>
    <n v="1414.5"/>
    <n v="446.2"/>
    <n v="657.5"/>
    <n v="66.66"/>
    <n v="4.8998999999999997"/>
  </r>
  <r>
    <x v="3"/>
    <x v="9"/>
    <d v="2023-08-04T00:00:00"/>
    <n v="484.25"/>
    <n v="1444"/>
    <n v="444.1"/>
    <n v="633"/>
    <n v="68"/>
    <n v="4.8733000000000004"/>
  </r>
  <r>
    <x v="3"/>
    <x v="9"/>
    <d v="2023-08-03T00:00:00"/>
    <n v="480.75"/>
    <n v="1428.75"/>
    <n v="451.2"/>
    <n v="627"/>
    <n v="66.989999999999995"/>
    <n v="4.9169999999999998"/>
  </r>
  <r>
    <x v="3"/>
    <x v="9"/>
    <d v="2023-08-02T00:00:00"/>
    <n v="488.25"/>
    <n v="1429.75"/>
    <n v="451.8"/>
    <n v="640"/>
    <n v="67.31"/>
    <n v="4.8120000000000003"/>
  </r>
  <r>
    <x v="3"/>
    <x v="9"/>
    <d v="2023-08-01T00:00:00"/>
    <n v="497"/>
    <n v="1446.75"/>
    <n v="456.1"/>
    <n v="652.25"/>
    <n v="67.09"/>
    <n v="4.7911000000000001"/>
  </r>
  <r>
    <x v="3"/>
    <x v="10"/>
    <d v="2023-07-31T00:00:00"/>
    <n v="504"/>
    <n v="1445.75"/>
    <n v="451.2"/>
    <n v="665.75"/>
    <n v="65.58"/>
    <n v="4.7241"/>
  </r>
  <r>
    <x v="3"/>
    <x v="10"/>
    <d v="2023-07-28T00:00:00"/>
    <n v="521"/>
    <n v="1486.75"/>
    <n v="455.2"/>
    <n v="704.25"/>
    <n v="67.599999999999994"/>
    <n v="4.7336"/>
  </r>
  <r>
    <x v="3"/>
    <x v="10"/>
    <d v="2023-07-27T00:00:00"/>
    <n v="533.25"/>
    <n v="1532"/>
    <n v="464.5"/>
    <n v="712.75"/>
    <n v="68.61"/>
    <n v="4.7423999999999999"/>
  </r>
  <r>
    <x v="3"/>
    <x v="10"/>
    <d v="2023-07-26T00:00:00"/>
    <n v="540.25"/>
    <n v="1546.25"/>
    <n v="464.7"/>
    <n v="720"/>
    <n v="70.27"/>
    <n v="4.7363999999999997"/>
  </r>
  <r>
    <x v="3"/>
    <x v="10"/>
    <d v="2023-07-25T00:00:00"/>
    <n v="557.5"/>
    <n v="1515.5"/>
    <n v="453.8"/>
    <n v="760.25"/>
    <n v="72.56"/>
    <n v="4.7497999999999996"/>
  </r>
  <r>
    <x v="3"/>
    <x v="10"/>
    <d v="2023-07-24T00:00:00"/>
    <n v="560.5"/>
    <n v="1523.25"/>
    <n v="447.3"/>
    <n v="757.5"/>
    <n v="71.989999999999995"/>
    <n v="4.7271000000000001"/>
  </r>
  <r>
    <x v="3"/>
    <x v="10"/>
    <d v="2023-07-21T00:00:00"/>
    <n v="527"/>
    <n v="1501"/>
    <n v="442.8"/>
    <n v="697.5"/>
    <n v="69.400000000000006"/>
    <n v="4.7794999999999996"/>
  </r>
  <r>
    <x v="3"/>
    <x v="10"/>
    <d v="2023-07-20T00:00:00"/>
    <n v="537.25"/>
    <n v="1495"/>
    <n v="440.5"/>
    <n v="727"/>
    <n v="67.64"/>
    <n v="4.798"/>
  </r>
  <r>
    <x v="3"/>
    <x v="10"/>
    <d v="2023-07-19T00:00:00"/>
    <n v="545.5"/>
    <n v="1491.5"/>
    <n v="443.8"/>
    <n v="727.75"/>
    <n v="66.05"/>
    <n v="4.7908999999999997"/>
  </r>
  <r>
    <x v="3"/>
    <x v="10"/>
    <d v="2023-07-18T00:00:00"/>
    <n v="528.75"/>
    <n v="1492"/>
    <n v="442.7"/>
    <n v="670.75"/>
    <n v="64.05"/>
    <n v="4.8105000000000002"/>
  </r>
  <r>
    <x v="3"/>
    <x v="10"/>
    <d v="2023-07-17T00:00:00"/>
    <n v="499.25"/>
    <n v="1484"/>
    <n v="434.4"/>
    <n v="653.75"/>
    <n v="64.760000000000005"/>
    <n v="4.8066000000000004"/>
  </r>
  <r>
    <x v="3"/>
    <x v="10"/>
    <d v="2023-07-14T00:00:00"/>
    <n v="599.75"/>
    <n v="1495.75"/>
    <n v="430"/>
    <n v="641.5"/>
    <n v="67.89"/>
    <n v="4.7893999999999997"/>
  </r>
  <r>
    <x v="3"/>
    <x v="10"/>
    <d v="2023-07-13T00:00:00"/>
    <n v="593.5"/>
    <n v="1518"/>
    <n v="430.9"/>
    <n v="627.5"/>
    <n v="69.67"/>
    <n v="4.7971000000000004"/>
  </r>
  <r>
    <x v="3"/>
    <x v="10"/>
    <d v="2023-07-12T00:00:00"/>
    <n v="549.75"/>
    <n v="1488.5"/>
    <n v="421.4"/>
    <n v="621.25"/>
    <n v="68.680000000000007"/>
    <n v="4.8183999999999996"/>
  </r>
  <r>
    <x v="3"/>
    <x v="10"/>
    <d v="2023-07-11T00:00:00"/>
    <n v="571.75"/>
    <n v="1520.5"/>
    <n v="422.3"/>
    <n v="649.5"/>
    <n v="68.53"/>
    <n v="4.8537999999999997"/>
  </r>
  <r>
    <x v="3"/>
    <x v="10"/>
    <d v="2023-07-10T00:00:00"/>
    <n v="570.75"/>
    <n v="1508"/>
    <n v="412.3"/>
    <n v="636.25"/>
    <n v="69.22"/>
    <n v="4.8978000000000002"/>
  </r>
  <r>
    <x v="3"/>
    <x v="10"/>
    <d v="2023-07-07T00:00:00"/>
    <n v="560.5"/>
    <n v="1485.5"/>
    <n v="409.6"/>
    <n v="639.5"/>
    <n v="66.55"/>
    <n v="4.8719999999999999"/>
  </r>
  <r>
    <x v="3"/>
    <x v="10"/>
    <d v="2023-07-06T00:00:00"/>
    <n v="566.75"/>
    <n v="1525.75"/>
    <n v="415.6"/>
    <n v="647"/>
    <n v="65.95"/>
    <n v="4.9192999999999998"/>
  </r>
  <r>
    <x v="3"/>
    <x v="10"/>
    <d v="2023-07-05T00:00:00"/>
    <n v="548.25"/>
    <n v="1547.25"/>
    <n v="417.9"/>
    <n v="662"/>
    <n v="68.58"/>
    <n v="4.8478000000000003"/>
  </r>
  <r>
    <x v="3"/>
    <x v="10"/>
    <d v="2023-07-04T00:00:00"/>
    <m/>
    <m/>
    <m/>
    <m/>
    <m/>
    <n v="4.8407999999999998"/>
  </r>
  <r>
    <x v="3"/>
    <x v="10"/>
    <d v="2023-07-03T00:00:00"/>
    <n v="557.25"/>
    <n v="1562"/>
    <n v="418.6"/>
    <n v="628.5"/>
    <n v="67.02"/>
    <n v="4.8076999999999996"/>
  </r>
  <r>
    <x v="3"/>
    <x v="11"/>
    <d v="2023-06-30T00:00:00"/>
    <n v="554.5"/>
    <n v="1557.25"/>
    <n v="419.2"/>
    <n v="636.25"/>
    <n v="65.010000000000005"/>
    <n v="4.7859999999999996"/>
  </r>
  <r>
    <x v="3"/>
    <x v="11"/>
    <d v="2023-06-29T00:00:00"/>
    <n v="581"/>
    <n v="1483"/>
    <n v="403"/>
    <n v="653"/>
    <n v="60.83"/>
    <n v="4.8552999999999997"/>
  </r>
  <r>
    <x v="3"/>
    <x v="11"/>
    <d v="2023-06-28T00:00:00"/>
    <n v="590"/>
    <n v="1451"/>
    <n v="401.8"/>
    <n v="655.75"/>
    <n v="59.62"/>
    <n v="4.8506"/>
  </r>
  <r>
    <x v="3"/>
    <x v="11"/>
    <d v="2023-06-27T00:00:00"/>
    <n v="623"/>
    <n v="1495"/>
    <n v="407.3"/>
    <n v="685"/>
    <n v="60.55"/>
    <n v="4.8102999999999998"/>
  </r>
  <r>
    <x v="3"/>
    <x v="11"/>
    <d v="2023-06-26T00:00:00"/>
    <n v="637.25"/>
    <n v="1521"/>
    <n v="414.6"/>
    <n v="724.25"/>
    <n v="59.51"/>
    <n v="4.7675000000000001"/>
  </r>
  <r>
    <x v="3"/>
    <x v="11"/>
    <d v="2023-06-23T00:00:00"/>
    <n v="630.75"/>
    <n v="1494.5"/>
    <n v="410.7"/>
    <n v="733.25"/>
    <n v="57.94"/>
    <n v="4.7864000000000004"/>
  </r>
  <r>
    <x v="3"/>
    <x v="11"/>
    <d v="2023-06-22T00:00:00"/>
    <n v="660.5"/>
    <n v="1500.5"/>
    <n v="424.7"/>
    <n v="739"/>
    <n v="55.77"/>
    <n v="4.7689000000000004"/>
  </r>
  <r>
    <x v="3"/>
    <x v="11"/>
    <d v="2023-06-21T00:00:00"/>
    <n v="671"/>
    <n v="1514.75"/>
    <n v="439.2"/>
    <n v="734.5"/>
    <n v="55.63"/>
    <n v="4.7629999999999999"/>
  </r>
  <r>
    <x v="3"/>
    <x v="11"/>
    <d v="2023-06-20T00:00:00"/>
    <n v="643.75"/>
    <n v="1477.25"/>
    <n v="412.8"/>
    <n v="695.75"/>
    <n v="59.63"/>
    <n v="4.7901999999999996"/>
  </r>
  <r>
    <x v="3"/>
    <x v="11"/>
    <d v="2023-06-19T00:00:00"/>
    <m/>
    <m/>
    <m/>
    <m/>
    <m/>
    <n v="4.7771999999999997"/>
  </r>
  <r>
    <x v="3"/>
    <x v="11"/>
    <d v="2023-06-16T00:00:00"/>
    <n v="640.25"/>
    <n v="1466.5"/>
    <n v="416.4"/>
    <n v="688"/>
    <n v="59.69"/>
    <n v="4.8198999999999996"/>
  </r>
  <r>
    <x v="3"/>
    <x v="11"/>
    <d v="2023-06-15T00:00:00"/>
    <n v="623.25"/>
    <n v="1428.25"/>
    <n v="394.2"/>
    <n v="661.5"/>
    <n v="58.43"/>
    <n v="4.8102"/>
  </r>
  <r>
    <x v="3"/>
    <x v="11"/>
    <d v="2023-06-14T00:00:00"/>
    <n v="607.75"/>
    <n v="1388.25"/>
    <n v="389.7"/>
    <n v="630.25"/>
    <n v="55.96"/>
    <n v="4.8146000000000004"/>
  </r>
  <r>
    <x v="3"/>
    <x v="11"/>
    <d v="2023-06-13T00:00:00"/>
    <n v="612.5"/>
    <n v="1399.25"/>
    <n v="397.5"/>
    <n v="636.25"/>
    <n v="55.43"/>
    <n v="4.8621999999999996"/>
  </r>
  <r>
    <x v="3"/>
    <x v="11"/>
    <d v="2023-06-12T00:00:00"/>
    <n v="617.25"/>
    <n v="1372.75"/>
    <n v="397.4"/>
    <n v="633.75"/>
    <n v="53.98"/>
    <n v="4.8613"/>
  </r>
  <r>
    <x v="3"/>
    <x v="11"/>
    <d v="2023-06-09T00:00:00"/>
    <n v="604.25"/>
    <n v="1386.5"/>
    <n v="397.2"/>
    <n v="630.25"/>
    <n v="54.59"/>
    <n v="4.8791000000000002"/>
  </r>
  <r>
    <x v="3"/>
    <x v="11"/>
    <d v="2023-06-08T00:00:00"/>
    <n v="610.25"/>
    <n v="1363.25"/>
    <n v="404"/>
    <n v="626.25"/>
    <n v="52.5"/>
    <n v="4.9234999999999998"/>
  </r>
  <r>
    <x v="3"/>
    <x v="11"/>
    <d v="2023-06-07T00:00:00"/>
    <n v="604.25"/>
    <n v="1360.75"/>
    <n v="405.2"/>
    <n v="616.75"/>
    <n v="50.47"/>
    <n v="4.9234999999999998"/>
  </r>
  <r>
    <x v="3"/>
    <x v="11"/>
    <d v="2023-06-06T00:00:00"/>
    <n v="608"/>
    <n v="1353.25"/>
    <n v="396.7"/>
    <n v="627.75"/>
    <n v="50.92"/>
    <n v="4.9124999999999996"/>
  </r>
  <r>
    <x v="3"/>
    <x v="11"/>
    <d v="2023-06-05T00:00:00"/>
    <n v="597.5"/>
    <n v="1350"/>
    <n v="401.2"/>
    <n v="624"/>
    <n v="49.26"/>
    <n v="4.9288999999999996"/>
  </r>
  <r>
    <x v="3"/>
    <x v="11"/>
    <d v="2023-06-02T00:00:00"/>
    <n v="609"/>
    <n v="1352.5"/>
    <n v="397.8"/>
    <n v="619"/>
    <n v="49.5"/>
    <n v="4.9570999999999996"/>
  </r>
  <r>
    <x v="3"/>
    <x v="11"/>
    <d v="2023-06-01T00:00:00"/>
    <n v="592.5"/>
    <n v="1329.5"/>
    <n v="401.4"/>
    <n v="610.75"/>
    <n v="47.86"/>
    <n v="5.0140000000000002"/>
  </r>
  <r>
    <x v="3"/>
    <x v="0"/>
    <d v="2023-05-31T00:00:00"/>
    <n v="594"/>
    <n v="1299.75"/>
    <n v="393.4"/>
    <n v="594.25"/>
    <n v="46.2"/>
    <n v="5.0574000000000003"/>
  </r>
  <r>
    <x v="3"/>
    <x v="0"/>
    <d v="2023-05-30T00:00:00"/>
    <n v="594"/>
    <n v="1296.5"/>
    <n v="392.6"/>
    <n v="591"/>
    <n v="46.2"/>
    <n v="5.0357000000000003"/>
  </r>
  <r>
    <x v="3"/>
    <x v="0"/>
    <d v="2023-05-29T00:00:00"/>
    <m/>
    <m/>
    <m/>
    <m/>
    <m/>
    <n v="5.0171000000000001"/>
  </r>
  <r>
    <x v="3"/>
    <x v="0"/>
    <d v="2023-05-26T00:00:00"/>
    <n v="604"/>
    <n v="1337.25"/>
    <n v="402.2"/>
    <n v="616"/>
    <n v="48.82"/>
    <n v="4.9939"/>
  </r>
  <r>
    <x v="3"/>
    <x v="0"/>
    <d v="2023-05-25T00:00:00"/>
    <n v="590.75"/>
    <n v="1324"/>
    <n v="397.2"/>
    <n v="604.25"/>
    <n v="48.52"/>
    <n v="5.0355999999999996"/>
  </r>
  <r>
    <x v="3"/>
    <x v="0"/>
    <d v="2023-05-24T00:00:00"/>
    <n v="587.25"/>
    <n v="1324.5"/>
    <n v="402.2"/>
    <n v="606.25"/>
    <n v="48"/>
    <n v="4.9619"/>
  </r>
  <r>
    <x v="3"/>
    <x v="0"/>
    <d v="2023-05-23T00:00:00"/>
    <n v="577.5"/>
    <n v="1322.5"/>
    <n v="406.4"/>
    <n v="622.25"/>
    <n v="47.76"/>
    <n v="4.9714"/>
  </r>
  <r>
    <x v="3"/>
    <x v="0"/>
    <d v="2023-05-22T00:00:00"/>
    <n v="571"/>
    <n v="1341.25"/>
    <n v="412.2"/>
    <n v="606.25"/>
    <n v="48.77"/>
    <n v="4.9667000000000003"/>
  </r>
  <r>
    <x v="3"/>
    <x v="0"/>
    <d v="2023-05-19T00:00:00"/>
    <n v="554.5"/>
    <n v="1307.25"/>
    <n v="409.1"/>
    <n v="605"/>
    <n v="47.27"/>
    <n v="4.9981"/>
  </r>
  <r>
    <x v="3"/>
    <x v="0"/>
    <d v="2023-05-18T00:00:00"/>
    <n v="555.25"/>
    <n v="1333.25"/>
    <n v="414.1"/>
    <n v="611.75"/>
    <n v="47.29"/>
    <n v="4.9652000000000003"/>
  </r>
  <r>
    <x v="3"/>
    <x v="0"/>
    <d v="2023-05-17T00:00:00"/>
    <n v="561.5"/>
    <n v="1337"/>
    <n v="425.3"/>
    <n v="625.5"/>
    <n v="46.41"/>
    <n v="4.9396000000000004"/>
  </r>
  <r>
    <x v="3"/>
    <x v="0"/>
    <d v="2023-05-16T00:00:00"/>
    <n v="581.25"/>
    <n v="1364"/>
    <n v="426.9"/>
    <n v="647.5"/>
    <n v="47.45"/>
    <n v="4.9401999999999999"/>
  </r>
  <r>
    <x v="3"/>
    <x v="0"/>
    <d v="2023-05-15T00:00:00"/>
    <n v="592.5"/>
    <n v="1400.75"/>
    <n v="430.9"/>
    <n v="660.75"/>
    <n v="49.69"/>
    <n v="4.8903999999999996"/>
  </r>
  <r>
    <x v="3"/>
    <x v="0"/>
    <d v="2023-05-12T00:00:00"/>
    <n v="633.25"/>
    <n v="1435"/>
    <n v="428.1"/>
    <n v="624.5"/>
    <n v="49.89"/>
    <n v="4.9195000000000002"/>
  </r>
  <r>
    <x v="3"/>
    <x v="0"/>
    <d v="2023-05-11T00:00:00"/>
    <n v="632.5"/>
    <n v="1443.25"/>
    <n v="426.6"/>
    <n v="614.25"/>
    <n v="50.91"/>
    <n v="4.9295"/>
  </r>
  <r>
    <x v="3"/>
    <x v="0"/>
    <d v="2023-05-10T00:00:00"/>
    <n v="645.5"/>
    <n v="1436.5"/>
    <n v="417.9"/>
    <n v="628.25"/>
    <n v="51.85"/>
    <n v="4.9424000000000001"/>
  </r>
  <r>
    <x v="3"/>
    <x v="0"/>
    <d v="2023-05-09T00:00:00"/>
    <n v="642.25"/>
    <n v="1451.75"/>
    <n v="416.4"/>
    <n v="630.5"/>
    <n v="52.72"/>
    <n v="4.9862000000000002"/>
  </r>
  <r>
    <x v="3"/>
    <x v="0"/>
    <d v="2023-05-08T00:00:00"/>
    <n v="656.5"/>
    <n v="1468.75"/>
    <n v="425.5"/>
    <n v="641"/>
    <n v="53.34"/>
    <n v="5.0096999999999996"/>
  </r>
  <r>
    <x v="3"/>
    <x v="0"/>
    <d v="2023-05-05T00:00:00"/>
    <n v="653.25"/>
    <n v="1469"/>
    <n v="428.9"/>
    <n v="647"/>
    <n v="54.09"/>
    <n v="4.9518000000000004"/>
  </r>
  <r>
    <x v="3"/>
    <x v="0"/>
    <d v="2023-05-04T00:00:00"/>
    <n v="646.5"/>
    <n v="1448.5"/>
    <n v="427.3"/>
    <n v="631.5"/>
    <n v="52.27"/>
    <n v="4.9821999999999997"/>
  </r>
  <r>
    <x v="3"/>
    <x v="0"/>
    <d v="2023-05-03T00:00:00"/>
    <n v="645.25"/>
    <n v="1448"/>
    <n v="427.8"/>
    <n v="626.25"/>
    <n v="52.37"/>
    <n v="4.9949000000000003"/>
  </r>
  <r>
    <x v="3"/>
    <x v="0"/>
    <d v="2023-05-02T00:00:00"/>
    <n v="638"/>
    <n v="1439.5"/>
    <n v="429.8"/>
    <n v="595.5"/>
    <n v="51.39"/>
    <n v="5.0387000000000004"/>
  </r>
  <r>
    <x v="3"/>
    <x v="0"/>
    <d v="2023-05-01T00:00:00"/>
    <n v="639.5"/>
    <n v="1454.75"/>
    <n v="435.3"/>
    <n v="603.75"/>
    <n v="51.55"/>
    <n v="4.9889000000000001"/>
  </r>
  <r>
    <x v="3"/>
    <x v="1"/>
    <d v="2023-04-28T00:00:00"/>
    <n v="636"/>
    <n v="1444.25"/>
    <n v="435.3"/>
    <n v="619.75"/>
    <n v="51.61"/>
    <n v="4.9865000000000004"/>
  </r>
  <r>
    <x v="3"/>
    <x v="1"/>
    <d v="2023-04-27T00:00:00"/>
    <n v="627"/>
    <n v="1426.75"/>
    <n v="427.9"/>
    <n v="614.75"/>
    <n v="50.78"/>
    <n v="4.9771000000000001"/>
  </r>
  <r>
    <x v="3"/>
    <x v="1"/>
    <d v="2023-04-26T00:00:00"/>
    <n v="641.5"/>
    <n v="1436"/>
    <n v="426"/>
    <n v="627.25"/>
    <n v="52.08"/>
    <n v="5.0434999999999999"/>
  </r>
  <r>
    <x v="3"/>
    <x v="1"/>
    <d v="2023-04-25T00:00:00"/>
    <n v="646.5"/>
    <n v="1445.25"/>
    <n v="434.8"/>
    <n v="638.75"/>
    <n v="51.71"/>
    <n v="5.0496999999999996"/>
  </r>
  <r>
    <x v="3"/>
    <x v="1"/>
    <d v="2023-04-24T00:00:00"/>
    <n v="651.25"/>
    <n v="1465.25"/>
    <n v="439.5"/>
    <n v="643.5"/>
    <n v="52.56"/>
    <n v="5.0336999999999996"/>
  </r>
  <r>
    <x v="3"/>
    <x v="1"/>
    <d v="2023-04-21T00:00:00"/>
    <n v="663.25"/>
    <n v="1483.5"/>
    <n v="445.7"/>
    <n v="661.75"/>
    <n v="53.4"/>
    <n v="5.0486000000000004"/>
  </r>
  <r>
    <x v="3"/>
    <x v="1"/>
    <d v="2023-04-20T00:00:00"/>
    <n v="663.75"/>
    <n v="1497.5"/>
    <n v="451.3"/>
    <n v="667.75"/>
    <n v="54.43"/>
    <n v="5.0486000000000004"/>
  </r>
  <r>
    <x v="3"/>
    <x v="1"/>
    <d v="2023-04-19T00:00:00"/>
    <n v="672.25"/>
    <n v="1506.5"/>
    <n v="454.4"/>
    <n v="681.75"/>
    <n v="55.02"/>
    <n v="5.0753000000000004"/>
  </r>
  <r>
    <x v="3"/>
    <x v="1"/>
    <d v="2023-04-18T00:00:00"/>
    <n v="677.5"/>
    <n v="1519.25"/>
    <n v="461.1"/>
    <n v="698"/>
    <n v="55.36"/>
    <n v="4.984"/>
  </r>
  <r>
    <x v="3"/>
    <x v="1"/>
    <d v="2023-04-17T00:00:00"/>
    <n v="676.5"/>
    <n v="1517"/>
    <n v="465.7"/>
    <n v="696.5"/>
    <n v="54.57"/>
    <n v="4.9413"/>
  </r>
  <r>
    <x v="3"/>
    <x v="1"/>
    <d v="2023-04-14T00:00:00"/>
    <n v="666.25"/>
    <n v="1500.5"/>
    <n v="459.7"/>
    <n v="682.5"/>
    <n v="53.66"/>
    <n v="4.9096000000000002"/>
  </r>
  <r>
    <x v="3"/>
    <x v="1"/>
    <d v="2023-04-13T00:00:00"/>
    <n v="652.25"/>
    <n v="1501"/>
    <n v="463.6"/>
    <n v="667"/>
    <n v="53.72"/>
    <n v="4.9272"/>
  </r>
  <r>
    <x v="3"/>
    <x v="1"/>
    <d v="2023-04-12T00:00:00"/>
    <n v="656"/>
    <n v="1504.25"/>
    <n v="460.2"/>
    <n v="679.5"/>
    <n v="54"/>
    <n v="4.9180999999999999"/>
  </r>
  <r>
    <x v="3"/>
    <x v="1"/>
    <d v="2023-04-11T00:00:00"/>
    <n v="651"/>
    <n v="1497.25"/>
    <n v="457.8"/>
    <n v="674"/>
    <n v="54.89"/>
    <n v="5.0053999999999998"/>
  </r>
  <r>
    <x v="3"/>
    <x v="1"/>
    <d v="2023-04-10T00:00:00"/>
    <n v="654"/>
    <n v="1487.25"/>
    <n v="450.7"/>
    <n v="678.5"/>
    <n v="54.48"/>
    <n v="5.0655000000000001"/>
  </r>
  <r>
    <x v="3"/>
    <x v="1"/>
    <d v="2023-04-07T00:00:00"/>
    <n v="643.5"/>
    <n v="1492.5"/>
    <n v="454.3"/>
    <n v="675.5"/>
    <n v="54.53"/>
    <n v="5.0548999999999999"/>
  </r>
  <r>
    <x v="3"/>
    <x v="1"/>
    <d v="2023-04-06T00:00:00"/>
    <n v="643.5"/>
    <n v="1492.5"/>
    <n v="454.3"/>
    <n v="675.5"/>
    <n v="54.53"/>
    <n v="5.0570000000000004"/>
  </r>
  <r>
    <x v="3"/>
    <x v="1"/>
    <d v="2023-04-05T00:00:00"/>
    <n v="652.75"/>
    <n v="1511"/>
    <n v="450.6"/>
    <n v="682"/>
    <n v="55.22"/>
    <n v="5.0339999999999998"/>
  </r>
  <r>
    <x v="3"/>
    <x v="1"/>
    <d v="2023-04-04T00:00:00"/>
    <n v="653.75"/>
    <n v="1517.5"/>
    <n v="457.4"/>
    <n v="691.5"/>
    <n v="55.74"/>
    <n v="5.0716000000000001"/>
  </r>
  <r>
    <x v="3"/>
    <x v="1"/>
    <d v="2023-04-03T00:00:00"/>
    <n v="657.75"/>
    <n v="1522"/>
    <n v="464.2"/>
    <n v="693.5"/>
    <n v="56.68"/>
    <n v="5.0632000000000001"/>
  </r>
  <r>
    <x v="3"/>
    <x v="2"/>
    <d v="2023-03-31T00:00:00"/>
    <n v="660.5"/>
    <n v="1505.5"/>
    <n v="466"/>
    <n v="692.25"/>
    <n v="55.49"/>
    <n v="5.0631000000000004"/>
  </r>
  <r>
    <x v="3"/>
    <x v="2"/>
    <d v="2023-03-30T00:00:00"/>
    <n v="649.5"/>
    <n v="1474.5"/>
    <n v="459.9"/>
    <n v="692.25"/>
    <n v="54.37"/>
    <n v="5.0937999999999999"/>
  </r>
  <r>
    <x v="3"/>
    <x v="2"/>
    <d v="2023-03-29T00:00:00"/>
    <n v="650.5"/>
    <n v="1477.25"/>
    <n v="458.2"/>
    <n v="704.75"/>
    <n v="55.38"/>
    <n v="5.1356000000000002"/>
  </r>
  <r>
    <x v="3"/>
    <x v="2"/>
    <d v="2023-03-28T00:00:00"/>
    <n v="647.25"/>
    <n v="1467.75"/>
    <n v="457.9"/>
    <n v="699.75"/>
    <n v="55.05"/>
    <n v="5.1654999999999998"/>
  </r>
  <r>
    <x v="3"/>
    <x v="2"/>
    <d v="2023-03-27T00:00:00"/>
    <n v="648.25"/>
    <n v="1442.25"/>
    <n v="446"/>
    <n v="698"/>
    <n v="54.55"/>
    <n v="5.1982999999999997"/>
  </r>
  <r>
    <x v="3"/>
    <x v="2"/>
    <d v="2023-03-24T00:00:00"/>
    <n v="643"/>
    <n v="1428.25"/>
    <n v="445.1"/>
    <n v="688.5"/>
    <n v="53.27"/>
    <n v="5.2462999999999997"/>
  </r>
  <r>
    <x v="3"/>
    <x v="2"/>
    <d v="2023-03-23T00:00:00"/>
    <n v="631.75"/>
    <n v="1419.5"/>
    <n v="438.3"/>
    <n v="662"/>
    <n v="52.17"/>
    <n v="5.2972999999999999"/>
  </r>
  <r>
    <x v="3"/>
    <x v="2"/>
    <d v="2023-03-22T00:00:00"/>
    <n v="633.5"/>
    <n v="1448.5"/>
    <n v="451.6"/>
    <n v="663.5"/>
    <n v="54.64"/>
    <n v="5.2369000000000003"/>
  </r>
  <r>
    <x v="3"/>
    <x v="2"/>
    <d v="2023-03-21T00:00:00"/>
    <n v="630"/>
    <n v="1467"/>
    <n v="460.6"/>
    <n v="683.25"/>
    <n v="56.24"/>
    <n v="5.2430000000000003"/>
  </r>
  <r>
    <x v="3"/>
    <x v="2"/>
    <d v="2023-03-20T00:00:00"/>
    <n v="633"/>
    <n v="1486"/>
    <n v="462.7"/>
    <n v="700.75"/>
    <n v="57.99"/>
    <n v="5.2367999999999997"/>
  </r>
  <r>
    <x v="3"/>
    <x v="2"/>
    <d v="2023-03-17T00:00:00"/>
    <n v="634.25"/>
    <n v="1476.5"/>
    <n v="466"/>
    <n v="710.5"/>
    <n v="57.46"/>
    <n v="5.2778"/>
  </r>
  <r>
    <x v="3"/>
    <x v="2"/>
    <d v="2023-03-16T00:00:00"/>
    <n v="632.75"/>
    <n v="1491.5"/>
    <n v="474"/>
    <n v="699"/>
    <n v="57.73"/>
    <n v="5.2285000000000004"/>
  </r>
  <r>
    <x v="3"/>
    <x v="2"/>
    <d v="2023-03-15T00:00:00"/>
    <n v="626.5"/>
    <n v="1489.25"/>
    <n v="478.4"/>
    <n v="702.75"/>
    <n v="56.34"/>
    <n v="5.2881999999999998"/>
  </r>
  <r>
    <x v="3"/>
    <x v="2"/>
    <d v="2023-03-14T00:00:00"/>
    <n v="627.5"/>
    <n v="1499.75"/>
    <n v="492.2"/>
    <n v="686.5"/>
    <n v="55.84"/>
    <n v="5.2542999999999997"/>
  </r>
  <r>
    <x v="3"/>
    <x v="2"/>
    <d v="2023-03-13T00:00:00"/>
    <n v="624.5"/>
    <n v="1500"/>
    <n v="492.2"/>
    <n v="672.25"/>
    <n v="55.34"/>
    <n v="5.2458999999999998"/>
  </r>
  <r>
    <x v="3"/>
    <x v="2"/>
    <d v="2023-03-10T00:00:00"/>
    <n v="624.25"/>
    <n v="1513"/>
    <n v="498.8"/>
    <n v="666.75"/>
    <n v="56.1"/>
    <n v="5.2165999999999997"/>
  </r>
  <r>
    <x v="3"/>
    <x v="2"/>
    <d v="2023-03-09T00:00:00"/>
    <n v="618.5"/>
    <n v="1520"/>
    <n v="498.9"/>
    <n v="653.5"/>
    <n v="56.57"/>
    <n v="5.1645000000000003"/>
  </r>
  <r>
    <x v="3"/>
    <x v="2"/>
    <d v="2023-03-08T00:00:00"/>
    <n v="634.5"/>
    <n v="1526.75"/>
    <n v="498.4"/>
    <n v="674.5"/>
    <n v="58.49"/>
    <n v="5.1452999999999998"/>
  </r>
  <r>
    <x v="3"/>
    <x v="2"/>
    <d v="2023-03-07T00:00:00"/>
    <n v="642"/>
    <n v="1525.25"/>
    <n v="501.5"/>
    <n v="684.75"/>
    <n v="58.16"/>
    <n v="5.1909999999999998"/>
  </r>
  <r>
    <x v="3"/>
    <x v="2"/>
    <d v="2023-03-06T00:00:00"/>
    <n v="644.5"/>
    <n v="1541"/>
    <n v="507.9"/>
    <n v="682.5"/>
    <n v="59.88"/>
    <n v="5.1534000000000004"/>
  </r>
  <r>
    <x v="3"/>
    <x v="2"/>
    <d v="2023-03-03T00:00:00"/>
    <n v="645.25"/>
    <n v="1530.5"/>
    <n v="498.1"/>
    <n v="695.75"/>
    <n v="60.61"/>
    <n v="5.1955999999999998"/>
  </r>
  <r>
    <x v="3"/>
    <x v="2"/>
    <d v="2023-03-02T00:00:00"/>
    <n v="637.75"/>
    <n v="1519.75"/>
    <n v="489.3"/>
    <n v="701.25"/>
    <n v="61.39"/>
    <n v="5.2005999999999997"/>
  </r>
  <r>
    <x v="3"/>
    <x v="2"/>
    <d v="2023-03-01T00:00:00"/>
    <n v="640.5"/>
    <n v="1504.25"/>
    <n v="490.4"/>
    <n v="697"/>
    <n v="60.54"/>
    <n v="5.1794000000000002"/>
  </r>
  <r>
    <x v="3"/>
    <x v="3"/>
    <d v="2023-02-28T00:00:00"/>
    <n v="629.5"/>
    <n v="1490.5"/>
    <n v="487.6"/>
    <n v="691.5"/>
    <n v="59.75"/>
    <n v="5.2366999999999999"/>
  </r>
  <r>
    <x v="3"/>
    <x v="3"/>
    <d v="2023-02-27T00:00:00"/>
    <n v="642.75"/>
    <n v="1518.25"/>
    <n v="498.7"/>
    <n v="696"/>
    <n v="60.04"/>
    <n v="5.2008000000000001"/>
  </r>
  <r>
    <x v="3"/>
    <x v="3"/>
    <d v="2023-02-24T00:00:00"/>
    <n v="650"/>
    <n v="1529"/>
    <n v="497.1"/>
    <n v="708.25"/>
    <n v="61.11"/>
    <n v="5.21"/>
  </r>
  <r>
    <x v="3"/>
    <x v="3"/>
    <d v="2023-02-23T00:00:00"/>
    <n v="660.25"/>
    <n v="1534.25"/>
    <n v="493.1"/>
    <n v="738.25"/>
    <n v="62.04"/>
    <n v="5.1372999999999998"/>
  </r>
  <r>
    <x v="3"/>
    <x v="3"/>
    <d v="2023-02-22T00:00:00"/>
    <n v="674"/>
    <n v="1539.5"/>
    <n v="492.6"/>
    <n v="736.5"/>
    <n v="62.83"/>
    <n v="5.1521999999999997"/>
  </r>
  <r>
    <x v="3"/>
    <x v="3"/>
    <d v="2023-02-21T00:00:00"/>
    <n v="680.5"/>
    <n v="1548.75"/>
    <n v="497.7"/>
    <n v="750.5"/>
    <n v="62.77"/>
    <n v="5.1675000000000004"/>
  </r>
  <r>
    <x v="3"/>
    <x v="3"/>
    <d v="2023-02-20T00:00:00"/>
    <m/>
    <m/>
    <m/>
    <m/>
    <m/>
    <n v="5.1673999999999998"/>
  </r>
  <r>
    <x v="3"/>
    <x v="3"/>
    <d v="2023-02-17T00:00:00"/>
    <n v="677.75"/>
    <n v="1527.25"/>
    <n v="491.1"/>
    <n v="765.5"/>
    <n v="61.51"/>
    <n v="5.1673999999999998"/>
  </r>
  <r>
    <x v="3"/>
    <x v="3"/>
    <d v="2023-02-16T00:00:00"/>
    <n v="676"/>
    <n v="1526.5"/>
    <n v="491.4"/>
    <n v="765"/>
    <n v="61.9"/>
    <n v="5.2178000000000004"/>
  </r>
  <r>
    <x v="3"/>
    <x v="3"/>
    <d v="2023-02-15T00:00:00"/>
    <n v="676.25"/>
    <n v="1525.75"/>
    <n v="491.1"/>
    <n v="769.25"/>
    <n v="61.24"/>
    <n v="5.2190000000000003"/>
  </r>
  <r>
    <x v="3"/>
    <x v="3"/>
    <d v="2023-02-14T00:00:00"/>
    <n v="682.25"/>
    <n v="1537.5"/>
    <n v="501"/>
    <n v="786"/>
    <n v="60.4"/>
    <n v="5.1923000000000004"/>
  </r>
  <r>
    <x v="3"/>
    <x v="3"/>
    <d v="2023-02-13T00:00:00"/>
    <n v="685"/>
    <n v="1542.75"/>
    <n v="504"/>
    <n v="792"/>
    <n v="60.14"/>
    <n v="5.1596000000000002"/>
  </r>
  <r>
    <x v="3"/>
    <x v="3"/>
    <d v="2023-02-10T00:00:00"/>
    <n v="680.5"/>
    <n v="1542.5"/>
    <n v="499.4"/>
    <n v="786"/>
    <n v="60.54"/>
    <n v="5.2150999999999996"/>
  </r>
  <r>
    <x v="3"/>
    <x v="3"/>
    <d v="2023-02-09T00:00:00"/>
    <n v="670.75"/>
    <n v="1519.25"/>
    <n v="495.5"/>
    <n v="757.25"/>
    <n v="59.04"/>
    <n v="5.2911000000000001"/>
  </r>
  <r>
    <x v="3"/>
    <x v="3"/>
    <d v="2023-02-08T00:00:00"/>
    <n v="678.5"/>
    <n v="1519.75"/>
    <n v="481.9"/>
    <n v="764.75"/>
    <n v="60.58"/>
    <n v="5.2007000000000003"/>
  </r>
  <r>
    <x v="3"/>
    <x v="3"/>
    <d v="2023-02-07T00:00:00"/>
    <n v="674"/>
    <n v="1515.25"/>
    <n v="481.4"/>
    <n v="749.75"/>
    <n v="60.89"/>
    <n v="5.2100999999999997"/>
  </r>
  <r>
    <x v="3"/>
    <x v="3"/>
    <d v="2023-02-06T00:00:00"/>
    <n v="679"/>
    <n v="1521.25"/>
    <n v="489"/>
    <n v="750.25"/>
    <n v="59.31"/>
    <n v="5.1463999999999999"/>
  </r>
  <r>
    <x v="3"/>
    <x v="3"/>
    <d v="2023-02-03T00:00:00"/>
    <n v="677.5"/>
    <n v="1532"/>
    <n v="496.5"/>
    <n v="756.75"/>
    <n v="59.06"/>
    <n v="5.1521999999999997"/>
  </r>
  <r>
    <x v="3"/>
    <x v="3"/>
    <d v="2023-02-02T00:00:00"/>
    <n v="675.25"/>
    <n v="1534.25"/>
    <n v="491.8"/>
    <n v="761"/>
    <n v="60.94"/>
    <n v="5.0503999999999998"/>
  </r>
  <r>
    <x v="3"/>
    <x v="3"/>
    <d v="2023-02-01T00:00:00"/>
    <n v="681"/>
    <n v="1520.25"/>
    <n v="484.7"/>
    <n v="759.75"/>
    <n v="60.79"/>
    <n v="5.0547000000000004"/>
  </r>
  <r>
    <x v="3"/>
    <x v="4"/>
    <d v="2023-01-31T00:00:00"/>
    <n v="679.75"/>
    <n v="1538"/>
    <n v="484.2"/>
    <n v="761.25"/>
    <n v="62.33"/>
    <n v="5.0731000000000002"/>
  </r>
  <r>
    <x v="3"/>
    <x v="4"/>
    <d v="2023-01-30T00:00:00"/>
    <n v="683.75"/>
    <n v="1535.25"/>
    <n v="488.7"/>
    <n v="752.5"/>
    <n v="61.32"/>
    <n v="5.1162000000000001"/>
  </r>
  <r>
    <x v="3"/>
    <x v="4"/>
    <d v="2023-01-27T00:00:00"/>
    <n v="683"/>
    <n v="1509.5"/>
    <n v="473.5"/>
    <n v="750"/>
    <n v="60.62"/>
    <n v="5.1089000000000002"/>
  </r>
  <r>
    <x v="3"/>
    <x v="4"/>
    <d v="2023-01-26T00:00:00"/>
    <n v="682.5"/>
    <n v="1523.5"/>
    <n v="477.1"/>
    <n v="752.5"/>
    <n v="60.79"/>
    <n v="5.0658000000000003"/>
  </r>
  <r>
    <x v="3"/>
    <x v="4"/>
    <d v="2023-01-25T00:00:00"/>
    <n v="674.75"/>
    <n v="1502.5"/>
    <n v="465.5"/>
    <n v="741.25"/>
    <n v="60.54"/>
    <n v="5.0734000000000004"/>
  </r>
  <r>
    <x v="3"/>
    <x v="4"/>
    <d v="2023-01-24T00:00:00"/>
    <n v="677"/>
    <n v="1488.5"/>
    <n v="459.8"/>
    <n v="734.5"/>
    <n v="60.98"/>
    <n v="5.1391999999999998"/>
  </r>
  <r>
    <x v="3"/>
    <x v="4"/>
    <d v="2023-01-23T00:00:00"/>
    <n v="666.25"/>
    <n v="1490.25"/>
    <n v="461.9"/>
    <n v="720"/>
    <n v="62.04"/>
    <n v="5.2076000000000002"/>
  </r>
  <r>
    <x v="3"/>
    <x v="4"/>
    <d v="2023-01-20T00:00:00"/>
    <n v="676.25"/>
    <n v="1506.5"/>
    <n v="463.7"/>
    <n v="741.5"/>
    <n v="61.97"/>
    <n v="5.2073999999999998"/>
  </r>
  <r>
    <x v="3"/>
    <x v="4"/>
    <d v="2023-01-19T00:00:00"/>
    <n v="677.25"/>
    <n v="1514.75"/>
    <n v="471.2"/>
    <n v="734.5"/>
    <n v="63.15"/>
    <n v="5.1741000000000001"/>
  </r>
  <r>
    <x v="3"/>
    <x v="4"/>
    <d v="2023-01-18T00:00:00"/>
    <n v="681.25"/>
    <n v="1524.5"/>
    <n v="478.1"/>
    <n v="742.5"/>
    <n v="64.12"/>
    <n v="5.1863000000000001"/>
  </r>
  <r>
    <x v="3"/>
    <x v="4"/>
    <d v="2023-01-17T00:00:00"/>
    <n v="685.25"/>
    <n v="1539.75"/>
    <n v="481.2"/>
    <n v="751.75"/>
    <n v="63.84"/>
    <n v="5.1002999999999998"/>
  </r>
  <r>
    <x v="3"/>
    <x v="4"/>
    <d v="2023-01-16T00:00:00"/>
    <m/>
    <m/>
    <m/>
    <m/>
    <m/>
    <n v="5.1474000000000002"/>
  </r>
  <r>
    <x v="3"/>
    <x v="4"/>
    <d v="2023-01-13T00:00:00"/>
    <n v="675"/>
    <n v="1538.25"/>
    <n v="513"/>
    <n v="743.75"/>
    <n v="63.25"/>
    <n v="5.0956000000000001"/>
  </r>
  <r>
    <x v="3"/>
    <x v="4"/>
    <d v="2023-01-12T00:00:00"/>
    <n v="671"/>
    <n v="1529.5"/>
    <n v="513"/>
    <n v="742.75"/>
    <n v="63.25"/>
    <n v="5.1082000000000001"/>
  </r>
  <r>
    <x v="3"/>
    <x v="4"/>
    <d v="2023-01-11T00:00:00"/>
    <n v="656"/>
    <n v="1515"/>
    <n v="505"/>
    <n v="740"/>
    <n v="62.39"/>
    <n v="5.16"/>
  </r>
  <r>
    <x v="3"/>
    <x v="4"/>
    <d v="2023-01-10T00:00:00"/>
    <n v="655"/>
    <n v="1510"/>
    <n v="500.9"/>
    <n v="731"/>
    <n v="63.13"/>
    <n v="5.1997"/>
  </r>
  <r>
    <x v="3"/>
    <x v="4"/>
    <d v="2023-01-09T00:00:00"/>
    <n v="652.75"/>
    <n v="1503.5"/>
    <n v="496.7"/>
    <n v="741.5"/>
    <n v="63.91"/>
    <n v="5.2545999999999999"/>
  </r>
  <r>
    <x v="3"/>
    <x v="4"/>
    <d v="2023-01-06T00:00:00"/>
    <n v="654"/>
    <n v="1501.5"/>
    <n v="503.1"/>
    <n v="743.5"/>
    <n v="63.73"/>
    <n v="5.2253999999999996"/>
  </r>
  <r>
    <x v="3"/>
    <x v="4"/>
    <d v="2023-01-05T00:00:00"/>
    <n v="652.75"/>
    <n v="1466.75"/>
    <n v="488.7"/>
    <n v="746.75"/>
    <n v="62.94"/>
    <n v="5.3509000000000002"/>
  </r>
  <r>
    <x v="3"/>
    <x v="4"/>
    <d v="2023-01-04T00:00:00"/>
    <n v="653.75"/>
    <n v="1478.25"/>
    <n v="482.5"/>
    <n v="745.5"/>
    <n v="63.11"/>
    <n v="5.4311999999999996"/>
  </r>
  <r>
    <x v="3"/>
    <x v="4"/>
    <d v="2023-01-03T00:00:00"/>
    <n v="670.5"/>
    <n v="1487.25"/>
    <n v="476.8"/>
    <n v="775.5"/>
    <n v="63.16"/>
    <n v="5.4797000000000002"/>
  </r>
  <r>
    <x v="3"/>
    <x v="4"/>
    <d v="2023-01-02T00:00:00"/>
    <m/>
    <m/>
    <m/>
    <m/>
    <m/>
    <n v="5.3632999999999997"/>
  </r>
  <r>
    <x v="4"/>
    <x v="5"/>
    <d v="2022-12-30T00:00:00"/>
    <n v="678.5"/>
    <n v="1519.25"/>
    <n v="478.5"/>
    <n v="792"/>
    <n v="63.81"/>
    <n v="5.2859999999999996"/>
  </r>
  <r>
    <x v="4"/>
    <x v="5"/>
    <d v="2022-12-29T00:00:00"/>
    <n v="679.5"/>
    <n v="1508.75"/>
    <n v="464.1"/>
    <n v="774"/>
    <n v="66.400000000000006"/>
    <n v="5.2859999999999996"/>
  </r>
  <r>
    <x v="4"/>
    <x v="5"/>
    <d v="2022-12-28T00:00:00"/>
    <n v="682.75"/>
    <n v="1506.5"/>
    <n v="466.3"/>
    <n v="785.5"/>
    <n v="65.8"/>
    <n v="5.2675999999999998"/>
  </r>
  <r>
    <x v="4"/>
    <x v="5"/>
    <d v="2022-12-27T00:00:00"/>
    <n v="674.75"/>
    <n v="1482.25"/>
    <n v="451.8"/>
    <n v="774.5"/>
    <n v="67.650000000000006"/>
    <n v="5.2927999999999997"/>
  </r>
  <r>
    <x v="4"/>
    <x v="5"/>
    <d v="2022-12-26T00:00:00"/>
    <m/>
    <m/>
    <m/>
    <m/>
    <m/>
    <n v="5.2186000000000003"/>
  </r>
  <r>
    <x v="4"/>
    <x v="5"/>
    <d v="2022-12-23T00:00:00"/>
    <n v="666.25"/>
    <n v="1479"/>
    <n v="455.3"/>
    <n v="776"/>
    <n v="65.930000000000007"/>
    <n v="5.1651999999999996"/>
  </r>
  <r>
    <x v="4"/>
    <x v="5"/>
    <d v="2022-12-22T00:00:00"/>
    <n v="660.5"/>
    <n v="1467.75"/>
    <n v="452"/>
    <n v="762.25"/>
    <n v="65.8"/>
    <n v="5.1665000000000001"/>
  </r>
  <r>
    <x v="4"/>
    <x v="5"/>
    <d v="2022-12-21T00:00:00"/>
    <n v="662.25"/>
    <n v="1481"/>
    <n v="456"/>
    <n v="767.75"/>
    <n v="66.31"/>
    <n v="5.2008999999999999"/>
  </r>
  <r>
    <x v="4"/>
    <x v="5"/>
    <d v="2022-12-20T00:00:00"/>
    <n v="652"/>
    <n v="1478.5"/>
    <n v="452.4"/>
    <n v="750.5"/>
    <n v="66.05"/>
    <n v="5.1996000000000002"/>
  </r>
  <r>
    <x v="4"/>
    <x v="5"/>
    <d v="2022-12-19T00:00:00"/>
    <n v="647.25"/>
    <n v="1460.75"/>
    <n v="449.1"/>
    <n v="748.5"/>
    <n v="64.41"/>
    <n v="5.2930000000000001"/>
  </r>
  <r>
    <x v="4"/>
    <x v="5"/>
    <d v="2022-12-16T00:00:00"/>
    <n v="653"/>
    <n v="1480"/>
    <n v="463"/>
    <n v="753.5"/>
    <n v="63.36"/>
    <n v="5.3140000000000001"/>
  </r>
  <r>
    <x v="4"/>
    <x v="5"/>
    <d v="2022-12-15T00:00:00"/>
    <n v="653.5"/>
    <n v="1473.5"/>
    <n v="455.3"/>
    <n v="757.25"/>
    <n v="63.82"/>
    <n v="5.3129999999999997"/>
  </r>
  <r>
    <x v="4"/>
    <x v="5"/>
    <d v="2022-12-14T00:00:00"/>
    <n v="639"/>
    <n v="1482.25"/>
    <n v="456"/>
    <n v="728.25"/>
    <n v="66.31"/>
    <n v="5.2786999999999997"/>
  </r>
  <r>
    <x v="4"/>
    <x v="5"/>
    <d v="2022-12-13T00:00:00"/>
    <n v="643.75"/>
    <n v="1479.75"/>
    <n v="450"/>
    <n v="728.75"/>
    <n v="66.31"/>
    <n v="5.2938000000000001"/>
  </r>
  <r>
    <x v="4"/>
    <x v="5"/>
    <d v="2022-12-12T00:00:00"/>
    <n v="641.25"/>
    <n v="1460.5"/>
    <n v="448.3"/>
    <n v="733"/>
    <n v="64.39"/>
    <n v="5.3226000000000004"/>
  </r>
  <r>
    <x v="4"/>
    <x v="5"/>
    <d v="2022-12-09T00:00:00"/>
    <n v="634.75"/>
    <n v="1483.75"/>
    <n v="471.7"/>
    <n v="712.75"/>
    <n v="62.2"/>
    <n v="5.24"/>
  </r>
  <r>
    <x v="4"/>
    <x v="5"/>
    <d v="2022-12-08T00:00:00"/>
    <n v="632"/>
    <n v="1486.25"/>
    <n v="469.3"/>
    <n v="724.25"/>
    <n v="63.5"/>
    <n v="5.2252999999999998"/>
  </r>
  <r>
    <x v="4"/>
    <x v="5"/>
    <d v="2022-12-07T00:00:00"/>
    <n v="627.75"/>
    <n v="1472"/>
    <n v="462.2"/>
    <n v="727"/>
    <n v="63.15"/>
    <n v="5.2047999999999996"/>
  </r>
  <r>
    <x v="4"/>
    <x v="5"/>
    <d v="2022-12-06T00:00:00"/>
    <n v="625.5"/>
    <n v="1455"/>
    <n v="449.2"/>
    <n v="705.5"/>
    <n v="63.87"/>
    <n v="5.2351999999999999"/>
  </r>
  <r>
    <x v="4"/>
    <x v="5"/>
    <d v="2022-12-05T00:00:00"/>
    <n v="628.75"/>
    <n v="1437.75"/>
    <n v="432"/>
    <n v="715.5"/>
    <n v="64.900000000000006"/>
    <n v="5.2808999999999999"/>
  </r>
  <r>
    <x v="4"/>
    <x v="5"/>
    <d v="2022-12-02T00:00:00"/>
    <n v="635"/>
    <n v="1438.5"/>
    <n v="424.5"/>
    <n v="737.25"/>
    <n v="67.59"/>
    <n v="5.2188999999999997"/>
  </r>
  <r>
    <x v="4"/>
    <x v="5"/>
    <d v="2022-12-01T00:00:00"/>
    <n v="650"/>
    <n v="1429.75"/>
    <n v="420.9"/>
    <n v="758.75"/>
    <n v="68.400000000000006"/>
    <n v="5.1848000000000001"/>
  </r>
  <r>
    <x v="4"/>
    <x v="6"/>
    <d v="2022-11-30T00:00:00"/>
    <n v="662"/>
    <n v="1469.5"/>
    <n v="417.7"/>
    <n v="771.5"/>
    <n v="75.23"/>
    <n v="5.1851000000000003"/>
  </r>
  <r>
    <x v="4"/>
    <x v="6"/>
    <d v="2022-11-29T00:00:00"/>
    <n v="665.75"/>
    <n v="1459.5"/>
    <n v="408.5"/>
    <n v="757.75"/>
    <n v="76.540000000000006"/>
    <n v="5.2694999999999999"/>
  </r>
  <r>
    <x v="4"/>
    <x v="6"/>
    <d v="2022-11-28T00:00:00"/>
    <n v="668.75"/>
    <n v="1457.25"/>
    <n v="413.6"/>
    <n v="756.75"/>
    <n v="76.069999999999993"/>
    <n v="5.3654000000000002"/>
  </r>
  <r>
    <x v="4"/>
    <x v="6"/>
    <d v="2022-11-25T00:00:00"/>
    <n v="668"/>
    <n v="1436.25"/>
    <n v="408.8"/>
    <n v="775.5"/>
    <n v="74.52"/>
    <n v="5.4097999999999997"/>
  </r>
  <r>
    <x v="4"/>
    <x v="6"/>
    <d v="2022-11-24T00:00:00"/>
    <m/>
    <m/>
    <m/>
    <m/>
    <m/>
    <n v="5.3208000000000002"/>
  </r>
  <r>
    <x v="4"/>
    <x v="6"/>
    <d v="2022-11-23T00:00:00"/>
    <n v="663.25"/>
    <n v="1436"/>
    <n v="409.7"/>
    <n v="793.5"/>
    <n v="74.91"/>
    <n v="5.3590999999999998"/>
  </r>
  <r>
    <x v="4"/>
    <x v="6"/>
    <d v="2022-11-22T00:00:00"/>
    <n v="656.75"/>
    <n v="1429.75"/>
    <n v="408.6"/>
    <n v="791.5"/>
    <n v="73.84"/>
    <n v="5.3586"/>
  </r>
  <r>
    <x v="4"/>
    <x v="6"/>
    <d v="2022-11-21T00:00:00"/>
    <n v="659.5"/>
    <n v="1436.75"/>
    <n v="411.4"/>
    <n v="799.25"/>
    <n v="73"/>
    <n v="5.32"/>
  </r>
  <r>
    <x v="4"/>
    <x v="6"/>
    <d v="2022-11-18T00:00:00"/>
    <n v="667.75"/>
    <n v="1428.25"/>
    <n v="410.4"/>
    <n v="803.25"/>
    <n v="72.739999999999995"/>
    <n v="5.3826999999999998"/>
  </r>
  <r>
    <x v="4"/>
    <x v="6"/>
    <d v="2022-11-17T00:00:00"/>
    <n v="667.5"/>
    <n v="1417"/>
    <n v="405.7"/>
    <n v="806.75"/>
    <n v="72.13"/>
    <n v="5.4230999999999998"/>
  </r>
  <r>
    <x v="4"/>
    <x v="6"/>
    <d v="2022-11-16T00:00:00"/>
    <n v="665.25"/>
    <n v="1429.25"/>
    <n v="406.6"/>
    <n v="817.5"/>
    <n v="74.08"/>
    <n v="5.3997999999999999"/>
  </r>
  <r>
    <x v="4"/>
    <x v="6"/>
    <d v="2022-11-15T00:00:00"/>
    <n v="666.75"/>
    <n v="1457.25"/>
    <n v="409.9"/>
    <n v="828.25"/>
    <n v="76.98"/>
    <n v="5.3324999999999996"/>
  </r>
  <r>
    <x v="4"/>
    <x v="6"/>
    <d v="2022-11-14T00:00:00"/>
    <n v="657.25"/>
    <n v="1441.75"/>
    <n v="406"/>
    <n v="818.5"/>
    <n v="76.28"/>
    <n v="5.3320999999999996"/>
  </r>
  <r>
    <x v="4"/>
    <x v="6"/>
    <d v="2022-11-11T00:00:00"/>
    <n v="658"/>
    <n v="1455.5"/>
    <n v="407.4"/>
    <n v="813.75"/>
    <n v="76.97"/>
    <n v="5.3250000000000002"/>
  </r>
  <r>
    <x v="4"/>
    <x v="6"/>
    <d v="2022-11-10T00:00:00"/>
    <n v="653.25"/>
    <n v="1430.5"/>
    <n v="404.1"/>
    <n v="803.5"/>
    <n v="76.09"/>
    <n v="5.3449"/>
  </r>
  <r>
    <x v="4"/>
    <x v="6"/>
    <d v="2022-11-09T00:00:00"/>
    <n v="664.5"/>
    <n v="1459.75"/>
    <n v="417.6"/>
    <n v="806.5"/>
    <n v="75.540000000000006"/>
    <n v="5.1863999999999999"/>
  </r>
  <r>
    <x v="4"/>
    <x v="6"/>
    <d v="2022-11-08T00:00:00"/>
    <n v="667.5"/>
    <n v="1444"/>
    <n v="419.3"/>
    <n v="827.75"/>
    <n v="75.03"/>
    <n v="5.1440000000000001"/>
  </r>
  <r>
    <x v="4"/>
    <x v="6"/>
    <d v="2022-11-07T00:00:00"/>
    <n v="675.75"/>
    <n v="1440"/>
    <n v="419"/>
    <n v="845.75"/>
    <n v="76.33"/>
    <n v="5.1566999999999998"/>
  </r>
  <r>
    <x v="4"/>
    <x v="6"/>
    <d v="2022-11-04T00:00:00"/>
    <n v="681"/>
    <n v="1451.5"/>
    <n v="420.4"/>
    <n v="847.75"/>
    <n v="77.17"/>
    <n v="5.0556999999999999"/>
  </r>
  <r>
    <x v="4"/>
    <x v="6"/>
    <d v="2022-11-03T00:00:00"/>
    <n v="679.25"/>
    <n v="1426.75"/>
    <n v="414.3"/>
    <n v="840.5"/>
    <n v="75.290000000000006"/>
    <n v="5.1136999999999997"/>
  </r>
  <r>
    <x v="4"/>
    <x v="6"/>
    <d v="2022-11-02T00:00:00"/>
    <n v="687.5"/>
    <n v="1440"/>
    <n v="424.5"/>
    <n v="846"/>
    <n v="75.61"/>
    <n v="5.1432000000000002"/>
  </r>
  <r>
    <x v="4"/>
    <x v="6"/>
    <d v="2022-11-01T00:00:00"/>
    <n v="697.75"/>
    <n v="1435.75"/>
    <n v="424.8"/>
    <n v="902.5"/>
    <n v="73.37"/>
    <n v="5.1475"/>
  </r>
  <r>
    <x v="4"/>
    <x v="7"/>
    <d v="2022-10-31T00:00:00"/>
    <n v="691.5"/>
    <n v="1407"/>
    <n v="428.1"/>
    <n v="882.25"/>
    <n v="73.209999999999994"/>
    <n v="5.1791"/>
  </r>
  <r>
    <x v="4"/>
    <x v="7"/>
    <d v="2022-10-28T00:00:00"/>
    <n v="680.75"/>
    <n v="1387.75"/>
    <n v="425.4"/>
    <n v="829.25"/>
    <n v="71.790000000000006"/>
    <n v="5.2949000000000002"/>
  </r>
  <r>
    <x v="4"/>
    <x v="7"/>
    <d v="2022-10-27T00:00:00"/>
    <n v="682.25"/>
    <n v="1382.25"/>
    <n v="415.4"/>
    <n v="838.5"/>
    <n v="72.3"/>
    <n v="5.3449"/>
  </r>
  <r>
    <x v="4"/>
    <x v="7"/>
    <d v="2022-10-26T00:00:00"/>
    <n v="685"/>
    <n v="1381.75"/>
    <n v="408.7"/>
    <n v="840.5"/>
    <n v="73.42"/>
    <n v="5.3803999999999998"/>
  </r>
  <r>
    <x v="4"/>
    <x v="7"/>
    <d v="2022-10-25T00:00:00"/>
    <n v="686.25"/>
    <n v="1382"/>
    <n v="415.6"/>
    <n v="834.75"/>
    <n v="72.28"/>
    <n v="5.3167"/>
  </r>
  <r>
    <x v="4"/>
    <x v="7"/>
    <d v="2022-10-24T00:00:00"/>
    <n v="681.5"/>
    <n v="1372"/>
    <n v="408.7"/>
    <n v="838.75"/>
    <n v="71.87"/>
    <n v="5.3032000000000004"/>
  </r>
  <r>
    <x v="4"/>
    <x v="7"/>
    <d v="2022-10-21T00:00:00"/>
    <n v="684.25"/>
    <n v="1395.5"/>
    <n v="417.9"/>
    <n v="850.75"/>
    <n v="71.5"/>
    <n v="5.1604999999999999"/>
  </r>
  <r>
    <x v="4"/>
    <x v="7"/>
    <d v="2022-10-20T00:00:00"/>
    <n v="684"/>
    <n v="1391.5"/>
    <n v="413.3"/>
    <n v="849.25"/>
    <n v="70.42"/>
    <n v="5.2146999999999997"/>
  </r>
  <r>
    <x v="4"/>
    <x v="7"/>
    <d v="2022-10-19T00:00:00"/>
    <n v="678.25"/>
    <n v="1372.5"/>
    <n v="401.7"/>
    <n v="841.25"/>
    <n v="70.64"/>
    <n v="5.27"/>
  </r>
  <r>
    <x v="4"/>
    <x v="7"/>
    <d v="2022-10-18T00:00:00"/>
    <n v="681"/>
    <n v="1372"/>
    <n v="401.8"/>
    <n v="849.5"/>
    <n v="68.739999999999995"/>
    <n v="5.2404999999999999"/>
  </r>
  <r>
    <x v="4"/>
    <x v="7"/>
    <d v="2022-10-17T00:00:00"/>
    <n v="683.5"/>
    <n v="1385.25"/>
    <n v="411"/>
    <n v="861"/>
    <n v="66.84"/>
    <n v="5.2808000000000002"/>
  </r>
  <r>
    <x v="4"/>
    <x v="7"/>
    <d v="2022-10-14T00:00:00"/>
    <n v="689.75"/>
    <n v="1383.75"/>
    <n v="418.5"/>
    <n v="859.75"/>
    <n v="69.569999999999993"/>
    <n v="5.3251999999999997"/>
  </r>
  <r>
    <x v="4"/>
    <x v="7"/>
    <d v="2022-10-13T00:00:00"/>
    <n v="697.75"/>
    <n v="1395.75"/>
    <n v="418.5"/>
    <n v="892.25"/>
    <n v="70.010000000000005"/>
    <n v="5.2625999999999999"/>
  </r>
  <r>
    <x v="4"/>
    <x v="7"/>
    <d v="2022-10-12T00:00:00"/>
    <n v="693"/>
    <n v="1396"/>
    <n v="421.8"/>
    <n v="882.25"/>
    <n v="69.17"/>
    <n v="5.2930000000000001"/>
  </r>
  <r>
    <x v="4"/>
    <x v="7"/>
    <d v="2022-10-11T00:00:00"/>
    <n v="693"/>
    <n v="1376.25"/>
    <n v="410.4"/>
    <n v="901"/>
    <n v="68.98"/>
    <n v="5.3005000000000004"/>
  </r>
  <r>
    <x v="4"/>
    <x v="7"/>
    <d v="2022-10-10T00:00:00"/>
    <n v="698.25"/>
    <n v="1374"/>
    <n v="410.7"/>
    <n v="938"/>
    <n v="69.540000000000006"/>
    <n v="5.1901000000000002"/>
  </r>
  <r>
    <x v="4"/>
    <x v="7"/>
    <d v="2022-10-07T00:00:00"/>
    <n v="683.25"/>
    <n v="1367"/>
    <n v="404.9"/>
    <n v="880.25"/>
    <n v="70.08"/>
    <n v="5.1996000000000002"/>
  </r>
  <r>
    <x v="4"/>
    <x v="7"/>
    <d v="2022-10-06T00:00:00"/>
    <n v="675.5"/>
    <n v="1358"/>
    <n v="397.4"/>
    <n v="879"/>
    <n v="69.67"/>
    <n v="5.2217000000000002"/>
  </r>
  <r>
    <x v="4"/>
    <x v="7"/>
    <d v="2022-10-05T00:00:00"/>
    <n v="684"/>
    <n v="1369.75"/>
    <n v="402.5"/>
    <n v="902"/>
    <n v="69.02"/>
    <n v="5.194"/>
  </r>
  <r>
    <x v="4"/>
    <x v="7"/>
    <d v="2022-10-04T00:00:00"/>
    <n v="683"/>
    <n v="1383.5"/>
    <n v="403"/>
    <n v="903"/>
    <n v="68.63"/>
    <n v="5.1769999999999996"/>
  </r>
  <r>
    <x v="4"/>
    <x v="7"/>
    <d v="2022-10-03T00:00:00"/>
    <n v="680.75"/>
    <n v="1374"/>
    <n v="405.6"/>
    <n v="912"/>
    <n v="66.88"/>
    <n v="5.1672000000000002"/>
  </r>
  <r>
    <x v="4"/>
    <x v="8"/>
    <d v="2022-09-30T00:00:00"/>
    <n v="677.5"/>
    <n v="1364.75"/>
    <n v="403.2"/>
    <n v="921.5"/>
    <n v="65.349999999999994"/>
    <n v="5.4154"/>
  </r>
  <r>
    <x v="4"/>
    <x v="8"/>
    <d v="2022-09-29T00:00:00"/>
    <n v="669.5"/>
    <n v="1410.75"/>
    <n v="409.1"/>
    <n v="896.25"/>
    <n v="67.48"/>
    <n v="5.3963999999999999"/>
  </r>
  <r>
    <x v="4"/>
    <x v="8"/>
    <d v="2022-09-28T00:00:00"/>
    <n v="670.5"/>
    <n v="1408.75"/>
    <n v="421.8"/>
    <n v="903.25"/>
    <n v="65.52"/>
    <n v="5.3745000000000003"/>
  </r>
  <r>
    <x v="4"/>
    <x v="8"/>
    <d v="2022-09-27T00:00:00"/>
    <n v="667.5"/>
    <n v="1408"/>
    <n v="426.1"/>
    <n v="871.5"/>
    <n v="65.66"/>
    <n v="5.3823999999999996"/>
  </r>
  <r>
    <x v="4"/>
    <x v="8"/>
    <d v="2022-09-26T00:00:00"/>
    <n v="666.25"/>
    <n v="1411.25"/>
    <n v="432.6"/>
    <n v="858"/>
    <n v="66.11"/>
    <n v="5.3898000000000001"/>
  </r>
  <r>
    <x v="4"/>
    <x v="8"/>
    <d v="2022-09-23T00:00:00"/>
    <n v="676.75"/>
    <n v="1425.75"/>
    <n v="439.9"/>
    <n v="880.5"/>
    <n v="67"/>
    <n v="5.2595000000000001"/>
  </r>
  <r>
    <x v="4"/>
    <x v="8"/>
    <d v="2022-09-22T00:00:00"/>
    <n v="688.25"/>
    <n v="1457"/>
    <n v="445.9"/>
    <n v="910.75"/>
    <n v="69.430000000000007"/>
    <n v="5.1166"/>
  </r>
  <r>
    <x v="4"/>
    <x v="8"/>
    <d v="2022-09-21T00:00:00"/>
    <n v="685.5"/>
    <n v="1461.25"/>
    <n v="454.7"/>
    <n v="903.75"/>
    <n v="67.83"/>
    <n v="5.1715999999999998"/>
  </r>
  <r>
    <x v="4"/>
    <x v="8"/>
    <d v="2022-09-20T00:00:00"/>
    <n v="692"/>
    <n v="1478.75"/>
    <n v="450.8"/>
    <n v="893.75"/>
    <n v="68.59"/>
    <n v="5.1417000000000002"/>
  </r>
  <r>
    <x v="4"/>
    <x v="8"/>
    <d v="2022-09-19T00:00:00"/>
    <n v="678.25"/>
    <n v="1461.25"/>
    <n v="438.2"/>
    <n v="830.5"/>
    <n v="68"/>
    <n v="5.1669999999999998"/>
  </r>
  <r>
    <x v="4"/>
    <x v="8"/>
    <d v="2022-09-16T00:00:00"/>
    <n v="677.25"/>
    <n v="1448.5"/>
    <n v="429.6"/>
    <n v="859.75"/>
    <n v="68.66"/>
    <n v="5.2530999999999999"/>
  </r>
  <r>
    <x v="4"/>
    <x v="8"/>
    <d v="2022-09-15T00:00:00"/>
    <n v="677.5"/>
    <n v="1451.5"/>
    <n v="434.5"/>
    <n v="845"/>
    <n v="66.790000000000006"/>
    <n v="5.2469999999999999"/>
  </r>
  <r>
    <x v="4"/>
    <x v="8"/>
    <d v="2022-09-14T00:00:00"/>
    <n v="709"/>
    <n v="1503.75"/>
    <n v="461.3"/>
    <n v="853.75"/>
    <n v="68.510000000000005"/>
    <n v="5.1631"/>
  </r>
  <r>
    <x v="4"/>
    <x v="8"/>
    <d v="2022-09-13T00:00:00"/>
    <n v="709"/>
    <n v="1534.25"/>
    <n v="462.1"/>
    <n v="842.75"/>
    <n v="71.959999999999994"/>
    <n v="5.1910999999999996"/>
  </r>
  <r>
    <x v="4"/>
    <x v="8"/>
    <d v="2022-09-12T00:00:00"/>
    <n v="712.25"/>
    <n v="1549.75"/>
    <n v="472.9"/>
    <n v="841.25"/>
    <n v="71.92"/>
    <n v="5.093"/>
  </r>
  <r>
    <x v="4"/>
    <x v="8"/>
    <d v="2022-09-09T00:00:00"/>
    <n v="698.5"/>
    <n v="1489.25"/>
    <n v="440.9"/>
    <n v="853.25"/>
    <n v="70.25"/>
    <n v="5.1462000000000003"/>
  </r>
  <r>
    <x v="4"/>
    <x v="8"/>
    <d v="2022-09-08T00:00:00"/>
    <n v="674.5"/>
    <n v="1470.5"/>
    <n v="427.8"/>
    <n v="810.5"/>
    <n v="68.86"/>
    <n v="5.2141000000000002"/>
  </r>
  <r>
    <x v="4"/>
    <x v="8"/>
    <d v="2022-09-07T00:00:00"/>
    <n v="676.75"/>
    <n v="1466.75"/>
    <n v="436.1"/>
    <n v="826.5"/>
    <n v="67.73"/>
    <n v="5.2480000000000002"/>
  </r>
  <r>
    <x v="4"/>
    <x v="8"/>
    <d v="2022-09-06T00:00:00"/>
    <n v="680.75"/>
    <n v="1490"/>
    <n v="433.5"/>
    <n v="800"/>
    <n v="68.959999999999994"/>
    <n v="5.2527999999999997"/>
  </r>
  <r>
    <x v="4"/>
    <x v="8"/>
    <d v="2022-09-05T00:00:00"/>
    <m/>
    <m/>
    <m/>
    <m/>
    <m/>
    <n v="5.1516000000000002"/>
  </r>
  <r>
    <x v="4"/>
    <x v="8"/>
    <d v="2022-09-02T00:00:00"/>
    <n v="669"/>
    <n v="1510.5"/>
    <n v="444.1"/>
    <n v="793"/>
    <n v="71.5"/>
    <n v="5.1680999999999999"/>
  </r>
  <r>
    <x v="4"/>
    <x v="8"/>
    <d v="2022-09-01T00:00:00"/>
    <n v="658.25"/>
    <n v="1472.75"/>
    <n v="452"/>
    <n v="775.5"/>
    <n v="68.52"/>
    <n v="5.2416"/>
  </r>
  <r>
    <x v="4"/>
    <x v="9"/>
    <d v="2022-08-31T00:00:00"/>
    <n v="673.75"/>
    <n v="1507.5"/>
    <n v="458.9"/>
    <n v="809"/>
    <n v="72.739999999999995"/>
    <n v="5.1830999999999996"/>
  </r>
  <r>
    <x v="4"/>
    <x v="9"/>
    <d v="2022-08-30T00:00:00"/>
    <n v="679.75"/>
    <n v="1513"/>
    <n v="462.4"/>
    <n v="798.25"/>
    <n v="70.790000000000006"/>
    <n v="5.1223000000000001"/>
  </r>
  <r>
    <x v="4"/>
    <x v="9"/>
    <d v="2022-08-29T00:00:00"/>
    <n v="683.75"/>
    <n v="1534.75"/>
    <n v="478.4"/>
    <n v="820"/>
    <n v="70.98"/>
    <n v="5.0282"/>
  </r>
  <r>
    <x v="4"/>
    <x v="9"/>
    <d v="2022-08-26T00:00:00"/>
    <n v="668.75"/>
    <n v="1605.25"/>
    <n v="478.1"/>
    <n v="784.75"/>
    <n v="70.819999999999993"/>
    <n v="5.0601000000000003"/>
  </r>
  <r>
    <x v="4"/>
    <x v="9"/>
    <d v="2022-08-25T00:00:00"/>
    <n v="657.5"/>
    <n v="1552.5"/>
    <n v="458"/>
    <n v="769.75"/>
    <n v="69.09"/>
    <n v="5.1098999999999997"/>
  </r>
  <r>
    <x v="4"/>
    <x v="9"/>
    <d v="2022-08-24T00:00:00"/>
    <n v="665.75"/>
    <n v="1560.75"/>
    <n v="467.7"/>
    <n v="795"/>
    <n v="68.77"/>
    <n v="5.1113999999999997"/>
  </r>
  <r>
    <x v="4"/>
    <x v="9"/>
    <d v="2022-08-23T00:00:00"/>
    <n v="660"/>
    <n v="1566.75"/>
    <n v="468.5"/>
    <n v="782.75"/>
    <n v="69.59"/>
    <n v="5.1036999999999999"/>
  </r>
  <r>
    <x v="4"/>
    <x v="9"/>
    <d v="2022-08-22T00:00:00"/>
    <n v="633.5"/>
    <n v="1527"/>
    <n v="460.5"/>
    <n v="770.5"/>
    <n v="68.77"/>
    <n v="5.1574"/>
  </r>
  <r>
    <x v="4"/>
    <x v="9"/>
    <d v="2022-08-19T00:00:00"/>
    <n v="626"/>
    <n v="1488.75"/>
    <n v="448.7"/>
    <n v="753.25"/>
    <n v="67.900000000000006"/>
    <n v="5.1696999999999997"/>
  </r>
  <r>
    <x v="4"/>
    <x v="9"/>
    <d v="2022-08-18T00:00:00"/>
    <n v="619.75"/>
    <n v="1495.5"/>
    <n v="449.4"/>
    <n v="731.5"/>
    <n v="66.260000000000005"/>
    <n v="5.1673999999999998"/>
  </r>
  <r>
    <x v="4"/>
    <x v="9"/>
    <d v="2022-08-17T00:00:00"/>
    <n v="615"/>
    <n v="1475.25"/>
    <n v="440.6"/>
    <n v="763.25"/>
    <n v="67.41"/>
    <n v="5.1642000000000001"/>
  </r>
  <r>
    <x v="4"/>
    <x v="9"/>
    <d v="2022-08-16T00:00:00"/>
    <n v="611"/>
    <n v="1454.25"/>
    <n v="435.9"/>
    <n v="786"/>
    <n v="67.84"/>
    <n v="5.1459000000000001"/>
  </r>
  <r>
    <x v="4"/>
    <x v="9"/>
    <d v="2022-08-15T00:00:00"/>
    <n v="626.75"/>
    <n v="1494"/>
    <n v="452.2"/>
    <n v="800.75"/>
    <n v="68.94"/>
    <n v="5.0960999999999999"/>
  </r>
  <r>
    <x v="4"/>
    <x v="9"/>
    <d v="2022-08-12T00:00:00"/>
    <n v="639.75"/>
    <n v="1669.25"/>
    <n v="520.20000000000005"/>
    <n v="806"/>
    <n v="71.97"/>
    <n v="5.0735000000000001"/>
  </r>
  <r>
    <x v="4"/>
    <x v="9"/>
    <d v="2022-08-11T00:00:00"/>
    <n v="629.25"/>
    <n v="1709.5"/>
    <n v="520.20000000000005"/>
    <n v="810.75"/>
    <n v="71.97"/>
    <n v="5.1581000000000001"/>
  </r>
  <r>
    <x v="4"/>
    <x v="9"/>
    <d v="2022-08-10T00:00:00"/>
    <n v="621.25"/>
    <n v="1688.75"/>
    <n v="515.6"/>
    <n v="799.75"/>
    <n v="70.56"/>
    <n v="5.0926999999999998"/>
  </r>
  <r>
    <x v="4"/>
    <x v="9"/>
    <d v="2022-08-09T00:00:00"/>
    <n v="615.5"/>
    <n v="1693.25"/>
    <n v="513.6"/>
    <n v="781.5"/>
    <n v="69.69"/>
    <n v="5.1237000000000004"/>
  </r>
  <r>
    <x v="4"/>
    <x v="9"/>
    <d v="2022-08-08T00:00:00"/>
    <n v="608.5"/>
    <n v="1619.5"/>
    <n v="498.7"/>
    <n v="779.75"/>
    <n v="69.2"/>
    <n v="5.1116999999999999"/>
  </r>
  <r>
    <x v="4"/>
    <x v="9"/>
    <d v="2022-08-05T00:00:00"/>
    <n v="610.25"/>
    <n v="1614.75"/>
    <n v="499.1"/>
    <n v="775.75"/>
    <n v="68.59"/>
    <n v="5.1646000000000001"/>
  </r>
  <r>
    <x v="4"/>
    <x v="9"/>
    <d v="2022-08-04T00:00:00"/>
    <n v="602.25"/>
    <n v="1615"/>
    <n v="513.70000000000005"/>
    <n v="782.5"/>
    <n v="66.040000000000006"/>
    <n v="5.2164000000000001"/>
  </r>
  <r>
    <x v="4"/>
    <x v="9"/>
    <d v="2022-08-03T00:00:00"/>
    <n v="591.5"/>
    <n v="1558"/>
    <n v="481.7"/>
    <n v="763.75"/>
    <n v="65.08"/>
    <n v="5.2815000000000003"/>
  </r>
  <r>
    <x v="4"/>
    <x v="9"/>
    <d v="2022-08-02T00:00:00"/>
    <n v="591.25"/>
    <n v="1569.25"/>
    <n v="489.2"/>
    <n v="774.75"/>
    <n v="65.2"/>
    <n v="5.2784000000000004"/>
  </r>
  <r>
    <x v="4"/>
    <x v="9"/>
    <d v="2022-08-01T00:00:00"/>
    <n v="607"/>
    <n v="1594.25"/>
    <n v="487"/>
    <n v="800.25"/>
    <n v="66.23"/>
    <n v="5.1837999999999997"/>
  </r>
  <r>
    <x v="4"/>
    <x v="10"/>
    <d v="2022-07-29T00:00:00"/>
    <n v="616.25"/>
    <n v="1637"/>
    <n v="495.3"/>
    <n v="807.75"/>
    <n v="68.599999999999994"/>
    <n v="5.1734"/>
  </r>
  <r>
    <x v="4"/>
    <x v="10"/>
    <d v="2022-07-28T00:00:00"/>
    <n v="615"/>
    <n v="1609.25"/>
    <n v="489.7"/>
    <n v="817"/>
    <n v="65.84"/>
    <n v="5.1822999999999997"/>
  </r>
  <r>
    <x v="4"/>
    <x v="10"/>
    <d v="2022-07-27T00:00:00"/>
    <n v="600.25"/>
    <n v="1578.75"/>
    <n v="488.9"/>
    <n v="790.25"/>
    <n v="61.18"/>
    <n v="5.2431999999999999"/>
  </r>
  <r>
    <x v="4"/>
    <x v="10"/>
    <d v="2022-07-26T00:00:00"/>
    <n v="597"/>
    <n v="1532.75"/>
    <n v="472.4"/>
    <n v="803.75"/>
    <n v="60.42"/>
    <n v="5.3510999999999997"/>
  </r>
  <r>
    <x v="4"/>
    <x v="10"/>
    <d v="2022-07-25T00:00:00"/>
    <n v="580"/>
    <n v="1473"/>
    <n v="447.5"/>
    <n v="770"/>
    <n v="60.01"/>
    <n v="5.3575999999999997"/>
  </r>
  <r>
    <x v="4"/>
    <x v="10"/>
    <d v="2022-07-22T00:00:00"/>
    <n v="564.25"/>
    <n v="1434.5"/>
    <n v="431.5"/>
    <n v="759"/>
    <n v="60.32"/>
    <n v="5.4968000000000004"/>
  </r>
  <r>
    <x v="4"/>
    <x v="10"/>
    <d v="2022-07-21T00:00:00"/>
    <n v="575.75"/>
    <n v="1418.5"/>
    <n v="434.4"/>
    <n v="806.25"/>
    <n v="58.6"/>
    <n v="5.4968000000000004"/>
  </r>
  <r>
    <x v="4"/>
    <x v="10"/>
    <d v="2022-07-20T00:00:00"/>
    <n v="592.25"/>
    <n v="1449"/>
    <n v="436.5"/>
    <n v="819.5"/>
    <n v="60.03"/>
    <n v="5.4714"/>
  </r>
  <r>
    <x v="4"/>
    <x v="10"/>
    <d v="2022-07-19T00:00:00"/>
    <n v="596.75"/>
    <n v="1477.25"/>
    <n v="435"/>
    <n v="812.25"/>
    <n v="61.89"/>
    <n v="5.4135"/>
  </r>
  <r>
    <x v="4"/>
    <x v="10"/>
    <d v="2022-07-18T00:00:00"/>
    <n v="612.25"/>
    <n v="1497.25"/>
    <n v="434.5"/>
    <n v="812.75"/>
    <n v="63.2"/>
    <n v="5.4375"/>
  </r>
  <r>
    <x v="4"/>
    <x v="10"/>
    <d v="2022-07-15T00:00:00"/>
    <n v="604.25"/>
    <n v="1466"/>
    <n v="431"/>
    <n v="776.75"/>
    <n v="60.08"/>
    <n v="5.4081999999999999"/>
  </r>
  <r>
    <x v="4"/>
    <x v="10"/>
    <d v="2022-07-14T00:00:00"/>
    <n v="695"/>
    <n v="1610"/>
    <n v="497.3"/>
    <n v="794.25"/>
    <n v="59.8"/>
    <n v="5.4233000000000002"/>
  </r>
  <r>
    <x v="4"/>
    <x v="10"/>
    <d v="2022-07-13T00:00:00"/>
    <n v="740"/>
    <n v="1588.25"/>
    <n v="491.5"/>
    <n v="798.25"/>
    <n v="60.21"/>
    <n v="5.3917000000000002"/>
  </r>
  <r>
    <x v="4"/>
    <x v="10"/>
    <d v="2022-07-12T00:00:00"/>
    <n v="732.75"/>
    <n v="1592.75"/>
    <n v="478.7"/>
    <n v="801.5"/>
    <n v="61.41"/>
    <n v="5.4367999999999999"/>
  </r>
  <r>
    <x v="4"/>
    <x v="10"/>
    <d v="2022-07-11T00:00:00"/>
    <n v="781.25"/>
    <n v="1641"/>
    <n v="482.9"/>
    <n v="843.75"/>
    <n v="65.209999999999994"/>
    <n v="5.3781999999999996"/>
  </r>
  <r>
    <x v="4"/>
    <x v="10"/>
    <d v="2022-07-08T00:00:00"/>
    <n v="778.25"/>
    <n v="1630.25"/>
    <n v="478.4"/>
    <n v="879.25"/>
    <n v="64.069999999999993"/>
    <n v="5.2535999999999996"/>
  </r>
  <r>
    <x v="4"/>
    <x v="10"/>
    <d v="2022-07-07T00:00:00"/>
    <n v="747"/>
    <n v="1591.25"/>
    <n v="470"/>
    <n v="824.5"/>
    <n v="63.17"/>
    <n v="5.3391000000000002"/>
  </r>
  <r>
    <x v="4"/>
    <x v="10"/>
    <d v="2022-07-06T00:00:00"/>
    <n v="744.25"/>
    <n v="1580.25"/>
    <n v="462.6"/>
    <n v="792.25"/>
    <n v="60.22"/>
    <n v="5.4287000000000001"/>
  </r>
  <r>
    <x v="4"/>
    <x v="10"/>
    <d v="2022-07-05T00:00:00"/>
    <n v="736"/>
    <n v="1575.25"/>
    <n v="452.8"/>
    <n v="793.75"/>
    <n v="60.52"/>
    <n v="5.3860999999999999"/>
  </r>
  <r>
    <x v="4"/>
    <x v="10"/>
    <d v="2022-07-04T00:00:00"/>
    <m/>
    <m/>
    <m/>
    <m/>
    <m/>
    <n v="5.3292999999999999"/>
  </r>
  <r>
    <x v="4"/>
    <x v="10"/>
    <d v="2022-07-01T00:00:00"/>
    <n v="754.5"/>
    <n v="1626"/>
    <n v="459.7"/>
    <n v="831.25"/>
    <n v="65.680000000000007"/>
    <n v="5.3310000000000004"/>
  </r>
  <r>
    <x v="4"/>
    <x v="11"/>
    <d v="2022-06-30T00:00:00"/>
    <n v="743.75"/>
    <n v="1675"/>
    <n v="469.9"/>
    <n v="868.75"/>
    <n v="69.930000000000007"/>
    <n v="5.2561999999999998"/>
  </r>
  <r>
    <x v="4"/>
    <x v="11"/>
    <d v="2022-06-29T00:00:00"/>
    <n v="770.25"/>
    <n v="1674.25"/>
    <n v="463.2"/>
    <n v="915.5"/>
    <n v="72.599999999999994"/>
    <n v="5.1818"/>
  </r>
  <r>
    <x v="4"/>
    <x v="11"/>
    <d v="2022-06-28T00:00:00"/>
    <n v="759.5"/>
    <n v="1663.75"/>
    <n v="455.1"/>
    <n v="921.25"/>
    <n v="72.09"/>
    <n v="5.2675000000000001"/>
  </r>
  <r>
    <x v="4"/>
    <x v="11"/>
    <d v="2022-06-27T00:00:00"/>
    <n v="744.25"/>
    <n v="1630.5"/>
    <n v="442.7"/>
    <n v="904"/>
    <n v="70.819999999999993"/>
    <n v="5.2366000000000001"/>
  </r>
  <r>
    <x v="4"/>
    <x v="11"/>
    <d v="2022-06-24T00:00:00"/>
    <n v="750.25"/>
    <n v="1610.75"/>
    <n v="432.6"/>
    <n v="923.75"/>
    <n v="69.75"/>
    <n v="5.2416999999999998"/>
  </r>
  <r>
    <x v="4"/>
    <x v="11"/>
    <d v="2022-06-23T00:00:00"/>
    <n v="746.75"/>
    <n v="1593.25"/>
    <n v="426.7"/>
    <n v="937.25"/>
    <n v="67.709999999999994"/>
    <n v="5.2405999999999997"/>
  </r>
  <r>
    <x v="4"/>
    <x v="11"/>
    <d v="2022-06-22T00:00:00"/>
    <n v="768"/>
    <n v="1652.75"/>
    <n v="432.4"/>
    <n v="976.5"/>
    <n v="70.66"/>
    <n v="5.194"/>
  </r>
  <r>
    <x v="4"/>
    <x v="11"/>
    <d v="2022-06-21T00:00:00"/>
    <n v="760.75"/>
    <n v="1681"/>
    <n v="431.3"/>
    <n v="975.25"/>
    <n v="73.37"/>
    <n v="5.1257000000000001"/>
  </r>
  <r>
    <x v="4"/>
    <x v="11"/>
    <d v="2022-06-20T00:00:00"/>
    <m/>
    <m/>
    <m/>
    <m/>
    <m/>
    <n v="5.1879999999999997"/>
  </r>
  <r>
    <x v="4"/>
    <x v="11"/>
    <d v="2022-06-17T00:00:00"/>
    <n v="784.5"/>
    <n v="1702"/>
    <n v="438.1"/>
    <n v="1034.25"/>
    <n v="73.790000000000006"/>
    <n v="5.1517999999999997"/>
  </r>
  <r>
    <x v="4"/>
    <x v="11"/>
    <d v="2022-06-16T00:00:00"/>
    <n v="788.25"/>
    <n v="1709.5"/>
    <n v="429.7"/>
    <n v="1078.25"/>
    <n v="76.34"/>
    <n v="5.0534999999999997"/>
  </r>
  <r>
    <x v="4"/>
    <x v="11"/>
    <d v="2022-06-15T00:00:00"/>
    <n v="774"/>
    <n v="1693.75"/>
    <n v="417.5"/>
    <n v="1050"/>
    <n v="77.67"/>
    <n v="5.0536000000000003"/>
  </r>
  <r>
    <x v="4"/>
    <x v="11"/>
    <d v="2022-06-14T00:00:00"/>
    <n v="768.25"/>
    <n v="1698.5"/>
    <n v="411"/>
    <n v="1050.25"/>
    <n v="78.28"/>
    <n v="5.1167999999999996"/>
  </r>
  <r>
    <x v="4"/>
    <x v="11"/>
    <d v="2022-06-13T00:00:00"/>
    <n v="769.25"/>
    <n v="1707.5"/>
    <n v="415.1"/>
    <n v="1071"/>
    <n v="79.510000000000005"/>
    <n v="5.1154000000000002"/>
  </r>
  <r>
    <x v="4"/>
    <x v="11"/>
    <d v="2022-06-10T00:00:00"/>
    <n v="773.25"/>
    <n v="1745.5"/>
    <n v="429.1"/>
    <n v="1070.75"/>
    <n v="80.81"/>
    <n v="4.9865000000000004"/>
  </r>
  <r>
    <x v="4"/>
    <x v="11"/>
    <d v="2022-06-09T00:00:00"/>
    <n v="773"/>
    <n v="1769"/>
    <n v="427.5"/>
    <n v="1071.25"/>
    <n v="82.63"/>
    <n v="4.9062999999999999"/>
  </r>
  <r>
    <x v="4"/>
    <x v="11"/>
    <d v="2022-06-08T00:00:00"/>
    <n v="764.5"/>
    <n v="1740"/>
    <n v="415.6"/>
    <n v="1074.75"/>
    <n v="82.94"/>
    <n v="4.8987999999999996"/>
  </r>
  <r>
    <x v="4"/>
    <x v="11"/>
    <d v="2022-06-07T00:00:00"/>
    <n v="757"/>
    <n v="1728.25"/>
    <n v="417.4"/>
    <n v="1071.75"/>
    <n v="81.44"/>
    <n v="4.8696000000000002"/>
  </r>
  <r>
    <x v="4"/>
    <x v="11"/>
    <d v="2022-06-06T00:00:00"/>
    <n v="742.5"/>
    <n v="1699.25"/>
    <n v="407.1"/>
    <n v="1093"/>
    <n v="81.19"/>
    <n v="4.7945000000000002"/>
  </r>
  <r>
    <x v="4"/>
    <x v="11"/>
    <d v="2022-06-03T00:00:00"/>
    <n v="727"/>
    <n v="1697.75"/>
    <n v="407.9"/>
    <n v="1040"/>
    <n v="81.849999999999994"/>
    <n v="4.7733999999999996"/>
  </r>
  <r>
    <x v="4"/>
    <x v="11"/>
    <d v="2022-06-02T00:00:00"/>
    <n v="730.25"/>
    <n v="1729.25"/>
    <n v="414.9"/>
    <n v="1058.25"/>
    <n v="81.44"/>
    <n v="4.7961999999999998"/>
  </r>
  <r>
    <x v="4"/>
    <x v="11"/>
    <d v="2022-06-01T00:00:00"/>
    <n v="731.25"/>
    <n v="1690.25"/>
    <n v="412.7"/>
    <n v="1041.25"/>
    <n v="78.11"/>
    <n v="4.8151000000000002"/>
  </r>
  <r>
    <x v="4"/>
    <x v="0"/>
    <d v="2022-05-31T00:00:00"/>
    <n v="753.5"/>
    <n v="1683.25"/>
    <n v="414.8"/>
    <n v="1087.5"/>
    <n v="77.92"/>
    <n v="4.7314999999999996"/>
  </r>
  <r>
    <x v="4"/>
    <x v="0"/>
    <d v="2022-05-30T00:00:00"/>
    <m/>
    <m/>
    <m/>
    <m/>
    <m/>
    <n v="4.7526000000000002"/>
  </r>
  <r>
    <x v="4"/>
    <x v="0"/>
    <d v="2022-05-27T00:00:00"/>
    <n v="777.25"/>
    <n v="1732.25"/>
    <n v="432.3"/>
    <n v="1157.5"/>
    <n v="79.569999999999993"/>
    <n v="4.7294999999999998"/>
  </r>
  <r>
    <x v="4"/>
    <x v="0"/>
    <d v="2022-05-26T00:00:00"/>
    <n v="765"/>
    <n v="1726.5"/>
    <n v="428.2"/>
    <n v="1143.25"/>
    <n v="80.52"/>
    <n v="4.7676999999999996"/>
  </r>
  <r>
    <x v="4"/>
    <x v="0"/>
    <d v="2022-05-25T00:00:00"/>
    <n v="772.25"/>
    <n v="1681"/>
    <n v="424.2"/>
    <n v="1148.25"/>
    <n v="78.92"/>
    <n v="4.8274999999999997"/>
  </r>
  <r>
    <x v="4"/>
    <x v="0"/>
    <d v="2022-05-24T00:00:00"/>
    <n v="771.75"/>
    <n v="1693"/>
    <n v="427.1"/>
    <n v="1154.75"/>
    <n v="80.12"/>
    <n v="4.8190999999999997"/>
  </r>
  <r>
    <x v="4"/>
    <x v="0"/>
    <d v="2022-05-23T00:00:00"/>
    <n v="786.25"/>
    <n v="1687"/>
    <n v="422.5"/>
    <n v="1190"/>
    <n v="80.47"/>
    <n v="4.8129999999999997"/>
  </r>
  <r>
    <x v="4"/>
    <x v="0"/>
    <d v="2022-05-20T00:00:00"/>
    <n v="778.75"/>
    <n v="1705.25"/>
    <n v="429.9"/>
    <n v="1168.75"/>
    <n v="80.930000000000007"/>
    <n v="4.8788"/>
  </r>
  <r>
    <x v="4"/>
    <x v="0"/>
    <d v="2022-05-19T00:00:00"/>
    <n v="783.25"/>
    <n v="1690.5"/>
    <n v="425.3"/>
    <n v="1200.5"/>
    <n v="79.53"/>
    <n v="4.9309000000000003"/>
  </r>
  <r>
    <x v="4"/>
    <x v="0"/>
    <d v="2022-05-18T00:00:00"/>
    <n v="781.5"/>
    <n v="1662.75"/>
    <n v="414"/>
    <n v="1230.75"/>
    <n v="80.55"/>
    <n v="4.9682000000000004"/>
  </r>
  <r>
    <x v="4"/>
    <x v="0"/>
    <d v="2022-05-17T00:00:00"/>
    <n v="800.75"/>
    <n v="1678"/>
    <n v="411.8"/>
    <n v="1277.5"/>
    <n v="83.49"/>
    <n v="4.9386999999999999"/>
  </r>
  <r>
    <x v="4"/>
    <x v="0"/>
    <d v="2022-05-16T00:00:00"/>
    <n v="809.5"/>
    <n v="1656.5"/>
    <n v="413.6"/>
    <n v="1247.5"/>
    <n v="82.99"/>
    <n v="5.0598999999999998"/>
  </r>
  <r>
    <x v="4"/>
    <x v="0"/>
    <d v="2022-05-13T00:00:00"/>
    <n v="794.5"/>
    <n v="1723.25"/>
    <n v="406.4"/>
    <n v="1167.25"/>
    <n v="88.34"/>
    <n v="5.0602"/>
  </r>
  <r>
    <x v="4"/>
    <x v="0"/>
    <d v="2022-05-12T00:00:00"/>
    <n v="813.5"/>
    <n v="1660.25"/>
    <n v="399.4"/>
    <n v="1174.5"/>
    <n v="88.52"/>
    <n v="5.1338999999999997"/>
  </r>
  <r>
    <x v="4"/>
    <x v="0"/>
    <d v="2022-05-11T00:00:00"/>
    <n v="802.25"/>
    <n v="1650.25"/>
    <n v="400.6"/>
    <n v="1108.75"/>
    <n v="89.45"/>
    <n v="5.1372999999999998"/>
  </r>
  <r>
    <x v="4"/>
    <x v="0"/>
    <d v="2022-05-10T00:00:00"/>
    <n v="786.5"/>
    <n v="1630"/>
    <n v="407.9"/>
    <n v="1083.25"/>
    <n v="87.96"/>
    <n v="5.1313000000000004"/>
  </r>
  <r>
    <x v="4"/>
    <x v="0"/>
    <d v="2022-05-09T00:00:00"/>
    <n v="784.5"/>
    <n v="1621"/>
    <n v="411.1"/>
    <n v="1083.25"/>
    <n v="87.18"/>
    <n v="5.1616999999999997"/>
  </r>
  <r>
    <x v="4"/>
    <x v="0"/>
    <d v="2022-05-06T00:00:00"/>
    <n v="792.25"/>
    <n v="1655.5"/>
    <n v="423.4"/>
    <n v="1097"/>
    <n v="88.4"/>
    <n v="5.0773999999999999"/>
  </r>
  <r>
    <x v="4"/>
    <x v="0"/>
    <d v="2022-05-05T00:00:00"/>
    <n v="803.75"/>
    <n v="1678.5"/>
    <n v="426.9"/>
    <n v="1096"/>
    <n v="86.5"/>
    <n v="5.0279999999999996"/>
  </r>
  <r>
    <x v="4"/>
    <x v="0"/>
    <d v="2022-05-04T00:00:00"/>
    <n v="798.5"/>
    <n v="1669.75"/>
    <n v="428.3"/>
    <n v="1066"/>
    <n v="87.08"/>
    <n v="4.9198000000000004"/>
  </r>
  <r>
    <x v="4"/>
    <x v="0"/>
    <d v="2022-05-03T00:00:00"/>
    <n v="800.75"/>
    <n v="1659"/>
    <n v="436.4"/>
    <n v="1033.75"/>
    <n v="84.3"/>
    <n v="4.9584000000000001"/>
  </r>
  <r>
    <x v="4"/>
    <x v="0"/>
    <d v="2022-05-02T00:00:00"/>
    <n v="813"/>
    <n v="1674"/>
    <n v="442.9"/>
    <n v="1043.5"/>
    <n v="82.7"/>
    <n v="5.0848000000000004"/>
  </r>
  <r>
    <x v="4"/>
    <x v="1"/>
    <d v="2022-04-29T00:00:00"/>
    <n v="818.25"/>
    <n v="1708.25"/>
    <n v="440.5"/>
    <n v="1043.75"/>
    <n v="89.17"/>
    <n v="4.9721000000000002"/>
  </r>
  <r>
    <x v="4"/>
    <x v="1"/>
    <d v="2022-04-28T00:00:00"/>
    <n v="816"/>
    <n v="1706.5"/>
    <n v="440.2"/>
    <n v="1074"/>
    <n v="90.6"/>
    <n v="4.9424999999999999"/>
  </r>
  <r>
    <x v="4"/>
    <x v="1"/>
    <d v="2022-04-27T00:00:00"/>
    <n v="815.5"/>
    <n v="1726.5"/>
    <n v="451"/>
    <n v="1080"/>
    <n v="87.8"/>
    <n v="4.9650999999999996"/>
  </r>
  <r>
    <x v="4"/>
    <x v="1"/>
    <d v="2022-04-26T00:00:00"/>
    <n v="803.25"/>
    <n v="1705.25"/>
    <n v="444.8"/>
    <n v="1083.25"/>
    <n v="85.29"/>
    <n v="4.9988999999999999"/>
  </r>
  <r>
    <x v="4"/>
    <x v="1"/>
    <d v="2022-04-25T00:00:00"/>
    <n v="800.25"/>
    <n v="1703.5"/>
    <n v="452.4"/>
    <n v="1062"/>
    <n v="82.74"/>
    <n v="4.8765999999999998"/>
  </r>
  <r>
    <x v="4"/>
    <x v="1"/>
    <d v="2022-04-22T00:00:00"/>
    <n v="793"/>
    <n v="1716"/>
    <n v="458.8"/>
    <n v="1065.5"/>
    <n v="83.26"/>
    <n v="4.7937000000000003"/>
  </r>
  <r>
    <x v="4"/>
    <x v="1"/>
    <d v="2022-04-21T00:00:00"/>
    <n v="799.25"/>
    <n v="1748.25"/>
    <n v="468.9"/>
    <n v="1068"/>
    <n v="81.5"/>
    <n v="4.6219999999999999"/>
  </r>
  <r>
    <x v="4"/>
    <x v="1"/>
    <d v="2022-04-20T00:00:00"/>
    <n v="815.75"/>
    <n v="1746.75"/>
    <n v="471.4"/>
    <n v="1088"/>
    <n v="80.81"/>
    <n v="4.6219000000000001"/>
  </r>
  <r>
    <x v="4"/>
    <x v="1"/>
    <d v="2022-04-19T00:00:00"/>
    <n v="804"/>
    <n v="1716.5"/>
    <n v="464.4"/>
    <n v="1099"/>
    <n v="80.209999999999994"/>
    <n v="4.6675000000000004"/>
  </r>
  <r>
    <x v="4"/>
    <x v="1"/>
    <d v="2022-04-18T00:00:00"/>
    <n v="813.25"/>
    <n v="1714.75"/>
    <n v="466"/>
    <n v="1120.5"/>
    <n v="79.989999999999995"/>
    <n v="4.6527000000000003"/>
  </r>
  <r>
    <x v="4"/>
    <x v="1"/>
    <d v="2022-04-15T00:00:00"/>
    <m/>
    <m/>
    <m/>
    <m/>
    <m/>
    <n v="4.6965000000000003"/>
  </r>
  <r>
    <x v="4"/>
    <x v="1"/>
    <d v="2022-04-14T00:00:00"/>
    <n v="790.25"/>
    <n v="1682.25"/>
    <n v="461.4"/>
    <n v="1096.5"/>
    <n v="78.91"/>
    <n v="4.7012999999999998"/>
  </r>
  <r>
    <x v="4"/>
    <x v="1"/>
    <d v="2022-04-13T00:00:00"/>
    <n v="783.5"/>
    <n v="1676"/>
    <n v="458.2"/>
    <n v="1113.5"/>
    <n v="78.11"/>
    <n v="4.6898999999999997"/>
  </r>
  <r>
    <x v="4"/>
    <x v="1"/>
    <d v="2022-04-12T00:00:00"/>
    <n v="776.25"/>
    <n v="1670.25"/>
    <n v="460.9"/>
    <n v="1103.75"/>
    <n v="75.430000000000007"/>
    <n v="4.6734999999999998"/>
  </r>
  <r>
    <x v="4"/>
    <x v="1"/>
    <d v="2022-04-11T00:00:00"/>
    <n v="764.5"/>
    <n v="1655.25"/>
    <n v="459.1"/>
    <n v="1081.25"/>
    <n v="74.3"/>
    <n v="4.6943999999999999"/>
  </r>
  <r>
    <x v="4"/>
    <x v="1"/>
    <d v="2022-04-08T00:00:00"/>
    <n v="768.75"/>
    <n v="1689"/>
    <n v="468.2"/>
    <n v="1051.5"/>
    <n v="75.12"/>
    <n v="4.6970000000000001"/>
  </r>
  <r>
    <x v="4"/>
    <x v="1"/>
    <d v="2022-04-07T00:00:00"/>
    <n v="757.75"/>
    <n v="1645.5"/>
    <n v="460.2"/>
    <n v="1020"/>
    <n v="73.02"/>
    <n v="4.7523999999999997"/>
  </r>
  <r>
    <x v="4"/>
    <x v="1"/>
    <d v="2022-04-06T00:00:00"/>
    <n v="756.5"/>
    <n v="1619.5"/>
    <n v="461.8"/>
    <n v="1038.25"/>
    <n v="71.83"/>
    <n v="4.7161"/>
  </r>
  <r>
    <x v="4"/>
    <x v="1"/>
    <d v="2022-04-05T00:00:00"/>
    <n v="759.75"/>
    <n v="1631"/>
    <n v="465.9"/>
    <n v="1045.25"/>
    <n v="72.41"/>
    <n v="4.6505999999999998"/>
  </r>
  <r>
    <x v="4"/>
    <x v="1"/>
    <d v="2022-04-04T00:00:00"/>
    <n v="750.5"/>
    <n v="1602.25"/>
    <n v="455.1"/>
    <n v="1010.25"/>
    <n v="72.34"/>
    <n v="4.5928000000000004"/>
  </r>
  <r>
    <x v="4"/>
    <x v="1"/>
    <d v="2022-04-01T00:00:00"/>
    <n v="735"/>
    <n v="1582.75"/>
    <n v="450"/>
    <n v="984.5"/>
    <n v="71.2"/>
    <n v="4.6574999999999998"/>
  </r>
  <r>
    <x v="4"/>
    <x v="2"/>
    <d v="2022-03-31T00:00:00"/>
    <n v="748.75"/>
    <n v="1618.25"/>
    <n v="467.5"/>
    <n v="1006"/>
    <n v="69.94"/>
    <n v="4.7389999999999999"/>
  </r>
  <r>
    <x v="4"/>
    <x v="2"/>
    <d v="2022-03-30T00:00:00"/>
    <n v="738"/>
    <n v="1664"/>
    <n v="473.1"/>
    <n v="1027.25"/>
    <n v="72.22"/>
    <n v="4.7685000000000004"/>
  </r>
  <r>
    <x v="4"/>
    <x v="2"/>
    <d v="2022-03-29T00:00:00"/>
    <n v="726.25"/>
    <n v="1643"/>
    <n v="466"/>
    <n v="1014.25"/>
    <n v="71.66"/>
    <n v="4.7561"/>
  </r>
  <r>
    <x v="4"/>
    <x v="2"/>
    <d v="2022-03-28T00:00:00"/>
    <n v="748.5"/>
    <n v="1664.25"/>
    <n v="478.9"/>
    <n v="1057"/>
    <n v="72.45"/>
    <n v="4.7675000000000001"/>
  </r>
  <r>
    <x v="4"/>
    <x v="2"/>
    <d v="2022-03-25T00:00:00"/>
    <n v="754"/>
    <n v="1710.25"/>
    <n v="487.9"/>
    <n v="1102.25"/>
    <n v="74.75"/>
    <n v="4.742"/>
  </r>
  <r>
    <x v="4"/>
    <x v="2"/>
    <d v="2022-03-24T00:00:00"/>
    <n v="748.25"/>
    <n v="1700.75"/>
    <n v="485.9"/>
    <n v="1085.75"/>
    <n v="74.290000000000006"/>
    <n v="4.8253000000000004"/>
  </r>
  <r>
    <x v="4"/>
    <x v="2"/>
    <d v="2022-03-23T00:00:00"/>
    <n v="757.75"/>
    <n v="1718.75"/>
    <n v="485.1"/>
    <n v="1105.75"/>
    <n v="75.97"/>
    <n v="4.8258000000000001"/>
  </r>
  <r>
    <x v="4"/>
    <x v="2"/>
    <d v="2022-03-22T00:00:00"/>
    <n v="753"/>
    <n v="1696.5"/>
    <n v="476.8"/>
    <n v="1118.25"/>
    <n v="74.540000000000006"/>
    <n v="4.9093999999999998"/>
  </r>
  <r>
    <x v="4"/>
    <x v="2"/>
    <d v="2022-03-21T00:00:00"/>
    <n v="756.25"/>
    <n v="1691"/>
    <n v="481.3"/>
    <n v="1119.25"/>
    <n v="73.709999999999994"/>
    <n v="4.9353999999999996"/>
  </r>
  <r>
    <x v="4"/>
    <x v="2"/>
    <d v="2022-03-18T00:00:00"/>
    <n v="741.75"/>
    <n v="1668"/>
    <n v="477"/>
    <n v="1063.75"/>
    <n v="72.290000000000006"/>
    <n v="5.0231000000000003"/>
  </r>
  <r>
    <x v="4"/>
    <x v="2"/>
    <d v="2022-03-17T00:00:00"/>
    <n v="754.5"/>
    <n v="1668.5"/>
    <n v="474.1"/>
    <n v="1098"/>
    <n v="74.63"/>
    <n v="5.0389999999999997"/>
  </r>
  <r>
    <x v="4"/>
    <x v="2"/>
    <d v="2022-03-16T00:00:00"/>
    <n v="730"/>
    <n v="1649.25"/>
    <n v="478"/>
    <n v="1069.25"/>
    <n v="73.55"/>
    <n v="5.0757000000000003"/>
  </r>
  <r>
    <x v="4"/>
    <x v="2"/>
    <d v="2022-03-15T00:00:00"/>
    <n v="758"/>
    <n v="1658.75"/>
    <n v="484"/>
    <n v="1154.25"/>
    <n v="73.680000000000007"/>
    <n v="5.1631"/>
  </r>
  <r>
    <x v="4"/>
    <x v="2"/>
    <d v="2022-03-14T00:00:00"/>
    <n v="728.25"/>
    <n v="1687.25"/>
    <n v="521.9"/>
    <n v="1090"/>
    <n v="78.73"/>
    <n v="5.1193"/>
  </r>
  <r>
    <x v="4"/>
    <x v="2"/>
    <d v="2022-03-11T00:00:00"/>
    <n v="764.5"/>
    <n v="1690.75"/>
    <n v="493.1"/>
    <n v="1090"/>
    <n v="82.18"/>
    <n v="5.0744999999999996"/>
  </r>
  <r>
    <x v="4"/>
    <x v="2"/>
    <d v="2022-03-10T00:00:00"/>
    <n v="757.75"/>
    <n v="1700"/>
    <n v="506.8"/>
    <n v="1073.75"/>
    <n v="80.849999999999994"/>
    <n v="5.0110000000000001"/>
  </r>
  <r>
    <x v="4"/>
    <x v="2"/>
    <d v="2022-03-09T00:00:00"/>
    <n v="735"/>
    <n v="1686.5"/>
    <n v="495"/>
    <n v="1199.5"/>
    <n v="80.069999999999993"/>
    <n v="5.0122999999999998"/>
  </r>
  <r>
    <x v="4"/>
    <x v="2"/>
    <d v="2022-03-08T00:00:00"/>
    <n v="754.5"/>
    <n v="1704.5"/>
    <n v="489.9"/>
    <n v="1273"/>
    <n v="79.680000000000007"/>
    <n v="5.0598999999999998"/>
  </r>
  <r>
    <x v="4"/>
    <x v="2"/>
    <d v="2022-03-07T00:00:00"/>
    <n v="749.25"/>
    <n v="1674.25"/>
    <n v="467.9"/>
    <n v="1425.25"/>
    <n v="78.150000000000006"/>
    <n v="5.1115000000000004"/>
  </r>
  <r>
    <x v="4"/>
    <x v="2"/>
    <d v="2022-03-04T00:00:00"/>
    <n v="756.5"/>
    <n v="1676.25"/>
    <n v="468.9"/>
    <n v="1348"/>
    <n v="76.8"/>
    <n v="5.0620000000000003"/>
  </r>
  <r>
    <x v="4"/>
    <x v="2"/>
    <d v="2022-03-03T00:00:00"/>
    <n v="751.25"/>
    <n v="1680.25"/>
    <n v="461.4"/>
    <n v="1289"/>
    <n v="78.3"/>
    <n v="5.032"/>
  </r>
  <r>
    <x v="4"/>
    <x v="2"/>
    <d v="2022-03-02T00:00:00"/>
    <n v="739"/>
    <n v="1677.5"/>
    <n v="457.7"/>
    <n v="1058.5"/>
    <n v="79.540000000000006"/>
    <n v="5.0994999999999999"/>
  </r>
  <r>
    <x v="4"/>
    <x v="2"/>
    <d v="2022-03-01T00:00:00"/>
    <n v="739.75"/>
    <n v="1705.5"/>
    <n v="463.7"/>
    <n v="1001.75"/>
    <n v="76.8"/>
    <n v="5.1595000000000004"/>
  </r>
  <r>
    <x v="4"/>
    <x v="3"/>
    <d v="2022-02-28T00:00:00"/>
    <n v="697.5"/>
    <n v="1644.25"/>
    <n v="454.9"/>
    <n v="928"/>
    <n v="72.89"/>
    <n v="5.1599000000000004"/>
  </r>
  <r>
    <x v="4"/>
    <x v="3"/>
    <d v="2022-02-25T00:00:00"/>
    <n v="659.5"/>
    <n v="1590.25"/>
    <n v="448.3"/>
    <n v="843"/>
    <n v="68.75"/>
    <n v="5.1623000000000001"/>
  </r>
  <r>
    <x v="4"/>
    <x v="3"/>
    <d v="2022-02-24T00:00:00"/>
    <n v="695"/>
    <n v="1661.5"/>
    <n v="464.9"/>
    <n v="926"/>
    <n v="72"/>
    <n v="5.1231"/>
  </r>
  <r>
    <x v="4"/>
    <x v="3"/>
    <d v="2022-02-23T00:00:00"/>
    <n v="683.75"/>
    <n v="1675"/>
    <n v="471.1"/>
    <n v="876"/>
    <n v="70.72"/>
    <n v="5.0096999999999996"/>
  </r>
  <r>
    <x v="4"/>
    <x v="3"/>
    <d v="2022-02-22T00:00:00"/>
    <n v="674.75"/>
    <n v="1635"/>
    <n v="453.7"/>
    <n v="844.25"/>
    <n v="70.150000000000006"/>
    <n v="5.0583"/>
  </r>
  <r>
    <x v="4"/>
    <x v="3"/>
    <d v="2022-02-21T00:00:00"/>
    <m/>
    <m/>
    <m/>
    <m/>
    <m/>
    <n v="5.1036000000000001"/>
  </r>
  <r>
    <x v="4"/>
    <x v="3"/>
    <d v="2022-02-18T00:00:00"/>
    <n v="654.25"/>
    <n v="1601.5"/>
    <n v="447.9"/>
    <n v="797"/>
    <n v="67.569999999999993"/>
    <n v="5.1384999999999996"/>
  </r>
  <r>
    <x v="4"/>
    <x v="3"/>
    <d v="2022-02-17T00:00:00"/>
    <n v="650"/>
    <n v="1592"/>
    <n v="449.2"/>
    <n v="798"/>
    <n v="66.81"/>
    <n v="5.1718000000000002"/>
  </r>
  <r>
    <x v="4"/>
    <x v="3"/>
    <d v="2022-02-16T00:00:00"/>
    <n v="647"/>
    <n v="1587.5"/>
    <n v="449.4"/>
    <n v="780.5"/>
    <n v="66.97"/>
    <n v="5.1364999999999998"/>
  </r>
  <r>
    <x v="4"/>
    <x v="3"/>
    <d v="2022-02-15T00:00:00"/>
    <n v="638"/>
    <n v="1551.25"/>
    <n v="438.8"/>
    <n v="779.75"/>
    <n v="65.63"/>
    <n v="5.1589999999999998"/>
  </r>
  <r>
    <x v="4"/>
    <x v="3"/>
    <d v="2022-02-14T00:00:00"/>
    <n v="655.75"/>
    <n v="1570"/>
    <n v="448.4"/>
    <n v="799.25"/>
    <n v="65.81"/>
    <n v="5.2149000000000001"/>
  </r>
  <r>
    <x v="4"/>
    <x v="3"/>
    <d v="2022-02-11T00:00:00"/>
    <n v="651"/>
    <n v="1583"/>
    <n v="456.6"/>
    <n v="797.75"/>
    <n v="65.72"/>
    <n v="5.2526999999999999"/>
  </r>
  <r>
    <x v="4"/>
    <x v="3"/>
    <d v="2022-02-10T00:00:00"/>
    <n v="641.75"/>
    <n v="1574.25"/>
    <n v="454"/>
    <n v="771.5"/>
    <n v="64.510000000000005"/>
    <n v="5.2496"/>
  </r>
  <r>
    <x v="4"/>
    <x v="3"/>
    <d v="2022-02-09T00:00:00"/>
    <n v="646.75"/>
    <n v="1594.75"/>
    <n v="461.9"/>
    <n v="785"/>
    <n v="64.099999999999994"/>
    <n v="5.2354000000000003"/>
  </r>
  <r>
    <x v="4"/>
    <x v="3"/>
    <d v="2022-02-08T00:00:00"/>
    <n v="632.25"/>
    <n v="1569"/>
    <n v="454.1"/>
    <n v="778.75"/>
    <n v="63.35"/>
    <n v="5.2592999999999996"/>
  </r>
  <r>
    <x v="4"/>
    <x v="3"/>
    <d v="2022-02-07T00:00:00"/>
    <n v="635.25"/>
    <n v="1581.75"/>
    <n v="452.8"/>
    <n v="768.75"/>
    <n v="65.34"/>
    <n v="5.2636000000000003"/>
  </r>
  <r>
    <x v="4"/>
    <x v="3"/>
    <d v="2022-02-04T00:00:00"/>
    <n v="620.5"/>
    <n v="1553.5"/>
    <n v="443.9"/>
    <n v="763.25"/>
    <n v="65.36"/>
    <n v="5.3278999999999996"/>
  </r>
  <r>
    <x v="4"/>
    <x v="3"/>
    <d v="2022-02-03T00:00:00"/>
    <n v="616.75"/>
    <n v="1544.25"/>
    <n v="437.1"/>
    <n v="751.75"/>
    <n v="65.75"/>
    <n v="5.2839"/>
  </r>
  <r>
    <x v="4"/>
    <x v="3"/>
    <d v="2022-02-02T00:00:00"/>
    <n v="622.5"/>
    <n v="1545.25"/>
    <n v="435.1"/>
    <n v="755"/>
    <n v="65.98"/>
    <n v="5.2619999999999996"/>
  </r>
  <r>
    <x v="4"/>
    <x v="3"/>
    <d v="2022-02-01T00:00:00"/>
    <n v="634.75"/>
    <n v="1528.5"/>
    <n v="436"/>
    <n v="769"/>
    <n v="65.83"/>
    <n v="5.2655000000000003"/>
  </r>
  <r>
    <x v="4"/>
    <x v="4"/>
    <d v="2022-01-31T00:00:00"/>
    <n v="626"/>
    <n v="1490.5"/>
    <n v="418.9"/>
    <n v="761.25"/>
    <n v="64.819999999999993"/>
    <n v="5.3041"/>
  </r>
  <r>
    <x v="4"/>
    <x v="4"/>
    <d v="2022-01-28T00:00:00"/>
    <n v="636"/>
    <n v="1470"/>
    <n v="411.2"/>
    <n v="786.25"/>
    <n v="65.27"/>
    <n v="5.3673999999999999"/>
  </r>
  <r>
    <x v="4"/>
    <x v="4"/>
    <d v="2022-01-27T00:00:00"/>
    <n v="625.25"/>
    <n v="1448.25"/>
    <n v="404.7"/>
    <n v="777"/>
    <n v="64.34"/>
    <n v="5.4065000000000003"/>
  </r>
  <r>
    <x v="4"/>
    <x v="4"/>
    <d v="2022-01-26T00:00:00"/>
    <n v="627"/>
    <n v="1440"/>
    <n v="400.5"/>
    <n v="795"/>
    <n v="63.93"/>
    <n v="5.4324000000000003"/>
  </r>
  <r>
    <x v="4"/>
    <x v="4"/>
    <d v="2022-01-25T00:00:00"/>
    <n v="620"/>
    <n v="1407.25"/>
    <n v="392"/>
    <n v="818"/>
    <n v="62.51"/>
    <n v="5.4436999999999998"/>
  </r>
  <r>
    <x v="4"/>
    <x v="4"/>
    <d v="2022-01-24T00:00:00"/>
    <n v="621"/>
    <n v="1403"/>
    <n v="393.9"/>
    <n v="800.5"/>
    <n v="61.97"/>
    <n v="5.4877000000000002"/>
  </r>
  <r>
    <x v="4"/>
    <x v="4"/>
    <d v="2022-01-21T00:00:00"/>
    <n v="616.25"/>
    <n v="1414.25"/>
    <n v="392.7"/>
    <n v="780"/>
    <n v="63"/>
    <n v="5.4581999999999997"/>
  </r>
  <r>
    <x v="4"/>
    <x v="4"/>
    <d v="2022-01-20T00:00:00"/>
    <n v="611"/>
    <n v="1425.75"/>
    <n v="400.8"/>
    <n v="790.25"/>
    <n v="62.88"/>
    <n v="5.4191000000000003"/>
  </r>
  <r>
    <x v="4"/>
    <x v="4"/>
    <d v="2022-01-19T00:00:00"/>
    <n v="610.5"/>
    <n v="1391.25"/>
    <n v="398.3"/>
    <n v="796.5"/>
    <n v="60.76"/>
    <n v="5.4382999999999999"/>
  </r>
  <r>
    <x v="4"/>
    <x v="4"/>
    <d v="2022-01-18T00:00:00"/>
    <n v="599.5"/>
    <n v="1361.25"/>
    <n v="390.1"/>
    <n v="769"/>
    <n v="59.08"/>
    <n v="5.5666000000000002"/>
  </r>
  <r>
    <x v="4"/>
    <x v="4"/>
    <d v="2022-01-17T00:00:00"/>
    <m/>
    <m/>
    <m/>
    <m/>
    <m/>
    <n v="5.5164999999999997"/>
  </r>
  <r>
    <x v="4"/>
    <x v="4"/>
    <d v="2022-01-14T00:00:00"/>
    <n v="596.25"/>
    <n v="1356.75"/>
    <n v="445"/>
    <n v="741.5"/>
    <n v="58.15"/>
    <n v="5.5343999999999998"/>
  </r>
  <r>
    <x v="4"/>
    <x v="4"/>
    <d v="2022-01-13T00:00:00"/>
    <n v="587.5"/>
    <n v="1365.25"/>
    <n v="423.7"/>
    <n v="746.75"/>
    <n v="58.18"/>
    <n v="5.5286"/>
  </r>
  <r>
    <x v="4"/>
    <x v="4"/>
    <d v="2022-01-12T00:00:00"/>
    <n v="599"/>
    <n v="1391.25"/>
    <n v="431"/>
    <n v="757.75"/>
    <n v="59.28"/>
    <n v="5.5338000000000003"/>
  </r>
  <r>
    <x v="4"/>
    <x v="4"/>
    <d v="2022-01-11T00:00:00"/>
    <n v="601"/>
    <n v="1376.75"/>
    <n v="427.3"/>
    <n v="770.25"/>
    <n v="58.89"/>
    <n v="5.5686"/>
  </r>
  <r>
    <x v="4"/>
    <x v="4"/>
    <d v="2022-01-10T00:00:00"/>
    <n v="599.75"/>
    <n v="1374.75"/>
    <n v="427.6"/>
    <n v="762"/>
    <n v="57.89"/>
    <n v="5.6632999999999996"/>
  </r>
  <r>
    <x v="4"/>
    <x v="4"/>
    <d v="2022-01-07T00:00:00"/>
    <n v="606.75"/>
    <n v="1401.5"/>
    <n v="433.5"/>
    <n v="758.5"/>
    <n v="58.63"/>
    <n v="5.6355000000000004"/>
  </r>
  <r>
    <x v="4"/>
    <x v="4"/>
    <d v="2022-01-06T00:00:00"/>
    <n v="603.75"/>
    <n v="1377.25"/>
    <n v="420.4"/>
    <n v="746"/>
    <n v="58.78"/>
    <n v="5.6833999999999998"/>
  </r>
  <r>
    <x v="4"/>
    <x v="4"/>
    <d v="2022-01-05T00:00:00"/>
    <n v="602.25"/>
    <n v="1384.25"/>
    <n v="424.1"/>
    <n v="760.75"/>
    <n v="59.32"/>
    <n v="5.7087000000000003"/>
  </r>
  <r>
    <x v="4"/>
    <x v="4"/>
    <d v="2022-01-04T00:00:00"/>
    <n v="609.5"/>
    <n v="1378.75"/>
    <n v="427.6"/>
    <n v="770"/>
    <n v="58.14"/>
    <n v="5.6769999999999996"/>
  </r>
  <r>
    <x v="4"/>
    <x v="4"/>
    <d v="2022-01-03T00:00:00"/>
    <n v="589.25"/>
    <n v="1344"/>
    <n v="423.9"/>
    <n v="758"/>
    <n v="56.21"/>
    <n v="5.6818"/>
  </r>
  <r>
    <x v="5"/>
    <x v="5"/>
    <d v="2021-12-31T00:00:00"/>
    <n v="593.25"/>
    <n v="1328.75"/>
    <n v="411.7"/>
    <n v="770.75"/>
    <n v="56.3"/>
    <n v="5.5702999999999996"/>
  </r>
  <r>
    <x v="5"/>
    <x v="5"/>
    <d v="2021-12-30T00:00:00"/>
    <n v="596"/>
    <n v="1327.75"/>
    <n v="413.6"/>
    <n v="779.75"/>
    <n v="55.85"/>
    <n v="5.5709999999999997"/>
  </r>
  <r>
    <x v="5"/>
    <x v="5"/>
    <d v="2021-12-29T00:00:00"/>
    <n v="605.5"/>
    <n v="1356.5"/>
    <n v="415.4"/>
    <n v="787.75"/>
    <n v="56.7"/>
    <n v="5.7031999999999998"/>
  </r>
  <r>
    <x v="5"/>
    <x v="5"/>
    <d v="2021-12-28T00:00:00"/>
    <n v="604.75"/>
    <n v="1359.25"/>
    <n v="415.9"/>
    <n v="783.5"/>
    <n v="56.55"/>
    <n v="5.6283000000000003"/>
  </r>
  <r>
    <x v="5"/>
    <x v="5"/>
    <d v="2021-12-27T00:00:00"/>
    <n v="614.75"/>
    <n v="1362.5"/>
    <n v="414.8"/>
    <n v="804"/>
    <n v="56.72"/>
    <n v="5.6249000000000002"/>
  </r>
  <r>
    <x v="5"/>
    <x v="5"/>
    <d v="2021-12-24T00:00:00"/>
    <m/>
    <m/>
    <m/>
    <m/>
    <m/>
    <n v="5.6749999999999998"/>
  </r>
  <r>
    <x v="5"/>
    <x v="5"/>
    <d v="2021-12-23T00:00:00"/>
    <n v="605.75"/>
    <n v="1332"/>
    <n v="406.1"/>
    <n v="814.75"/>
    <n v="55.44"/>
    <n v="5.6749000000000001"/>
  </r>
  <r>
    <x v="5"/>
    <x v="5"/>
    <d v="2021-12-22T00:00:00"/>
    <n v="602.5"/>
    <n v="1328.75"/>
    <n v="402.8"/>
    <n v="814"/>
    <n v="54.83"/>
    <n v="5.6539999999999999"/>
  </r>
  <r>
    <x v="5"/>
    <x v="5"/>
    <d v="2021-12-21T00:00:00"/>
    <n v="598.25"/>
    <n v="1308"/>
    <n v="394"/>
    <n v="799"/>
    <n v="53.9"/>
    <n v="5.7450999999999999"/>
  </r>
  <r>
    <x v="5"/>
    <x v="5"/>
    <d v="2021-12-20T00:00:00"/>
    <n v="591"/>
    <n v="1292.25"/>
    <n v="386.2"/>
    <n v="777.75"/>
    <n v="52.94"/>
    <n v="5.742"/>
  </r>
  <r>
    <x v="5"/>
    <x v="5"/>
    <d v="2021-12-17T00:00:00"/>
    <n v="593.25"/>
    <n v="1285.25"/>
    <n v="379.5"/>
    <n v="775"/>
    <n v="53.88"/>
    <n v="5.6959"/>
  </r>
  <r>
    <x v="5"/>
    <x v="5"/>
    <d v="2021-12-16T00:00:00"/>
    <n v="591.25"/>
    <n v="1277.25"/>
    <n v="372.3"/>
    <n v="770.5"/>
    <n v="54.65"/>
    <n v="5.6883999999999997"/>
  </r>
  <r>
    <x v="5"/>
    <x v="5"/>
    <d v="2021-12-15T00:00:00"/>
    <n v="585.75"/>
    <n v="1262.5"/>
    <n v="372.2"/>
    <n v="756"/>
    <n v="53.47"/>
    <n v="5.6806000000000001"/>
  </r>
  <r>
    <x v="5"/>
    <x v="5"/>
    <d v="2021-12-14T00:00:00"/>
    <n v="588.75"/>
    <n v="1259.5"/>
    <n v="404.5"/>
    <n v="785.5"/>
    <n v="52.01"/>
    <n v="5.6814999999999998"/>
  </r>
  <r>
    <x v="5"/>
    <x v="5"/>
    <d v="2021-12-13T00:00:00"/>
    <n v="584.25"/>
    <n v="1244"/>
    <n v="384"/>
    <n v="785.5"/>
    <n v="53.24"/>
    <n v="5.6803999999999997"/>
  </r>
  <r>
    <x v="5"/>
    <x v="5"/>
    <d v="2021-12-10T00:00:00"/>
    <n v="588.5"/>
    <n v="1267.75"/>
    <n v="377.9"/>
    <n v="782"/>
    <n v="53.59"/>
    <n v="5.6127000000000002"/>
  </r>
  <r>
    <x v="5"/>
    <x v="5"/>
    <d v="2021-12-09T00:00:00"/>
    <n v="588.5"/>
    <n v="1264.5"/>
    <n v="368.8"/>
    <n v="773.5"/>
    <n v="54.79"/>
    <n v="5.5727000000000002"/>
  </r>
  <r>
    <x v="5"/>
    <x v="5"/>
    <d v="2021-12-08T00:00:00"/>
    <n v="584.75"/>
    <n v="1261"/>
    <n v="365.6"/>
    <n v="791.25"/>
    <n v="55.46"/>
    <n v="5.5327000000000002"/>
  </r>
  <r>
    <x v="5"/>
    <x v="5"/>
    <d v="2021-12-07T00:00:00"/>
    <n v="586.25"/>
    <n v="1250.25"/>
    <n v="358.9"/>
    <n v="799.25"/>
    <n v="57.04"/>
    <n v="5.6128"/>
  </r>
  <r>
    <x v="5"/>
    <x v="5"/>
    <d v="2021-12-06T00:00:00"/>
    <n v="583.5"/>
    <n v="1261.5"/>
    <n v="359.7"/>
    <n v="797"/>
    <n v="57.79"/>
    <n v="5.6890999999999998"/>
  </r>
  <r>
    <x v="5"/>
    <x v="5"/>
    <d v="2021-12-03T00:00:00"/>
    <n v="586"/>
    <n v="1267.25"/>
    <n v="367.7"/>
    <n v="794.5"/>
    <n v="57.1"/>
    <n v="5.6532"/>
  </r>
  <r>
    <x v="5"/>
    <x v="5"/>
    <d v="2021-12-02T00:00:00"/>
    <n v="577"/>
    <n v="1244.25"/>
    <n v="358"/>
    <n v="806.5"/>
    <n v="56.23"/>
    <n v="5.6462000000000003"/>
  </r>
  <r>
    <x v="5"/>
    <x v="5"/>
    <d v="2021-12-01T00:00:00"/>
    <n v="572"/>
    <n v="1228.25"/>
    <n v="356.5"/>
    <n v="778.5"/>
    <n v="55.05"/>
    <n v="5.6955"/>
  </r>
  <r>
    <x v="5"/>
    <x v="6"/>
    <d v="2021-11-30T00:00:00"/>
    <n v="567"/>
    <n v="1217.25"/>
    <n v="348.8"/>
    <n v="773.75"/>
    <n v="55.11"/>
    <n v="5.6238999999999999"/>
  </r>
  <r>
    <x v="5"/>
    <x v="6"/>
    <d v="2021-11-29T00:00:00"/>
    <n v="581"/>
    <n v="1241.5"/>
    <n v="347.7"/>
    <n v="807.5"/>
    <n v="58.26"/>
    <n v="5.6017000000000001"/>
  </r>
  <r>
    <x v="5"/>
    <x v="6"/>
    <d v="2021-11-26T00:00:00"/>
    <n v="586.75"/>
    <n v="1252.75"/>
    <n v="356.2"/>
    <n v="825.5"/>
    <n v="59.02"/>
    <n v="5.6093000000000002"/>
  </r>
  <r>
    <x v="5"/>
    <x v="6"/>
    <d v="2021-11-25T00:00:00"/>
    <m/>
    <m/>
    <m/>
    <m/>
    <m/>
    <n v="5.5663999999999998"/>
  </r>
  <r>
    <x v="5"/>
    <x v="6"/>
    <d v="2021-11-24T00:00:00"/>
    <n v="579.75"/>
    <n v="1266.5"/>
    <n v="357.6"/>
    <n v="836.75"/>
    <n v="60.94"/>
    <n v="5.6060999999999996"/>
  </r>
  <r>
    <x v="5"/>
    <x v="6"/>
    <d v="2021-11-23T00:00:00"/>
    <n v="580.5"/>
    <n v="1273"/>
    <n v="362.2"/>
    <n v="856"/>
    <n v="60.14"/>
    <n v="5.5712000000000002"/>
  </r>
  <r>
    <x v="5"/>
    <x v="6"/>
    <d v="2021-11-22T00:00:00"/>
    <n v="576.75"/>
    <n v="1274.25"/>
    <n v="370"/>
    <n v="845.75"/>
    <n v="59.41"/>
    <n v="5.5865"/>
  </r>
  <r>
    <x v="5"/>
    <x v="6"/>
    <d v="2021-11-19T00:00:00"/>
    <n v="570.75"/>
    <n v="1263.25"/>
    <n v="371.8"/>
    <n v="823"/>
    <n v="58.16"/>
    <n v="5.6135000000000002"/>
  </r>
  <r>
    <x v="5"/>
    <x v="6"/>
    <d v="2021-11-18T00:00:00"/>
    <n v="573"/>
    <n v="1265.25"/>
    <n v="370.4"/>
    <n v="820"/>
    <n v="59.17"/>
    <n v="5.5575999999999999"/>
  </r>
  <r>
    <x v="5"/>
    <x v="6"/>
    <d v="2021-11-17T00:00:00"/>
    <n v="575.25"/>
    <n v="1277"/>
    <n v="374.7"/>
    <n v="822.25"/>
    <n v="59.23"/>
    <n v="5.5292000000000003"/>
  </r>
  <r>
    <x v="5"/>
    <x v="6"/>
    <d v="2021-11-16T00:00:00"/>
    <n v="571"/>
    <n v="1251.25"/>
    <n v="367.5"/>
    <n v="810.25"/>
    <n v="59.17"/>
    <n v="5.5027999999999997"/>
  </r>
  <r>
    <x v="5"/>
    <x v="6"/>
    <d v="2021-11-15T00:00:00"/>
    <n v="576.5"/>
    <n v="1257.25"/>
    <n v="371.7"/>
    <n v="826.25"/>
    <n v="58.2"/>
    <n v="5.4574999999999996"/>
  </r>
  <r>
    <x v="5"/>
    <x v="6"/>
    <d v="2021-11-12T00:00:00"/>
    <n v="577.25"/>
    <n v="1234"/>
    <n v="362.1"/>
    <n v="817"/>
    <n v="58.97"/>
    <n v="5.4588000000000001"/>
  </r>
  <r>
    <x v="5"/>
    <x v="6"/>
    <d v="2021-11-11T00:00:00"/>
    <n v="569.5"/>
    <n v="1212.25"/>
    <n v="344.5"/>
    <n v="812.5"/>
    <n v="59.14"/>
    <n v="5.3989000000000003"/>
  </r>
  <r>
    <x v="5"/>
    <x v="6"/>
    <d v="2021-11-10T00:00:00"/>
    <n v="569.25"/>
    <n v="1203.5"/>
    <n v="342.4"/>
    <n v="803"/>
    <n v="59.14"/>
    <n v="5.4909999999999997"/>
  </r>
  <r>
    <x v="5"/>
    <x v="6"/>
    <d v="2021-11-09T00:00:00"/>
    <n v="554.75"/>
    <n v="1199.5"/>
    <n v="342.5"/>
    <n v="778.5"/>
    <n v="58.47"/>
    <n v="5.4804000000000004"/>
  </r>
  <r>
    <x v="5"/>
    <x v="6"/>
    <d v="2021-11-08T00:00:00"/>
    <n v="551.5"/>
    <n v="1178"/>
    <n v="331.8"/>
    <n v="768"/>
    <n v="58.05"/>
    <n v="5.5439999999999996"/>
  </r>
  <r>
    <x v="5"/>
    <x v="6"/>
    <d v="2021-11-05T00:00:00"/>
    <n v="553"/>
    <n v="1192.25"/>
    <n v="332.7"/>
    <n v="766.5"/>
    <n v="58.78"/>
    <n v="5.5427999999999997"/>
  </r>
  <r>
    <x v="5"/>
    <x v="6"/>
    <d v="2021-11-04T00:00:00"/>
    <n v="559.25"/>
    <n v="1209.25"/>
    <n v="335.8"/>
    <n v="773.75"/>
    <n v="59.58"/>
    <n v="5.6020000000000003"/>
  </r>
  <r>
    <x v="5"/>
    <x v="6"/>
    <d v="2021-11-03T00:00:00"/>
    <n v="564"/>
    <n v="1231.5"/>
    <n v="340.8"/>
    <n v="781"/>
    <n v="61.03"/>
    <n v="5.5525000000000002"/>
  </r>
  <r>
    <x v="5"/>
    <x v="6"/>
    <d v="2021-11-02T00:00:00"/>
    <n v="573"/>
    <n v="1244"/>
    <n v="337.2"/>
    <n v="791.5"/>
    <n v="61.99"/>
    <n v="5.6795"/>
  </r>
  <r>
    <x v="5"/>
    <x v="6"/>
    <d v="2021-11-01T00:00:00"/>
    <n v="579"/>
    <n v="1236.75"/>
    <n v="329.1"/>
    <n v="797.25"/>
    <n v="61.97"/>
    <n v="5.6814999999999998"/>
  </r>
  <r>
    <x v="5"/>
    <x v="7"/>
    <d v="2021-10-29T00:00:00"/>
    <n v="568.25"/>
    <n v="1235.75"/>
    <n v="332.6"/>
    <n v="772.75"/>
    <n v="61.27"/>
    <n v="5.6372"/>
  </r>
  <r>
    <x v="5"/>
    <x v="7"/>
    <d v="2021-10-28T00:00:00"/>
    <n v="562.75"/>
    <n v="1233.75"/>
    <n v="330.9"/>
    <n v="772.5"/>
    <n v="60.87"/>
    <n v="5.6463999999999999"/>
  </r>
  <r>
    <x v="5"/>
    <x v="7"/>
    <d v="2021-10-27T00:00:00"/>
    <n v="557.25"/>
    <n v="1239.25"/>
    <n v="330.9"/>
    <n v="759.75"/>
    <n v="61.42"/>
    <n v="5.5380000000000003"/>
  </r>
  <r>
    <x v="5"/>
    <x v="7"/>
    <d v="2021-10-26T00:00:00"/>
    <n v="543.5"/>
    <n v="1238"/>
    <n v="326.89999999999998"/>
    <n v="752.25"/>
    <n v="62.31"/>
    <n v="5.5666000000000002"/>
  </r>
  <r>
    <x v="5"/>
    <x v="7"/>
    <d v="2021-10-25T00:00:00"/>
    <n v="538"/>
    <n v="1237.25"/>
    <n v="327.2"/>
    <n v="759.5"/>
    <n v="63.14"/>
    <n v="5.5563000000000002"/>
  </r>
  <r>
    <x v="5"/>
    <x v="7"/>
    <d v="2021-10-22T00:00:00"/>
    <n v="538"/>
    <n v="1220.5"/>
    <n v="327.39999999999998"/>
    <n v="756"/>
    <n v="62.09"/>
    <n v="5.6474000000000002"/>
  </r>
  <r>
    <x v="5"/>
    <x v="7"/>
    <d v="2021-10-21T00:00:00"/>
    <n v="532.25"/>
    <n v="1224"/>
    <n v="324"/>
    <n v="741.25"/>
    <n v="62.58"/>
    <n v="5.6577000000000002"/>
  </r>
  <r>
    <x v="5"/>
    <x v="7"/>
    <d v="2021-10-20T00:00:00"/>
    <n v="539.25"/>
    <n v="1245.5"/>
    <n v="328.4"/>
    <n v="749.25"/>
    <n v="64.7"/>
    <n v="5.5975000000000001"/>
  </r>
  <r>
    <x v="5"/>
    <x v="7"/>
    <d v="2021-10-19T00:00:00"/>
    <n v="530.25"/>
    <n v="1228"/>
    <n v="322.60000000000002"/>
    <n v="736"/>
    <n v="62.39"/>
    <n v="5.5843999999999996"/>
  </r>
  <r>
    <x v="5"/>
    <x v="7"/>
    <d v="2021-10-18T00:00:00"/>
    <n v="532.75"/>
    <n v="1221.5"/>
    <n v="317.89999999999998"/>
    <n v="736.25"/>
    <n v="62.02"/>
    <n v="5.5117000000000003"/>
  </r>
  <r>
    <x v="5"/>
    <x v="7"/>
    <d v="2021-10-15T00:00:00"/>
    <n v="525.75"/>
    <n v="1217.75"/>
    <n v="316.60000000000002"/>
    <n v="734"/>
    <n v="61.29"/>
    <n v="5.4611000000000001"/>
  </r>
  <r>
    <x v="5"/>
    <x v="7"/>
    <d v="2021-10-14T00:00:00"/>
    <n v="516.75"/>
    <n v="1206.25"/>
    <n v="317.10000000000002"/>
    <n v="724.75"/>
    <n v="59.94"/>
    <n v="5.5132000000000003"/>
  </r>
  <r>
    <x v="5"/>
    <x v="7"/>
    <d v="2021-10-13T00:00:00"/>
    <n v="512.25"/>
    <n v="1195.25"/>
    <n v="313.39999999999998"/>
    <n v="718.75"/>
    <n v="59.36"/>
    <n v="5.5133000000000001"/>
  </r>
  <r>
    <x v="5"/>
    <x v="7"/>
    <d v="2021-10-12T00:00:00"/>
    <n v="522.5"/>
    <n v="1198.25"/>
    <n v="312.89999999999998"/>
    <n v="734"/>
    <n v="58.62"/>
    <n v="5.5324999999999998"/>
  </r>
  <r>
    <x v="5"/>
    <x v="7"/>
    <d v="2021-10-11T00:00:00"/>
    <n v="533"/>
    <n v="1228.25"/>
    <n v="316.2"/>
    <n v="731.75"/>
    <n v="60.29"/>
    <n v="5.5366999999999997"/>
  </r>
  <r>
    <x v="5"/>
    <x v="7"/>
    <d v="2021-10-08T00:00:00"/>
    <n v="530.5"/>
    <n v="1243"/>
    <n v="317.5"/>
    <n v="734"/>
    <n v="61.33"/>
    <n v="5.5082000000000004"/>
  </r>
  <r>
    <x v="5"/>
    <x v="7"/>
    <d v="2021-10-07T00:00:00"/>
    <n v="534"/>
    <n v="1247.25"/>
    <n v="318.8"/>
    <n v="741.25"/>
    <n v="61.9"/>
    <n v="5.5187999999999997"/>
  </r>
  <r>
    <x v="5"/>
    <x v="7"/>
    <d v="2021-10-06T00:00:00"/>
    <n v="532.25"/>
    <n v="1242"/>
    <n v="321.60000000000002"/>
    <n v="746"/>
    <n v="60.07"/>
    <n v="5.4912000000000001"/>
  </r>
  <r>
    <x v="5"/>
    <x v="7"/>
    <d v="2021-10-05T00:00:00"/>
    <n v="537.5"/>
    <n v="1250.5"/>
    <n v="320.2"/>
    <n v="744.75"/>
    <n v="60.89"/>
    <n v="5.4748000000000001"/>
  </r>
  <r>
    <x v="5"/>
    <x v="7"/>
    <d v="2021-10-04T00:00:00"/>
    <n v="540.75"/>
    <n v="1235.75"/>
    <n v="322.10000000000002"/>
    <n v="756.5"/>
    <n v="58.57"/>
    <n v="5.4535"/>
  </r>
  <r>
    <x v="5"/>
    <x v="7"/>
    <d v="2021-10-01T00:00:00"/>
    <n v="541.5"/>
    <n v="1246.5"/>
    <n v="325"/>
    <n v="755.25"/>
    <n v="58.61"/>
    <n v="5.3628"/>
  </r>
  <r>
    <x v="5"/>
    <x v="8"/>
    <d v="2021-09-30T00:00:00"/>
    <n v="536.75"/>
    <n v="1256"/>
    <n v="326.2"/>
    <n v="725.5"/>
    <n v="58.79"/>
    <n v="5.4428000000000001"/>
  </r>
  <r>
    <x v="5"/>
    <x v="8"/>
    <d v="2021-09-29T00:00:00"/>
    <n v="539"/>
    <n v="1283.75"/>
    <n v="338.1"/>
    <n v="710.25"/>
    <n v="57.78"/>
    <n v="5.4151999999999996"/>
  </r>
  <r>
    <x v="5"/>
    <x v="8"/>
    <d v="2021-09-28T00:00:00"/>
    <n v="532.5"/>
    <n v="1277"/>
    <n v="337.3"/>
    <n v="706.5"/>
    <n v="57.77"/>
    <n v="5.4292999999999996"/>
  </r>
  <r>
    <x v="5"/>
    <x v="8"/>
    <d v="2021-09-27T00:00:00"/>
    <n v="539.5"/>
    <n v="1287.5"/>
    <n v="337.3"/>
    <n v="722.25"/>
    <n v="58.3"/>
    <n v="5.3914"/>
  </r>
  <r>
    <x v="5"/>
    <x v="8"/>
    <d v="2021-09-24T00:00:00"/>
    <n v="526.75"/>
    <n v="1285"/>
    <n v="336.1"/>
    <n v="723.75"/>
    <n v="57.97"/>
    <n v="5.3343999999999996"/>
  </r>
  <r>
    <x v="5"/>
    <x v="8"/>
    <d v="2021-09-23T00:00:00"/>
    <n v="529.25"/>
    <n v="1284.25"/>
    <n v="336.6"/>
    <n v="717.75"/>
    <n v="57.1"/>
    <n v="5.3029999999999999"/>
  </r>
  <r>
    <x v="5"/>
    <x v="8"/>
    <d v="2021-09-22T00:00:00"/>
    <n v="525.5"/>
    <n v="1282.75"/>
    <n v="337.9"/>
    <n v="705.75"/>
    <n v="56.39"/>
    <n v="5.2888000000000002"/>
  </r>
  <r>
    <x v="5"/>
    <x v="8"/>
    <d v="2021-09-21T00:00:00"/>
    <n v="517"/>
    <n v="1274"/>
    <n v="337.9"/>
    <n v="690.25"/>
    <n v="55.32"/>
    <n v="5.2698999999999998"/>
  </r>
  <r>
    <x v="5"/>
    <x v="8"/>
    <d v="2021-09-20T00:00:00"/>
    <n v="521.75"/>
    <n v="1262.5"/>
    <n v="336.1"/>
    <n v="700.75"/>
    <n v="54.91"/>
    <n v="5.3239999999999998"/>
  </r>
  <r>
    <x v="5"/>
    <x v="8"/>
    <d v="2021-09-17T00:00:00"/>
    <n v="527.25"/>
    <n v="1284"/>
    <n v="338.5"/>
    <n v="708.75"/>
    <n v="56.29"/>
    <n v="5.2882999999999996"/>
  </r>
  <r>
    <x v="5"/>
    <x v="8"/>
    <d v="2021-09-16T00:00:00"/>
    <n v="529.5"/>
    <n v="1296"/>
    <n v="340.2"/>
    <n v="713"/>
    <n v="56.83"/>
    <n v="5.2534999999999998"/>
  </r>
  <r>
    <x v="5"/>
    <x v="8"/>
    <d v="2021-09-15T00:00:00"/>
    <n v="533.5"/>
    <n v="1294.5"/>
    <n v="335.9"/>
    <n v="712.25"/>
    <n v="58.31"/>
    <n v="5.2218999999999998"/>
  </r>
  <r>
    <x v="5"/>
    <x v="8"/>
    <d v="2021-09-14T00:00:00"/>
    <n v="503"/>
    <n v="1276.5"/>
    <n v="341.2"/>
    <n v="685"/>
    <n v="56.68"/>
    <n v="5.2397999999999998"/>
  </r>
  <r>
    <x v="5"/>
    <x v="8"/>
    <d v="2021-09-13T00:00:00"/>
    <n v="496.75"/>
    <n v="1272.5"/>
    <n v="344.7"/>
    <n v="674.5"/>
    <n v="55.8"/>
    <n v="5.2144000000000004"/>
  </r>
  <r>
    <x v="5"/>
    <x v="8"/>
    <d v="2021-09-10T00:00:00"/>
    <n v="502.75"/>
    <n v="1275.25"/>
    <n v="342"/>
    <n v="675"/>
    <n v="55.74"/>
    <n v="5.2454000000000001"/>
  </r>
  <r>
    <x v="5"/>
    <x v="8"/>
    <d v="2021-09-09T00:00:00"/>
    <n v="496"/>
    <n v="1258.75"/>
    <n v="336.3"/>
    <n v="681.5"/>
    <n v="56.02"/>
    <n v="5.1976000000000004"/>
  </r>
  <r>
    <x v="5"/>
    <x v="8"/>
    <d v="2021-09-08T00:00:00"/>
    <n v="498.25"/>
    <n v="1270.75"/>
    <n v="337.4"/>
    <n v="698.25"/>
    <n v="57.45"/>
    <n v="5.3213999999999997"/>
  </r>
  <r>
    <x v="5"/>
    <x v="8"/>
    <d v="2021-09-07T00:00:00"/>
    <n v="495.75"/>
    <n v="1268.75"/>
    <n v="337.3"/>
    <n v="708.75"/>
    <n v="57.76"/>
    <n v="5.1692"/>
  </r>
  <r>
    <x v="5"/>
    <x v="8"/>
    <d v="2021-09-06T00:00:00"/>
    <m/>
    <m/>
    <m/>
    <m/>
    <m/>
    <n v="5.1692999999999998"/>
  </r>
  <r>
    <x v="5"/>
    <x v="8"/>
    <d v="2021-09-03T00:00:00"/>
    <n v="508"/>
    <n v="1283"/>
    <n v="340.9"/>
    <n v="714.5"/>
    <n v="59"/>
    <n v="5.1908000000000003"/>
  </r>
  <r>
    <x v="5"/>
    <x v="8"/>
    <d v="2021-09-02T00:00:00"/>
    <n v="516.25"/>
    <n v="1279.25"/>
    <n v="337.9"/>
    <n v="704"/>
    <n v="59.01"/>
    <n v="5.1818999999999997"/>
  </r>
  <r>
    <x v="5"/>
    <x v="8"/>
    <d v="2021-09-01T00:00:00"/>
    <n v="515.5"/>
    <n v="1277.75"/>
    <n v="343.7"/>
    <n v="701"/>
    <n v="58.31"/>
    <n v="5.1858000000000004"/>
  </r>
  <r>
    <x v="5"/>
    <x v="9"/>
    <d v="2021-08-31T00:00:00"/>
    <n v="534"/>
    <n v="1298.75"/>
    <n v="346.4"/>
    <n v="706.75"/>
    <n v="59.36"/>
    <n v="5.1492000000000004"/>
  </r>
  <r>
    <x v="5"/>
    <x v="9"/>
    <d v="2021-08-30T00:00:00"/>
    <n v="540.25"/>
    <n v="1304.75"/>
    <n v="347.6"/>
    <n v="708.75"/>
    <n v="60.28"/>
    <n v="5.1840000000000002"/>
  </r>
  <r>
    <x v="5"/>
    <x v="9"/>
    <d v="2021-08-27T00:00:00"/>
    <n v="558"/>
    <n v="1359.25"/>
    <n v="354.2"/>
    <n v="718.5"/>
    <n v="61.3"/>
    <n v="5.1996000000000002"/>
  </r>
  <r>
    <x v="5"/>
    <x v="9"/>
    <d v="2021-08-26T00:00:00"/>
    <n v="552.75"/>
    <n v="1367.5"/>
    <n v="356.5"/>
    <n v="725.25"/>
    <n v="61.33"/>
    <n v="5.2522000000000002"/>
  </r>
  <r>
    <x v="5"/>
    <x v="9"/>
    <d v="2021-08-25T00:00:00"/>
    <n v="551.25"/>
    <n v="1346"/>
    <n v="352.3"/>
    <n v="711.25"/>
    <n v="61.89"/>
    <n v="5.2117000000000004"/>
  </r>
  <r>
    <x v="5"/>
    <x v="9"/>
    <d v="2021-08-24T00:00:00"/>
    <n v="544.5"/>
    <n v="1337"/>
    <n v="354.9"/>
    <n v="718"/>
    <n v="61.09"/>
    <n v="5.2462999999999997"/>
  </r>
  <r>
    <x v="5"/>
    <x v="9"/>
    <d v="2021-08-23T00:00:00"/>
    <n v="538"/>
    <n v="1294"/>
    <n v="346.6"/>
    <n v="719.75"/>
    <n v="59.25"/>
    <n v="5.3802000000000003"/>
  </r>
  <r>
    <x v="5"/>
    <x v="9"/>
    <d v="2021-08-20T00:00:00"/>
    <n v="538.75"/>
    <n v="1293.75"/>
    <n v="353.3"/>
    <n v="714.25"/>
    <n v="57.49"/>
    <n v="5.3769999999999998"/>
  </r>
  <r>
    <x v="5"/>
    <x v="9"/>
    <d v="2021-08-19T00:00:00"/>
    <n v="550"/>
    <n v="1323"/>
    <n v="351.5"/>
    <n v="727.5"/>
    <n v="60.6"/>
    <n v="5.4142000000000001"/>
  </r>
  <r>
    <x v="5"/>
    <x v="9"/>
    <d v="2021-08-18T00:00:00"/>
    <n v="561.75"/>
    <n v="1358.25"/>
    <n v="357.6"/>
    <n v="737.25"/>
    <n v="61.93"/>
    <n v="5.3794000000000004"/>
  </r>
  <r>
    <x v="5"/>
    <x v="9"/>
    <d v="2021-08-17T00:00:00"/>
    <n v="558.25"/>
    <n v="1369"/>
    <n v="360.1"/>
    <n v="734.5"/>
    <n v="62.54"/>
    <n v="5.2948000000000004"/>
  </r>
  <r>
    <x v="5"/>
    <x v="9"/>
    <d v="2021-08-16T00:00:00"/>
    <n v="564.75"/>
    <n v="1376"/>
    <n v="359.4"/>
    <n v="760.5"/>
    <n v="63.29"/>
    <n v="5.2595000000000001"/>
  </r>
  <r>
    <x v="5"/>
    <x v="9"/>
    <d v="2021-08-13T00:00:00"/>
    <n v="568.25"/>
    <n v="1424.25"/>
    <n v="358.1"/>
    <n v="762.25"/>
    <n v="63.51"/>
    <n v="5.2465999999999999"/>
  </r>
  <r>
    <x v="5"/>
    <x v="9"/>
    <d v="2021-08-12T00:00:00"/>
    <n v="567"/>
    <n v="1401.5"/>
    <n v="355.4"/>
    <n v="753.5"/>
    <n v="63.51"/>
    <n v="5.2523999999999997"/>
  </r>
  <r>
    <x v="5"/>
    <x v="9"/>
    <d v="2021-08-11T00:00:00"/>
    <n v="556.25"/>
    <n v="1405.5"/>
    <n v="355.4"/>
    <n v="727"/>
    <n v="63.53"/>
    <n v="5.2184999999999997"/>
  </r>
  <r>
    <x v="5"/>
    <x v="9"/>
    <d v="2021-08-10T00:00:00"/>
    <n v="549.25"/>
    <n v="1447.5"/>
    <n v="360.3"/>
    <n v="727"/>
    <n v="65.41"/>
    <n v="5.1894999999999998"/>
  </r>
  <r>
    <x v="5"/>
    <x v="9"/>
    <d v="2021-08-09T00:00:00"/>
    <n v="550.25"/>
    <n v="1433.75"/>
    <n v="359.6"/>
    <n v="711.25"/>
    <n v="65.72"/>
    <n v="5.2331000000000003"/>
  </r>
  <r>
    <x v="5"/>
    <x v="9"/>
    <d v="2021-08-06T00:00:00"/>
    <n v="555"/>
    <n v="1422.25"/>
    <n v="358.8"/>
    <n v="719"/>
    <n v="63.41"/>
    <n v="5.2301000000000002"/>
  </r>
  <r>
    <x v="5"/>
    <x v="9"/>
    <d v="2021-08-05T00:00:00"/>
    <n v="555.75"/>
    <n v="1402.5"/>
    <n v="356.9"/>
    <n v="712.75"/>
    <n v="62.47"/>
    <n v="5.2488000000000001"/>
  </r>
  <r>
    <x v="5"/>
    <x v="9"/>
    <d v="2021-08-04T00:00:00"/>
    <n v="545.75"/>
    <n v="1403.5"/>
    <n v="353.1"/>
    <n v="717.25"/>
    <n v="62.77"/>
    <n v="5.1684999999999999"/>
  </r>
  <r>
    <x v="5"/>
    <x v="9"/>
    <d v="2021-08-03T00:00:00"/>
    <n v="550.5"/>
    <n v="1392.25"/>
    <n v="347.8"/>
    <n v="724.5"/>
    <n v="63.27"/>
    <n v="5.1966999999999999"/>
  </r>
  <r>
    <x v="5"/>
    <x v="9"/>
    <d v="2021-08-02T00:00:00"/>
    <n v="558.75"/>
    <n v="1418.75"/>
    <n v="357.2"/>
    <n v="729.5"/>
    <n v="64.62"/>
    <n v="5.1746999999999996"/>
  </r>
  <r>
    <x v="5"/>
    <x v="10"/>
    <d v="2021-07-30T00:00:00"/>
    <n v="547"/>
    <n v="1414.75"/>
    <n v="352.6"/>
    <n v="703.75"/>
    <n v="65.819999999999993"/>
    <n v="5.2122999999999999"/>
  </r>
  <r>
    <x v="5"/>
    <x v="10"/>
    <d v="2021-07-29T00:00:00"/>
    <n v="558"/>
    <n v="1434.25"/>
    <n v="356.5"/>
    <n v="705.25"/>
    <n v="66.930000000000007"/>
    <n v="5.0811999999999999"/>
  </r>
  <r>
    <x v="5"/>
    <x v="10"/>
    <d v="2021-07-28T00:00:00"/>
    <n v="549.25"/>
    <n v="1432"/>
    <n v="356.1"/>
    <n v="688.75"/>
    <n v="66.55"/>
    <n v="5.1157000000000004"/>
  </r>
  <r>
    <x v="5"/>
    <x v="10"/>
    <d v="2021-07-27T00:00:00"/>
    <n v="548.75"/>
    <n v="1418.25"/>
    <n v="358.8"/>
    <n v="674.5"/>
    <n v="66.260000000000005"/>
    <n v="5.1689999999999996"/>
  </r>
  <r>
    <x v="5"/>
    <x v="10"/>
    <d v="2021-07-26T00:00:00"/>
    <n v="549.75"/>
    <n v="1412.75"/>
    <n v="353.6"/>
    <n v="677"/>
    <n v="66.430000000000007"/>
    <n v="5.1760999999999999"/>
  </r>
  <r>
    <x v="5"/>
    <x v="10"/>
    <d v="2021-07-23T00:00:00"/>
    <n v="547.25"/>
    <n v="1401"/>
    <n v="353.6"/>
    <n v="684"/>
    <n v="65.66"/>
    <n v="5.2005999999999997"/>
  </r>
  <r>
    <x v="5"/>
    <x v="10"/>
    <d v="2021-07-22T00:00:00"/>
    <n v="564.5"/>
    <n v="1416.25"/>
    <n v="363.2"/>
    <n v="692.25"/>
    <n v="65"/>
    <n v="5.2003000000000004"/>
  </r>
  <r>
    <x v="5"/>
    <x v="10"/>
    <d v="2021-07-21T00:00:00"/>
    <n v="571.75"/>
    <n v="1439.25"/>
    <n v="369.8"/>
    <n v="710.75"/>
    <n v="65.459999999999994"/>
    <n v="5.1874000000000002"/>
  </r>
  <r>
    <x v="5"/>
    <x v="10"/>
    <d v="2021-07-20T00:00:00"/>
    <n v="571.75"/>
    <n v="1443.5"/>
    <n v="365.5"/>
    <n v="700.5"/>
    <n v="67.02"/>
    <n v="5.2205000000000004"/>
  </r>
  <r>
    <x v="5"/>
    <x v="10"/>
    <d v="2021-07-19T00:00:00"/>
    <n v="556"/>
    <n v="1428"/>
    <n v="359.8"/>
    <n v="697.75"/>
    <n v="66.69"/>
    <n v="5.2519"/>
  </r>
  <r>
    <x v="5"/>
    <x v="10"/>
    <d v="2021-07-16T00:00:00"/>
    <n v="556"/>
    <n v="1454.75"/>
    <n v="363.2"/>
    <n v="692.5"/>
    <n v="68.31"/>
    <n v="5.1147"/>
  </r>
  <r>
    <x v="5"/>
    <x v="10"/>
    <d v="2021-07-15T00:00:00"/>
    <n v="564.25"/>
    <n v="1447.5"/>
    <n v="362.7"/>
    <n v="672"/>
    <n v="67.31"/>
    <n v="5.1100000000000003"/>
  </r>
  <r>
    <x v="5"/>
    <x v="10"/>
    <d v="2021-07-14T00:00:00"/>
    <n v="683"/>
    <n v="1467.75"/>
    <n v="366.6"/>
    <n v="645"/>
    <n v="66.63"/>
    <n v="5.0705999999999998"/>
  </r>
  <r>
    <x v="5"/>
    <x v="10"/>
    <d v="2021-07-13T00:00:00"/>
    <n v="677"/>
    <n v="1438"/>
    <n v="355.1"/>
    <n v="628.75"/>
    <n v="66.63"/>
    <n v="5.1622000000000003"/>
  </r>
  <r>
    <x v="5"/>
    <x v="10"/>
    <d v="2021-07-12T00:00:00"/>
    <n v="669.25"/>
    <n v="1432.5"/>
    <n v="354.9"/>
    <n v="635"/>
    <n v="64.989999999999995"/>
    <n v="5.173"/>
  </r>
  <r>
    <x v="5"/>
    <x v="10"/>
    <d v="2021-07-09T00:00:00"/>
    <n v="629.75"/>
    <n v="1404"/>
    <n v="352.5"/>
    <n v="608.5"/>
    <n v="62.41"/>
    <n v="5.2579000000000002"/>
  </r>
  <r>
    <x v="5"/>
    <x v="10"/>
    <d v="2021-07-08T00:00:00"/>
    <n v="638"/>
    <n v="1390.25"/>
    <n v="355.3"/>
    <n v="612.25"/>
    <n v="64.25"/>
    <n v="5.2579000000000002"/>
  </r>
  <r>
    <x v="5"/>
    <x v="10"/>
    <d v="2021-07-07T00:00:00"/>
    <n v="652.5"/>
    <n v="1386.5"/>
    <n v="357.2"/>
    <n v="614.75"/>
    <n v="64.760000000000005"/>
    <n v="5.2314999999999996"/>
  </r>
  <r>
    <x v="5"/>
    <x v="10"/>
    <d v="2021-07-06T00:00:00"/>
    <n v="656"/>
    <n v="1363.75"/>
    <n v="355"/>
    <n v="620"/>
    <n v="63.83"/>
    <n v="5.1969000000000003"/>
  </r>
  <r>
    <x v="5"/>
    <x v="10"/>
    <d v="2021-07-05T00:00:00"/>
    <m/>
    <m/>
    <m/>
    <m/>
    <m/>
    <n v="5.0910000000000002"/>
  </r>
  <r>
    <x v="5"/>
    <x v="10"/>
    <d v="2021-07-02T00:00:00"/>
    <n v="697.25"/>
    <n v="1451.75"/>
    <n v="379.9"/>
    <n v="645.75"/>
    <n v="66.819999999999993"/>
    <n v="5.0575000000000001"/>
  </r>
  <r>
    <x v="5"/>
    <x v="10"/>
    <d v="2021-07-01T00:00:00"/>
    <n v="719.75"/>
    <n v="1446.75"/>
    <n v="381.8"/>
    <n v="658.5"/>
    <n v="65.040000000000006"/>
    <n v="5.0476000000000001"/>
  </r>
  <r>
    <x v="5"/>
    <x v="11"/>
    <d v="2021-06-30T00:00:00"/>
    <n v="720"/>
    <n v="1450"/>
    <n v="375.5"/>
    <n v="671.5"/>
    <n v="65.16"/>
    <n v="4.9686000000000003"/>
  </r>
  <r>
    <x v="5"/>
    <x v="11"/>
    <d v="2021-06-29T00:00:00"/>
    <n v="694.5"/>
    <n v="1359.75"/>
    <n v="348.4"/>
    <n v="639.75"/>
    <n v="64.150000000000006"/>
    <n v="4.9558999999999997"/>
  </r>
  <r>
    <x v="5"/>
    <x v="11"/>
    <d v="2021-06-28T00:00:00"/>
    <n v="675.5"/>
    <n v="1357"/>
    <n v="351.6"/>
    <n v="646"/>
    <n v="62.31"/>
    <n v="4.9244000000000003"/>
  </r>
  <r>
    <x v="5"/>
    <x v="11"/>
    <d v="2021-06-25T00:00:00"/>
    <n v="636.5"/>
    <n v="1329.75"/>
    <n v="347.2"/>
    <n v="637"/>
    <n v="59.71"/>
    <n v="4.9335000000000004"/>
  </r>
  <r>
    <x v="5"/>
    <x v="11"/>
    <d v="2021-06-24T00:00:00"/>
    <n v="653.25"/>
    <n v="1371.25"/>
    <n v="345.8"/>
    <n v="651.25"/>
    <n v="62.7"/>
    <n v="4.9137000000000004"/>
  </r>
  <r>
    <x v="5"/>
    <x v="11"/>
    <d v="2021-06-23T00:00:00"/>
    <n v="664.25"/>
    <n v="1385"/>
    <n v="354.2"/>
    <n v="661.25"/>
    <n v="62.13"/>
    <n v="4.9667000000000003"/>
  </r>
  <r>
    <x v="5"/>
    <x v="11"/>
    <d v="2021-06-22T00:00:00"/>
    <n v="659.75"/>
    <n v="1394.5"/>
    <n v="363.3"/>
    <n v="651"/>
    <n v="60.67"/>
    <n v="4.9573999999999998"/>
  </r>
  <r>
    <x v="5"/>
    <x v="11"/>
    <d v="2021-06-21T00:00:00"/>
    <n v="659.25"/>
    <n v="1415"/>
    <n v="373.1"/>
    <n v="661.5"/>
    <n v="60.33"/>
    <n v="5.0129999999999999"/>
  </r>
  <r>
    <x v="5"/>
    <x v="11"/>
    <d v="2021-06-18T00:00:00"/>
    <n v="655.25"/>
    <n v="1396"/>
    <n v="373.4"/>
    <n v="662.75"/>
    <n v="58.12"/>
    <n v="5.0894000000000004"/>
  </r>
  <r>
    <x v="5"/>
    <x v="11"/>
    <d v="2021-06-17T00:00:00"/>
    <n v="633"/>
    <n v="1329.75"/>
    <n v="361.5"/>
    <n v="639"/>
    <n v="56.57"/>
    <n v="5.0058999999999996"/>
  </r>
  <r>
    <x v="5"/>
    <x v="11"/>
    <d v="2021-06-16T00:00:00"/>
    <n v="673"/>
    <n v="1448.5"/>
    <n v="379.2"/>
    <n v="662.75"/>
    <n v="62.07"/>
    <n v="5.0545"/>
  </r>
  <r>
    <x v="5"/>
    <x v="11"/>
    <d v="2021-06-15T00:00:00"/>
    <n v="667.5"/>
    <n v="1465.75"/>
    <n v="372.4"/>
    <n v="661.5"/>
    <n v="65.569999999999993"/>
    <n v="5.0437000000000003"/>
  </r>
  <r>
    <x v="5"/>
    <x v="11"/>
    <d v="2021-06-14T00:00:00"/>
    <n v="659.25"/>
    <n v="1472.25"/>
    <n v="373.9"/>
    <n v="674.5"/>
    <n v="65.959999999999994"/>
    <n v="5.0601000000000003"/>
  </r>
  <r>
    <x v="5"/>
    <x v="11"/>
    <d v="2021-06-11T00:00:00"/>
    <n v="684.5"/>
    <n v="1508.5"/>
    <n v="383.3"/>
    <n v="680.75"/>
    <n v="66.98"/>
    <n v="5.1170999999999998"/>
  </r>
  <r>
    <x v="5"/>
    <x v="11"/>
    <d v="2021-06-10T00:00:00"/>
    <n v="699"/>
    <n v="1544"/>
    <n v="381.6"/>
    <n v="683.75"/>
    <n v="70.459999999999994"/>
    <n v="5.0552000000000001"/>
  </r>
  <r>
    <x v="5"/>
    <x v="11"/>
    <d v="2021-06-09T00:00:00"/>
    <n v="690.75"/>
    <n v="1562.5"/>
    <n v="386.4"/>
    <n v="682.25"/>
    <n v="71.59"/>
    <n v="5.0621"/>
  </r>
  <r>
    <x v="5"/>
    <x v="11"/>
    <d v="2021-06-08T00:00:00"/>
    <n v="680"/>
    <n v="1580"/>
    <n v="389.8"/>
    <n v="685"/>
    <n v="72.08"/>
    <n v="5.0324999999999998"/>
  </r>
  <r>
    <x v="5"/>
    <x v="11"/>
    <d v="2021-06-07T00:00:00"/>
    <n v="679.25"/>
    <n v="1560.25"/>
    <n v="386.9"/>
    <n v="680"/>
    <n v="70.83"/>
    <n v="5.0450999999999997"/>
  </r>
  <r>
    <x v="5"/>
    <x v="11"/>
    <d v="2021-06-04T00:00:00"/>
    <n v="682.75"/>
    <n v="1583.75"/>
    <n v="396.2"/>
    <n v="687.75"/>
    <n v="71.34"/>
    <n v="5.0495000000000001"/>
  </r>
  <r>
    <x v="5"/>
    <x v="11"/>
    <d v="2021-06-03T00:00:00"/>
    <n v="662"/>
    <n v="1549.25"/>
    <n v="391.6"/>
    <n v="676.25"/>
    <n v="68.849999999999994"/>
    <n v="5.0774999999999997"/>
  </r>
  <r>
    <x v="5"/>
    <x v="11"/>
    <d v="2021-06-02T00:00:00"/>
    <n v="675"/>
    <n v="1562.5"/>
    <n v="394"/>
    <n v="687.5"/>
    <n v="70.38"/>
    <n v="5.0754000000000001"/>
  </r>
  <r>
    <x v="5"/>
    <x v="11"/>
    <d v="2021-06-01T00:00:00"/>
    <n v="688.75"/>
    <n v="1548.5"/>
    <n v="398.7"/>
    <n v="693.5"/>
    <n v="67.39"/>
    <n v="5.1509"/>
  </r>
  <r>
    <x v="5"/>
    <x v="0"/>
    <d v="2021-05-31T00:00:00"/>
    <m/>
    <m/>
    <m/>
    <m/>
    <m/>
    <n v="5.2172000000000001"/>
  </r>
  <r>
    <x v="5"/>
    <x v="0"/>
    <d v="2021-05-28T00:00:00"/>
    <n v="656.75"/>
    <n v="1530.5"/>
    <n v="395.5"/>
    <n v="663.5"/>
    <n v="65.790000000000006"/>
    <n v="5.2244000000000002"/>
  </r>
  <r>
    <x v="5"/>
    <x v="0"/>
    <d v="2021-05-27T00:00:00"/>
    <n v="664.5"/>
    <n v="1537"/>
    <n v="390.3"/>
    <n v="676.25"/>
    <n v="66.81"/>
    <n v="5.2382999999999997"/>
  </r>
  <r>
    <x v="5"/>
    <x v="0"/>
    <d v="2021-05-26T00:00:00"/>
    <n v="624.5"/>
    <n v="1503.5"/>
    <n v="383.8"/>
    <n v="648.5"/>
    <n v="65.680000000000007"/>
    <n v="5.3114999999999997"/>
  </r>
  <r>
    <x v="5"/>
    <x v="0"/>
    <d v="2021-05-25T00:00:00"/>
    <n v="620.25"/>
    <n v="1511.75"/>
    <n v="386.3"/>
    <n v="656.5"/>
    <n v="66.69"/>
    <n v="5.3311999999999999"/>
  </r>
  <r>
    <x v="5"/>
    <x v="0"/>
    <d v="2021-05-24T00:00:00"/>
    <n v="657.25"/>
    <n v="1522.75"/>
    <n v="400.2"/>
    <n v="662.25"/>
    <n v="65.13"/>
    <n v="5.3174999999999999"/>
  </r>
  <r>
    <x v="5"/>
    <x v="0"/>
    <d v="2021-05-21T00:00:00"/>
    <n v="659.5"/>
    <n v="1526.25"/>
    <n v="398.9"/>
    <n v="674.25"/>
    <n v="65.489999999999995"/>
    <n v="5.3616999999999999"/>
  </r>
  <r>
    <x v="5"/>
    <x v="0"/>
    <d v="2021-05-20T00:00:00"/>
    <n v="664.5"/>
    <n v="1533.25"/>
    <n v="401.1"/>
    <n v="675.25"/>
    <n v="65.760000000000005"/>
    <n v="5.2824999999999998"/>
  </r>
  <r>
    <x v="5"/>
    <x v="0"/>
    <d v="2021-05-19T00:00:00"/>
    <n v="658.25"/>
    <n v="1538.25"/>
    <n v="403.2"/>
    <n v="679.25"/>
    <n v="66.47"/>
    <n v="5.3094000000000001"/>
  </r>
  <r>
    <x v="5"/>
    <x v="0"/>
    <d v="2021-05-18T00:00:00"/>
    <n v="658.25"/>
    <n v="1574.25"/>
    <n v="410.8"/>
    <n v="698"/>
    <n v="68.67"/>
    <n v="5.2605000000000004"/>
  </r>
  <r>
    <x v="5"/>
    <x v="0"/>
    <d v="2021-05-17T00:00:00"/>
    <n v="652.5"/>
    <n v="1587.5"/>
    <n v="414.9"/>
    <n v="699.75"/>
    <n v="68.97"/>
    <n v="5.2728999999999999"/>
  </r>
  <r>
    <x v="5"/>
    <x v="0"/>
    <d v="2021-05-14T00:00:00"/>
    <n v="685"/>
    <n v="1603.75"/>
    <n v="423.5"/>
    <n v="727.25"/>
    <n v="68.41"/>
    <n v="5.2728000000000002"/>
  </r>
  <r>
    <x v="5"/>
    <x v="0"/>
    <d v="2021-05-13T00:00:00"/>
    <n v="719"/>
    <n v="1612.25"/>
    <n v="423.5"/>
    <n v="726.5"/>
    <n v="68.040000000000006"/>
    <n v="5.3090000000000002"/>
  </r>
  <r>
    <x v="5"/>
    <x v="0"/>
    <d v="2021-05-12T00:00:00"/>
    <n v="757.5"/>
    <n v="1660.5"/>
    <n v="450.9"/>
    <n v="754.75"/>
    <n v="68.66"/>
    <n v="5.3060999999999998"/>
  </r>
  <r>
    <x v="5"/>
    <x v="0"/>
    <d v="2021-05-11T00:00:00"/>
    <n v="759.5"/>
    <n v="1637.5"/>
    <n v="449.5"/>
    <n v="759.75"/>
    <n v="67.06"/>
    <n v="5.2207999999999997"/>
  </r>
  <r>
    <x v="5"/>
    <x v="0"/>
    <d v="2021-05-10T00:00:00"/>
    <n v="748"/>
    <n v="1620"/>
    <n v="444.4"/>
    <n v="742.5"/>
    <n v="66.099999999999994"/>
    <n v="5.2271999999999998"/>
  </r>
  <r>
    <x v="5"/>
    <x v="0"/>
    <d v="2021-05-07T00:00:00"/>
    <n v="772.75"/>
    <n v="1621"/>
    <n v="442.5"/>
    <n v="773.5"/>
    <n v="66.38"/>
    <n v="5.2367999999999997"/>
  </r>
  <r>
    <x v="5"/>
    <x v="0"/>
    <d v="2021-05-06T00:00:00"/>
    <n v="759.5"/>
    <n v="1605.5"/>
    <n v="427.7"/>
    <n v="764.25"/>
    <n v="66.25"/>
    <n v="5.2759999999999998"/>
  </r>
  <r>
    <x v="5"/>
    <x v="0"/>
    <d v="2021-05-05T00:00:00"/>
    <n v="753.25"/>
    <n v="1582"/>
    <n v="424.3"/>
    <n v="755.75"/>
    <n v="66.739999999999995"/>
    <n v="5.3541999999999996"/>
  </r>
  <r>
    <x v="5"/>
    <x v="0"/>
    <d v="2021-05-04T00:00:00"/>
    <n v="744.75"/>
    <n v="1577"/>
    <n v="423.5"/>
    <n v="737"/>
    <n v="67.95"/>
    <n v="5.4435000000000002"/>
  </r>
  <r>
    <x v="5"/>
    <x v="0"/>
    <d v="2021-05-03T00:00:00"/>
    <n v="732.25"/>
    <n v="1560.25"/>
    <n v="416.2"/>
    <n v="725.5"/>
    <n v="68.31"/>
    <n v="5.4420000000000002"/>
  </r>
  <r>
    <x v="5"/>
    <x v="1"/>
    <d v="2021-04-30T00:00:00"/>
    <n v="740"/>
    <n v="1571"/>
    <n v="426"/>
    <n v="742.5"/>
    <n v="68.459999999999994"/>
    <n v="5.4366000000000003"/>
  </r>
  <r>
    <x v="5"/>
    <x v="1"/>
    <d v="2021-04-29T00:00:00"/>
    <n v="702"/>
    <n v="1542.5"/>
    <n v="422.6"/>
    <n v="737.5"/>
    <n v="65.989999999999995"/>
    <n v="5.3375000000000004"/>
  </r>
  <r>
    <x v="5"/>
    <x v="1"/>
    <d v="2021-04-28T00:00:00"/>
    <n v="686.25"/>
    <n v="1557.75"/>
    <n v="421.3"/>
    <n v="725.25"/>
    <n v="68.95"/>
    <n v="5.343"/>
  </r>
  <r>
    <x v="5"/>
    <x v="1"/>
    <d v="2021-04-27T00:00:00"/>
    <n v="695.5"/>
    <n v="1549.75"/>
    <n v="425.5"/>
    <n v="733.75"/>
    <n v="66.45"/>
    <n v="5.4489999999999998"/>
  </r>
  <r>
    <x v="5"/>
    <x v="1"/>
    <d v="2021-04-26T00:00:00"/>
    <n v="680.5"/>
    <n v="1569"/>
    <n v="428.8"/>
    <n v="739.5"/>
    <n v="65.209999999999994"/>
    <n v="5.4363999999999999"/>
  </r>
  <r>
    <x v="5"/>
    <x v="1"/>
    <d v="2021-04-23T00:00:00"/>
    <n v="655.5"/>
    <n v="1539.75"/>
    <n v="422.4"/>
    <n v="710.25"/>
    <n v="62.71"/>
    <n v="5.4751000000000003"/>
  </r>
  <r>
    <x v="5"/>
    <x v="1"/>
    <d v="2021-04-22T00:00:00"/>
    <n v="650.5"/>
    <n v="1533.25"/>
    <n v="422"/>
    <n v="710.25"/>
    <n v="62.52"/>
    <n v="5.4447999999999999"/>
  </r>
  <r>
    <x v="5"/>
    <x v="1"/>
    <d v="2021-04-21T00:00:00"/>
    <n v="625.5"/>
    <n v="1497.25"/>
    <n v="412.3"/>
    <n v="673.25"/>
    <n v="60.19"/>
    <n v="5.569"/>
  </r>
  <r>
    <x v="5"/>
    <x v="1"/>
    <d v="2021-04-20T00:00:00"/>
    <n v="606.5"/>
    <n v="1472"/>
    <n v="410.4"/>
    <n v="659.75"/>
    <n v="58.32"/>
    <n v="5.5686999999999998"/>
  </r>
  <r>
    <x v="5"/>
    <x v="1"/>
    <d v="2021-04-19T00:00:00"/>
    <n v="592"/>
    <n v="1449.75"/>
    <n v="407.5"/>
    <n v="652.25"/>
    <n v="56.27"/>
    <n v="5.5461"/>
  </r>
  <r>
    <x v="5"/>
    <x v="1"/>
    <d v="2021-04-16T00:00:00"/>
    <n v="585.5"/>
    <n v="1433.25"/>
    <n v="402.2"/>
    <n v="652.5"/>
    <n v="56.33"/>
    <n v="5.5883000000000003"/>
  </r>
  <r>
    <x v="5"/>
    <x v="1"/>
    <d v="2021-04-15T00:00:00"/>
    <n v="590"/>
    <n v="1418.25"/>
    <n v="401.9"/>
    <n v="653.75"/>
    <n v="54.89"/>
    <n v="5.6162000000000001"/>
  </r>
  <r>
    <x v="5"/>
    <x v="1"/>
    <d v="2021-04-14T00:00:00"/>
    <n v="594"/>
    <n v="1410"/>
    <n v="398.2"/>
    <n v="648"/>
    <n v="54.24"/>
    <n v="5.6525999999999996"/>
  </r>
  <r>
    <x v="5"/>
    <x v="1"/>
    <d v="2021-04-13T00:00:00"/>
    <n v="580"/>
    <n v="1389.5"/>
    <n v="395"/>
    <n v="629.75"/>
    <n v="53.03"/>
    <n v="5.7165999999999997"/>
  </r>
  <r>
    <x v="5"/>
    <x v="1"/>
    <d v="2021-04-12T00:00:00"/>
    <n v="569"/>
    <n v="1382"/>
    <n v="401.9"/>
    <n v="628"/>
    <n v="51.45"/>
    <n v="5.7332999999999998"/>
  </r>
  <r>
    <x v="5"/>
    <x v="1"/>
    <d v="2021-04-09T00:00:00"/>
    <n v="577.25"/>
    <n v="1403"/>
    <n v="401.2"/>
    <n v="638.75"/>
    <n v="52.85"/>
    <n v="5.6821000000000002"/>
  </r>
  <r>
    <x v="5"/>
    <x v="1"/>
    <d v="2021-04-08T00:00:00"/>
    <n v="579.75"/>
    <n v="1415.25"/>
    <n v="406.8"/>
    <n v="628.75"/>
    <n v="53.38"/>
    <n v="5.5720000000000001"/>
  </r>
  <r>
    <x v="5"/>
    <x v="1"/>
    <d v="2021-04-07T00:00:00"/>
    <n v="560.5"/>
    <n v="1408.75"/>
    <n v="409.1"/>
    <n v="616.25"/>
    <n v="52.85"/>
    <n v="5.6143000000000001"/>
  </r>
  <r>
    <x v="5"/>
    <x v="1"/>
    <d v="2021-04-06T00:00:00"/>
    <n v="554.25"/>
    <n v="1418.75"/>
    <n v="406.4"/>
    <n v="615.5"/>
    <n v="53.92"/>
    <n v="5.5903999999999998"/>
  </r>
  <r>
    <x v="5"/>
    <x v="1"/>
    <d v="2021-04-05T00:00:00"/>
    <n v="553.25"/>
    <n v="1412.75"/>
    <n v="406.3"/>
    <n v="618"/>
    <n v="52.81"/>
    <n v="5.6631999999999998"/>
  </r>
  <r>
    <x v="5"/>
    <x v="1"/>
    <d v="2021-04-02T00:00:00"/>
    <m/>
    <m/>
    <m/>
    <m/>
    <m/>
    <n v="5.7074999999999996"/>
  </r>
  <r>
    <x v="5"/>
    <x v="1"/>
    <d v="2021-04-01T00:00:00"/>
    <n v="559.75"/>
    <n v="1402"/>
    <n v="410.2"/>
    <n v="611"/>
    <n v="52.13"/>
    <n v="5.7070999999999996"/>
  </r>
  <r>
    <x v="5"/>
    <x v="2"/>
    <d v="2021-03-31T00:00:00"/>
    <n v="564.25"/>
    <n v="1436.75"/>
    <n v="423.2"/>
    <n v="618"/>
    <n v="52.92"/>
    <n v="5.6315"/>
  </r>
  <r>
    <x v="5"/>
    <x v="2"/>
    <d v="2021-03-30T00:00:00"/>
    <n v="539.25"/>
    <n v="1366.75"/>
    <n v="398.2"/>
    <n v="601.75"/>
    <n v="50.46"/>
    <n v="5.7744999999999997"/>
  </r>
  <r>
    <x v="5"/>
    <x v="2"/>
    <d v="2021-03-29T00:00:00"/>
    <n v="546.75"/>
    <n v="1393"/>
    <n v="398.1"/>
    <n v="616.75"/>
    <n v="52.96"/>
    <n v="5.7798999999999996"/>
  </r>
  <r>
    <x v="5"/>
    <x v="2"/>
    <d v="2021-03-26T00:00:00"/>
    <n v="552.5"/>
    <n v="1400.5"/>
    <n v="404"/>
    <n v="613.25"/>
    <n v="52.48"/>
    <n v="5.7565999999999997"/>
  </r>
  <r>
    <x v="5"/>
    <x v="2"/>
    <d v="2021-03-25T00:00:00"/>
    <n v="546.5"/>
    <n v="1414.25"/>
    <n v="404.6"/>
    <n v="612.5"/>
    <n v="54.98"/>
    <n v="5.6475"/>
  </r>
  <r>
    <x v="5"/>
    <x v="2"/>
    <d v="2021-03-24T00:00:00"/>
    <n v="553.25"/>
    <n v="1432.75"/>
    <n v="401"/>
    <n v="624.75"/>
    <n v="57.48"/>
    <n v="5.6208999999999998"/>
  </r>
  <r>
    <x v="5"/>
    <x v="2"/>
    <d v="2021-03-23T00:00:00"/>
    <n v="551.25"/>
    <n v="1423.25"/>
    <n v="398.8"/>
    <n v="634.75"/>
    <n v="57.02"/>
    <n v="5.5213999999999999"/>
  </r>
  <r>
    <x v="5"/>
    <x v="2"/>
    <d v="2021-03-22T00:00:00"/>
    <n v="549"/>
    <n v="1417.5"/>
    <n v="396.6"/>
    <n v="627.25"/>
    <n v="56.37"/>
    <n v="5.5045000000000002"/>
  </r>
  <r>
    <x v="5"/>
    <x v="2"/>
    <d v="2021-03-19T00:00:00"/>
    <n v="557.75"/>
    <n v="1416.25"/>
    <n v="407.9"/>
    <n v="627"/>
    <n v="53.87"/>
    <n v="5.4916999999999998"/>
  </r>
  <r>
    <x v="5"/>
    <x v="2"/>
    <d v="2021-03-18T00:00:00"/>
    <n v="546.5"/>
    <n v="1392.25"/>
    <n v="398.2"/>
    <n v="630.5"/>
    <n v="53.52"/>
    <n v="5.5603999999999996"/>
  </r>
  <r>
    <x v="5"/>
    <x v="2"/>
    <d v="2021-03-17T00:00:00"/>
    <n v="558"/>
    <n v="1417.75"/>
    <n v="404.9"/>
    <n v="640"/>
    <n v="54.6"/>
    <n v="5.5831999999999997"/>
  </r>
  <r>
    <x v="5"/>
    <x v="2"/>
    <d v="2021-03-16T00:00:00"/>
    <n v="554.25"/>
    <n v="1423.25"/>
    <n v="406.1"/>
    <n v="647"/>
    <n v="55.09"/>
    <n v="5.6246"/>
  </r>
  <r>
    <x v="5"/>
    <x v="2"/>
    <d v="2021-03-15T00:00:00"/>
    <n v="549.5"/>
    <n v="1419.5"/>
    <n v="407.4"/>
    <n v="645"/>
    <n v="55.09"/>
    <n v="5.6155999999999997"/>
  </r>
  <r>
    <x v="5"/>
    <x v="2"/>
    <d v="2021-03-12T00:00:00"/>
    <n v="549.25"/>
    <n v="1415.75"/>
    <n v="396.3"/>
    <n v="631.75"/>
    <n v="56.89"/>
    <n v="5.5518000000000001"/>
  </r>
  <r>
    <x v="5"/>
    <x v="2"/>
    <d v="2021-03-11T00:00:00"/>
    <n v="555"/>
    <n v="1415.5"/>
    <n v="402"/>
    <n v="636.25"/>
    <n v="56.46"/>
    <n v="5.5357000000000003"/>
  </r>
  <r>
    <x v="5"/>
    <x v="2"/>
    <d v="2021-03-10T00:00:00"/>
    <n v="547.75"/>
    <n v="1411.5"/>
    <n v="410.1"/>
    <n v="650.75"/>
    <n v="55.36"/>
    <n v="5.6719999999999997"/>
  </r>
  <r>
    <x v="5"/>
    <x v="2"/>
    <d v="2021-03-09T00:00:00"/>
    <n v="562"/>
    <n v="1441.25"/>
    <n v="419.2"/>
    <n v="656.5"/>
    <n v="55.15"/>
    <n v="5.8025000000000002"/>
  </r>
  <r>
    <x v="5"/>
    <x v="2"/>
    <d v="2021-03-08T00:00:00"/>
    <n v="565"/>
    <n v="1437.75"/>
    <n v="418.3"/>
    <n v="646.5"/>
    <n v="54.06"/>
    <n v="5.8754999999999997"/>
  </r>
  <r>
    <x v="5"/>
    <x v="2"/>
    <d v="2021-03-05T00:00:00"/>
    <n v="562"/>
    <n v="1434.25"/>
    <n v="420"/>
    <n v="654"/>
    <n v="53.38"/>
    <n v="5.6908000000000003"/>
  </r>
  <r>
    <x v="5"/>
    <x v="2"/>
    <d v="2021-03-04T00:00:00"/>
    <n v="546.25"/>
    <n v="1415.25"/>
    <n v="418.1"/>
    <n v="649.75"/>
    <n v="52.38"/>
    <n v="5.6692999999999998"/>
  </r>
  <r>
    <x v="5"/>
    <x v="2"/>
    <d v="2021-03-03T00:00:00"/>
    <n v="550.25"/>
    <n v="1410.75"/>
    <n v="420.2"/>
    <n v="652"/>
    <n v="51.35"/>
    <n v="5.6193"/>
  </r>
  <r>
    <x v="5"/>
    <x v="2"/>
    <d v="2021-03-02T00:00:00"/>
    <n v="560.75"/>
    <n v="1414"/>
    <n v="423.3"/>
    <n v="663.25"/>
    <n v="51.27"/>
    <n v="5.6760999999999999"/>
  </r>
  <r>
    <x v="5"/>
    <x v="2"/>
    <d v="2021-03-01T00:00:00"/>
    <n v="547.5"/>
    <n v="1392.5"/>
    <n v="420.2"/>
    <n v="643.75"/>
    <n v="50.77"/>
    <n v="5.6417999999999999"/>
  </r>
  <r>
    <x v="5"/>
    <x v="3"/>
    <d v="2021-02-26T00:00:00"/>
    <n v="555.5"/>
    <n v="1405.25"/>
    <n v="423.2"/>
    <n v="655"/>
    <n v="51.34"/>
    <n v="5.5986000000000002"/>
  </r>
  <r>
    <x v="5"/>
    <x v="3"/>
    <d v="2021-02-25T00:00:00"/>
    <n v="554.75"/>
    <n v="1406"/>
    <n v="424.1"/>
    <n v="671.75"/>
    <n v="50.96"/>
    <n v="5.5308000000000002"/>
  </r>
  <r>
    <x v="5"/>
    <x v="3"/>
    <d v="2021-02-24T00:00:00"/>
    <n v="559.25"/>
    <n v="1423.75"/>
    <n v="428.3"/>
    <n v="680.25"/>
    <n v="51.14"/>
    <n v="5.4062000000000001"/>
  </r>
  <r>
    <x v="5"/>
    <x v="3"/>
    <d v="2021-02-23T00:00:00"/>
    <n v="553.75"/>
    <n v="1406"/>
    <n v="426.5"/>
    <n v="665.75"/>
    <n v="49.26"/>
    <n v="5.4409000000000001"/>
  </r>
  <r>
    <x v="5"/>
    <x v="3"/>
    <d v="2021-02-22T00:00:00"/>
    <n v="551"/>
    <n v="1383.75"/>
    <n v="423.1"/>
    <n v="664"/>
    <n v="47.9"/>
    <n v="5.4659000000000004"/>
  </r>
  <r>
    <x v="5"/>
    <x v="3"/>
    <d v="2021-02-19T00:00:00"/>
    <n v="542.75"/>
    <n v="1377.25"/>
    <n v="424.3"/>
    <n v="650.75"/>
    <n v="47.55"/>
    <n v="5.3822999999999999"/>
  </r>
  <r>
    <x v="5"/>
    <x v="3"/>
    <d v="2021-02-18T00:00:00"/>
    <n v="550.25"/>
    <n v="1375"/>
    <n v="425.9"/>
    <n v="662.5"/>
    <n v="46.91"/>
    <n v="5.4269999999999996"/>
  </r>
  <r>
    <x v="5"/>
    <x v="3"/>
    <d v="2021-02-17T00:00:00"/>
    <n v="553"/>
    <n v="1383.75"/>
    <n v="431.7"/>
    <n v="644"/>
    <n v="46.77"/>
    <n v="5.4104999999999999"/>
  </r>
  <r>
    <x v="5"/>
    <x v="3"/>
    <d v="2021-02-16T00:00:00"/>
    <n v="552.25"/>
    <n v="1384.75"/>
    <n v="428.4"/>
    <n v="657.5"/>
    <n v="47.27"/>
    <n v="5.3695000000000004"/>
  </r>
  <r>
    <x v="5"/>
    <x v="3"/>
    <d v="2021-02-15T00:00:00"/>
    <m/>
    <m/>
    <m/>
    <m/>
    <m/>
    <n v="5.3697999999999997"/>
  </r>
  <r>
    <x v="5"/>
    <x v="3"/>
    <d v="2021-02-12T00:00:00"/>
    <n v="538.75"/>
    <n v="1372"/>
    <n v="427.2"/>
    <n v="636.75"/>
    <n v="46.04"/>
    <n v="5.3697999999999997"/>
  </r>
  <r>
    <x v="5"/>
    <x v="3"/>
    <d v="2021-02-11T00:00:00"/>
    <n v="541"/>
    <n v="1367.5"/>
    <n v="428.9"/>
    <n v="633.5"/>
    <n v="45.63"/>
    <n v="5.3665000000000003"/>
  </r>
  <r>
    <x v="5"/>
    <x v="3"/>
    <d v="2021-02-10T00:00:00"/>
    <n v="534.5"/>
    <n v="1354"/>
    <n v="422.3"/>
    <n v="635.5"/>
    <n v="45.69"/>
    <n v="5.3860000000000001"/>
  </r>
  <r>
    <x v="5"/>
    <x v="3"/>
    <d v="2021-02-09T00:00:00"/>
    <n v="556.25"/>
    <n v="1401.75"/>
    <n v="438.7"/>
    <n v="649.5"/>
    <n v="46.52"/>
    <n v="5.3780999999999999"/>
  </r>
  <r>
    <x v="5"/>
    <x v="3"/>
    <d v="2021-02-08T00:00:00"/>
    <n v="563.75"/>
    <n v="1387.75"/>
    <n v="436.6"/>
    <n v="655.75"/>
    <n v="45.63"/>
    <n v="5.3657000000000004"/>
  </r>
  <r>
    <x v="5"/>
    <x v="3"/>
    <d v="2021-02-05T00:00:00"/>
    <n v="548.5"/>
    <n v="1366.75"/>
    <n v="430.5"/>
    <n v="641.25"/>
    <n v="44.66"/>
    <n v="5.3704000000000001"/>
  </r>
  <r>
    <x v="5"/>
    <x v="3"/>
    <d v="2021-02-04T00:00:00"/>
    <n v="550"/>
    <n v="1372.5"/>
    <n v="433.1"/>
    <n v="637.5"/>
    <n v="44.94"/>
    <n v="5.4265999999999996"/>
  </r>
  <r>
    <x v="5"/>
    <x v="3"/>
    <d v="2021-02-03T00:00:00"/>
    <n v="552"/>
    <n v="1371.25"/>
    <n v="435.5"/>
    <n v="648.25"/>
    <n v="44.48"/>
    <n v="5.3533999999999997"/>
  </r>
  <r>
    <x v="5"/>
    <x v="3"/>
    <d v="2021-02-02T00:00:00"/>
    <n v="543"/>
    <n v="1354.75"/>
    <n v="428"/>
    <n v="644.75"/>
    <n v="44.32"/>
    <n v="5.3680000000000003"/>
  </r>
  <r>
    <x v="5"/>
    <x v="3"/>
    <d v="2021-02-01T00:00:00"/>
    <n v="549.25"/>
    <n v="1365.25"/>
    <n v="430.5"/>
    <n v="651"/>
    <n v="44.97"/>
    <n v="5.4321999999999999"/>
  </r>
  <r>
    <x v="5"/>
    <x v="4"/>
    <d v="2021-01-29T00:00:00"/>
    <n v="547"/>
    <n v="1370"/>
    <n v="431"/>
    <n v="663"/>
    <n v="44.62"/>
    <n v="5.4625000000000004"/>
  </r>
  <r>
    <x v="5"/>
    <x v="4"/>
    <d v="2021-01-28T00:00:00"/>
    <n v="534.5"/>
    <n v="1353.25"/>
    <n v="427.1"/>
    <n v="647"/>
    <n v="44.65"/>
    <n v="5.4409999999999998"/>
  </r>
  <r>
    <x v="5"/>
    <x v="4"/>
    <d v="2021-01-27T00:00:00"/>
    <n v="534"/>
    <n v="1374.75"/>
    <n v="436.6"/>
    <n v="658.25"/>
    <n v="44.52"/>
    <n v="5.4138000000000002"/>
  </r>
  <r>
    <x v="5"/>
    <x v="4"/>
    <d v="2021-01-26T00:00:00"/>
    <n v="532.25"/>
    <n v="1370.25"/>
    <n v="436.5"/>
    <n v="665.25"/>
    <n v="43.91"/>
    <n v="5.3552"/>
  </r>
  <r>
    <x v="5"/>
    <x v="4"/>
    <d v="2021-01-25T00:00:00"/>
    <n v="511.5"/>
    <n v="1343.5"/>
    <n v="429.6"/>
    <n v="648.5"/>
    <n v="42.94"/>
    <n v="5.4664999999999999"/>
  </r>
  <r>
    <x v="5"/>
    <x v="4"/>
    <d v="2021-01-22T00:00:00"/>
    <n v="500.5"/>
    <n v="1311.75"/>
    <n v="421.6"/>
    <n v="634.5"/>
    <n v="42.27"/>
    <n v="5.4665999999999997"/>
  </r>
  <r>
    <x v="5"/>
    <x v="4"/>
    <d v="2021-01-21T00:00:00"/>
    <n v="524.25"/>
    <n v="1370.25"/>
    <n v="438.2"/>
    <n v="660.75"/>
    <n v="43.43"/>
    <n v="5.3506"/>
  </r>
  <r>
    <x v="5"/>
    <x v="4"/>
    <d v="2021-01-20T00:00:00"/>
    <n v="522"/>
    <n v="1369.5"/>
    <n v="442.4"/>
    <n v="667.75"/>
    <n v="42.54"/>
    <n v="5.2916999999999996"/>
  </r>
  <r>
    <x v="5"/>
    <x v="4"/>
    <d v="2021-01-19T00:00:00"/>
    <n v="526"/>
    <n v="1385.75"/>
    <n v="450.5"/>
    <n v="672.25"/>
    <n v="41.7"/>
    <n v="5.3578000000000001"/>
  </r>
  <r>
    <x v="5"/>
    <x v="4"/>
    <d v="2021-01-18T00:00:00"/>
    <m/>
    <m/>
    <m/>
    <m/>
    <m/>
    <n v="5.2957000000000001"/>
  </r>
  <r>
    <x v="5"/>
    <x v="4"/>
    <d v="2021-01-15T00:00:00"/>
    <n v="531.5"/>
    <n v="1416.75"/>
    <n v="463.2"/>
    <n v="675.5"/>
    <n v="41.85"/>
    <n v="5.2927"/>
  </r>
  <r>
    <x v="5"/>
    <x v="4"/>
    <d v="2021-01-14T00:00:00"/>
    <n v="534.25"/>
    <n v="1436.5"/>
    <n v="464.9"/>
    <n v="670"/>
    <n v="43.27"/>
    <n v="5.1966999999999999"/>
  </r>
  <r>
    <x v="5"/>
    <x v="4"/>
    <d v="2021-01-13T00:00:00"/>
    <n v="524.5"/>
    <n v="1411"/>
    <n v="462.4"/>
    <n v="660.5"/>
    <n v="42.68"/>
    <n v="5.2990000000000004"/>
  </r>
  <r>
    <x v="5"/>
    <x v="4"/>
    <d v="2021-01-12T00:00:00"/>
    <n v="517.25"/>
    <n v="1422"/>
    <n v="471.2"/>
    <n v="665"/>
    <n v="43.13"/>
    <n v="5.3226000000000004"/>
  </r>
  <r>
    <x v="5"/>
    <x v="4"/>
    <d v="2021-01-11T00:00:00"/>
    <n v="492.25"/>
    <n v="1374.5"/>
    <n v="451.8"/>
    <n v="634.75"/>
    <n v="43.13"/>
    <n v="5.4889999999999999"/>
  </r>
  <r>
    <x v="5"/>
    <x v="4"/>
    <d v="2021-01-08T00:00:00"/>
    <n v="496.25"/>
    <n v="1375.75"/>
    <n v="444.8"/>
    <n v="638.75"/>
    <n v="43.76"/>
    <n v="5.4177999999999997"/>
  </r>
  <r>
    <x v="5"/>
    <x v="4"/>
    <d v="2021-01-07T00:00:00"/>
    <n v="494"/>
    <n v="1360.5"/>
    <n v="438"/>
    <n v="642.25"/>
    <n v="44.35"/>
    <n v="5.4100999999999999"/>
  </r>
  <r>
    <x v="5"/>
    <x v="4"/>
    <d v="2021-01-06T00:00:00"/>
    <n v="495"/>
    <n v="1365.25"/>
    <n v="443.3"/>
    <n v="647.5"/>
    <n v="44.39"/>
    <n v="5.3139000000000003"/>
  </r>
  <r>
    <x v="5"/>
    <x v="4"/>
    <d v="2021-01-05T00:00:00"/>
    <n v="491.75"/>
    <n v="1350"/>
    <n v="435.4"/>
    <n v="654"/>
    <n v="44.36"/>
    <n v="5.2854000000000001"/>
  </r>
  <r>
    <x v="5"/>
    <x v="4"/>
    <d v="2021-01-04T00:00:00"/>
    <n v="483.75"/>
    <n v="1316.5"/>
    <n v="427.2"/>
    <n v="642"/>
    <n v="42.93"/>
    <n v="5.2968000000000002"/>
  </r>
  <r>
    <x v="5"/>
    <x v="4"/>
    <d v="2021-01-01T00:00:00"/>
    <m/>
    <m/>
    <m/>
    <m/>
    <m/>
    <n v="5.1936999999999998"/>
  </r>
  <r>
    <x v="6"/>
    <x v="5"/>
    <d v="2020-12-31T00:00:00"/>
    <n v="484"/>
    <n v="1315.25"/>
    <n v="434.4"/>
    <n v="640.5"/>
    <n v="43.33"/>
    <n v="5.1936999999999998"/>
  </r>
  <r>
    <x v="6"/>
    <x v="5"/>
    <d v="2020-12-30T00:00:00"/>
    <n v="474.5"/>
    <n v="1303.75"/>
    <n v="432.4"/>
    <n v="640.75"/>
    <n v="42.67"/>
    <n v="5.1936999999999998"/>
  </r>
  <r>
    <x v="6"/>
    <x v="5"/>
    <d v="2020-12-29T00:00:00"/>
    <n v="466"/>
    <n v="1295.5"/>
    <n v="427"/>
    <n v="618.5"/>
    <n v="42.48"/>
    <n v="5.2099000000000002"/>
  </r>
  <r>
    <x v="6"/>
    <x v="5"/>
    <d v="2020-12-28T00:00:00"/>
    <n v="456.5"/>
    <n v="1255.25"/>
    <n v="415.3"/>
    <n v="614.25"/>
    <n v="41.72"/>
    <n v="5.2461000000000002"/>
  </r>
  <r>
    <x v="6"/>
    <x v="5"/>
    <d v="2020-12-25T00:00:00"/>
    <m/>
    <m/>
    <m/>
    <m/>
    <m/>
    <n v="5.2164999999999999"/>
  </r>
  <r>
    <x v="6"/>
    <x v="5"/>
    <d v="2020-12-24T00:00:00"/>
    <n v="451"/>
    <n v="1263.5"/>
    <n v="416.8"/>
    <n v="627"/>
    <n v="41.84"/>
    <n v="5.2164999999999999"/>
  </r>
  <r>
    <x v="6"/>
    <x v="5"/>
    <d v="2020-12-23T00:00:00"/>
    <n v="447.25"/>
    <n v="1258.75"/>
    <n v="421.2"/>
    <n v="629.75"/>
    <n v="41.35"/>
    <n v="5.2164000000000001"/>
  </r>
  <r>
    <x v="6"/>
    <x v="5"/>
    <d v="2020-12-22T00:00:00"/>
    <n v="443.5"/>
    <n v="1247.25"/>
    <n v="415"/>
    <n v="617"/>
    <n v="40.549999999999997"/>
    <n v="5.1597"/>
  </r>
  <r>
    <x v="6"/>
    <x v="5"/>
    <d v="2020-12-21T00:00:00"/>
    <n v="440"/>
    <n v="1243.25"/>
    <n v="412.3"/>
    <n v="611.25"/>
    <n v="39.96"/>
    <n v="5.1222000000000003"/>
  </r>
  <r>
    <x v="6"/>
    <x v="5"/>
    <d v="2020-12-18T00:00:00"/>
    <n v="437.5"/>
    <n v="1220"/>
    <n v="405.5"/>
    <n v="608.25"/>
    <n v="40.07"/>
    <n v="5.1021999999999998"/>
  </r>
  <r>
    <x v="6"/>
    <x v="5"/>
    <d v="2020-12-17T00:00:00"/>
    <n v="432.5"/>
    <n v="1201.25"/>
    <n v="397.9"/>
    <n v="608.75"/>
    <n v="39.93"/>
    <n v="5.0582000000000003"/>
  </r>
  <r>
    <x v="6"/>
    <x v="5"/>
    <d v="2020-12-16T00:00:00"/>
    <n v="427.25"/>
    <n v="1183.75"/>
    <n v="394.5"/>
    <n v="598.5"/>
    <n v="39.049999999999997"/>
    <n v="5.0838000000000001"/>
  </r>
  <r>
    <x v="6"/>
    <x v="5"/>
    <d v="2020-12-15T00:00:00"/>
    <n v="424.75"/>
    <n v="1184.25"/>
    <n v="388.2"/>
    <n v="599.75"/>
    <n v="39.19"/>
    <n v="5.0842000000000001"/>
  </r>
  <r>
    <x v="6"/>
    <x v="5"/>
    <d v="2020-12-14T00:00:00"/>
    <n v="419.25"/>
    <n v="1169.5"/>
    <n v="380.8"/>
    <n v="593.5"/>
    <n v="40.11"/>
    <n v="5.1189"/>
  </r>
  <r>
    <x v="6"/>
    <x v="5"/>
    <d v="2020-12-11T00:00:00"/>
    <n v="424.25"/>
    <n v="1160.5"/>
    <n v="384.1"/>
    <n v="608.25"/>
    <n v="39.58"/>
    <n v="5.0655999999999999"/>
  </r>
  <r>
    <x v="6"/>
    <x v="5"/>
    <d v="2020-12-10T00:00:00"/>
    <n v="420.25"/>
    <n v="1152.75"/>
    <n v="381"/>
    <n v="590.25"/>
    <n v="38.96"/>
    <n v="5.0255999999999998"/>
  </r>
  <r>
    <x v="6"/>
    <x v="5"/>
    <d v="2020-12-09T00:00:00"/>
    <n v="422"/>
    <n v="1158.5"/>
    <n v="384.4"/>
    <n v="577"/>
    <n v="38.76"/>
    <n v="5.1707999999999998"/>
  </r>
  <r>
    <x v="6"/>
    <x v="5"/>
    <d v="2020-12-08T00:00:00"/>
    <n v="417"/>
    <n v="1145.75"/>
    <n v="381.7"/>
    <n v="563.75"/>
    <n v="38.28"/>
    <n v="5.1201999999999996"/>
  </r>
  <r>
    <x v="6"/>
    <x v="5"/>
    <d v="2020-12-07T00:00:00"/>
    <n v="419.5"/>
    <n v="1158.5"/>
    <n v="386.5"/>
    <n v="571.25"/>
    <n v="38.869999999999997"/>
    <n v="5.0990000000000002"/>
  </r>
  <r>
    <x v="6"/>
    <x v="5"/>
    <d v="2020-12-04T00:00:00"/>
    <n v="417"/>
    <n v="1163"/>
    <n v="388.8"/>
    <n v="566.5"/>
    <n v="39.19"/>
    <n v="5.1557000000000004"/>
  </r>
  <r>
    <x v="6"/>
    <x v="5"/>
    <d v="2020-12-03T00:00:00"/>
    <n v="422.5"/>
    <n v="1168.25"/>
    <n v="392.8"/>
    <n v="571.75"/>
    <n v="38.68"/>
    <n v="5.1515000000000004"/>
  </r>
  <r>
    <x v="6"/>
    <x v="5"/>
    <d v="2020-12-02T00:00:00"/>
    <n v="419"/>
    <n v="1153"/>
    <n v="389.5"/>
    <n v="578"/>
    <n v="37.47"/>
    <n v="5.2175000000000002"/>
  </r>
  <r>
    <x v="6"/>
    <x v="5"/>
    <d v="2020-12-01T00:00:00"/>
    <n v="414.75"/>
    <n v="1162"/>
    <n v="393.5"/>
    <n v="565.5"/>
    <n v="37.4"/>
    <n v="5.2061000000000002"/>
  </r>
  <r>
    <x v="6"/>
    <x v="6"/>
    <d v="2020-11-30T00:00:00"/>
    <n v="419.75"/>
    <n v="1168.5"/>
    <n v="393.1"/>
    <n v="580.25"/>
    <n v="37.880000000000003"/>
    <n v="5.3319000000000001"/>
  </r>
  <r>
    <x v="6"/>
    <x v="6"/>
    <d v="2020-11-27T00:00:00"/>
    <n v="425.5"/>
    <n v="1191.75"/>
    <n v="398.5"/>
    <n v="596.5"/>
    <n v="38.700000000000003"/>
    <n v="5.3437999999999999"/>
  </r>
  <r>
    <x v="6"/>
    <x v="6"/>
    <d v="2020-11-26T00:00:00"/>
    <m/>
    <m/>
    <m/>
    <m/>
    <m/>
    <n v="5.3365"/>
  </r>
  <r>
    <x v="6"/>
    <x v="6"/>
    <d v="2020-11-25T00:00:00"/>
    <n v="420"/>
    <n v="1184"/>
    <n v="396.9"/>
    <n v="588.25"/>
    <n v="38.18"/>
    <n v="5.3236999999999997"/>
  </r>
  <r>
    <x v="6"/>
    <x v="6"/>
    <d v="2020-11-24T00:00:00"/>
    <n v="425.75"/>
    <n v="1191.25"/>
    <n v="398.3"/>
    <n v="611.25"/>
    <n v="38.06"/>
    <n v="5.3735999999999997"/>
  </r>
  <r>
    <x v="6"/>
    <x v="6"/>
    <d v="2020-11-23T00:00:00"/>
    <n v="426.5"/>
    <n v="1191.5"/>
    <n v="394.9"/>
    <n v="598.75"/>
    <n v="38.549999999999997"/>
    <n v="5.4390000000000001"/>
  </r>
  <r>
    <x v="6"/>
    <x v="6"/>
    <d v="2020-11-20T00:00:00"/>
    <n v="423.25"/>
    <n v="1181"/>
    <n v="394.7"/>
    <n v="593.25"/>
    <n v="38.659999999999997"/>
    <n v="5.3796999999999997"/>
  </r>
  <r>
    <x v="6"/>
    <x v="6"/>
    <d v="2020-11-19T00:00:00"/>
    <n v="422.5"/>
    <n v="1177.5"/>
    <n v="393.7"/>
    <n v="591.75"/>
    <n v="38.81"/>
    <n v="5.3053999999999997"/>
  </r>
  <r>
    <x v="6"/>
    <x v="6"/>
    <d v="2020-11-18T00:00:00"/>
    <n v="425.75"/>
    <n v="1175.75"/>
    <n v="394.9"/>
    <n v="597.75"/>
    <n v="38.46"/>
    <n v="5.3628999999999998"/>
  </r>
  <r>
    <x v="6"/>
    <x v="6"/>
    <d v="2020-11-17T00:00:00"/>
    <n v="420.25"/>
    <n v="1169.75"/>
    <n v="395.8"/>
    <n v="595.25"/>
    <n v="37.5"/>
    <n v="5.3281000000000001"/>
  </r>
  <r>
    <x v="6"/>
    <x v="6"/>
    <d v="2020-11-16T00:00:00"/>
    <n v="416.25"/>
    <n v="1153.5"/>
    <n v="389.3"/>
    <n v="598"/>
    <n v="37.43"/>
    <n v="5.4151999999999996"/>
  </r>
  <r>
    <x v="6"/>
    <x v="6"/>
    <d v="2020-11-13T00:00:00"/>
    <n v="410.5"/>
    <n v="1141.5"/>
    <n v="388.1"/>
    <n v="593.5"/>
    <n v="37.130000000000003"/>
    <n v="5.4581999999999997"/>
  </r>
  <r>
    <x v="6"/>
    <x v="6"/>
    <d v="2020-11-12T00:00:00"/>
    <n v="408.25"/>
    <n v="1137"/>
    <n v="388.1"/>
    <n v="588.25"/>
    <n v="37.049999999999997"/>
    <n v="5.4581"/>
  </r>
  <r>
    <x v="6"/>
    <x v="6"/>
    <d v="2020-11-11T00:00:00"/>
    <n v="417.25"/>
    <n v="1143.25"/>
    <n v="392.7"/>
    <n v="598"/>
    <n v="37.130000000000003"/>
    <n v="5.391"/>
  </r>
  <r>
    <x v="6"/>
    <x v="6"/>
    <d v="2020-11-10T00:00:00"/>
    <n v="423"/>
    <n v="1138.25"/>
    <n v="394.8"/>
    <n v="608.5"/>
    <n v="36.06"/>
    <n v="5.4146999999999998"/>
  </r>
  <r>
    <x v="6"/>
    <x v="6"/>
    <d v="2020-11-09T00:00:00"/>
    <n v="407.5"/>
    <n v="1105"/>
    <n v="384.1"/>
    <n v="597.5"/>
    <n v="35.479999999999997"/>
    <n v="5.3857999999999997"/>
  </r>
  <r>
    <x v="6"/>
    <x v="6"/>
    <d v="2020-11-06T00:00:00"/>
    <n v="406.75"/>
    <n v="1098.5"/>
    <n v="382.4"/>
    <n v="602"/>
    <n v="35.340000000000003"/>
    <n v="5.3647"/>
  </r>
  <r>
    <x v="6"/>
    <x v="6"/>
    <d v="2020-11-05T00:00:00"/>
    <n v="409.25"/>
    <n v="1101.75"/>
    <n v="387.8"/>
    <n v="609.25"/>
    <n v="35.47"/>
    <n v="5.5250000000000004"/>
  </r>
  <r>
    <x v="6"/>
    <x v="6"/>
    <d v="2020-11-04T00:00:00"/>
    <n v="405.25"/>
    <n v="1079"/>
    <n v="385.7"/>
    <n v="606"/>
    <n v="34.39"/>
    <n v="5.6635"/>
  </r>
  <r>
    <x v="6"/>
    <x v="6"/>
    <d v="2020-11-03T00:00:00"/>
    <n v="401"/>
    <n v="1059"/>
    <n v="377.2"/>
    <n v="608"/>
    <n v="33.78"/>
    <n v="5.7560000000000002"/>
  </r>
  <r>
    <x v="6"/>
    <x v="6"/>
    <d v="2020-11-02T00:00:00"/>
    <n v="397.5"/>
    <n v="1050.75"/>
    <n v="375.1"/>
    <n v="607.5"/>
    <n v="33.19"/>
    <n v="5.7424999999999997"/>
  </r>
  <r>
    <x v="6"/>
    <x v="7"/>
    <d v="2020-10-30T00:00:00"/>
    <n v="398.5"/>
    <n v="1056.5"/>
    <n v="378.6"/>
    <n v="598.5"/>
    <n v="33.61"/>
    <n v="5.7446000000000002"/>
  </r>
  <r>
    <x v="6"/>
    <x v="7"/>
    <d v="2020-10-29T00:00:00"/>
    <n v="398.5"/>
    <n v="1051.75"/>
    <n v="376.9"/>
    <n v="603.75"/>
    <n v="33.06"/>
    <n v="5.7789999999999999"/>
  </r>
  <r>
    <x v="6"/>
    <x v="7"/>
    <d v="2020-10-28T00:00:00"/>
    <n v="401.5"/>
    <n v="1057.25"/>
    <n v="376.7"/>
    <n v="608.75"/>
    <n v="33.42"/>
    <n v="5.7457000000000003"/>
  </r>
  <r>
    <x v="6"/>
    <x v="7"/>
    <d v="2020-10-27T00:00:00"/>
    <n v="416"/>
    <n v="1082.25"/>
    <n v="384"/>
    <n v="615.75"/>
    <n v="34.11"/>
    <n v="5.7054999999999998"/>
  </r>
  <r>
    <x v="6"/>
    <x v="7"/>
    <d v="2020-10-26T00:00:00"/>
    <n v="417.75"/>
    <n v="1087.75"/>
    <n v="389.6"/>
    <n v="620"/>
    <n v="34.46"/>
    <n v="5.6228999999999996"/>
  </r>
  <r>
    <x v="6"/>
    <x v="7"/>
    <d v="2020-10-23T00:00:00"/>
    <n v="419.25"/>
    <n v="1083.75"/>
    <n v="386.4"/>
    <n v="632.75"/>
    <n v="34.11"/>
    <n v="5.6174999999999997"/>
  </r>
  <r>
    <x v="6"/>
    <x v="7"/>
    <d v="2020-10-22T00:00:00"/>
    <n v="416.25"/>
    <n v="1073.75"/>
    <n v="382.4"/>
    <n v="622.75"/>
    <n v="33.69"/>
    <n v="5.5892999999999997"/>
  </r>
  <r>
    <x v="6"/>
    <x v="7"/>
    <d v="2020-10-21T00:00:00"/>
    <n v="413.75"/>
    <n v="1072"/>
    <n v="378.8"/>
    <n v="629.75"/>
    <n v="33.200000000000003"/>
    <n v="5.6066000000000003"/>
  </r>
  <r>
    <x v="6"/>
    <x v="7"/>
    <d v="2020-10-20T00:00:00"/>
    <n v="408.75"/>
    <n v="1064"/>
    <n v="371.9"/>
    <n v="632"/>
    <n v="33.31"/>
    <n v="5.6054000000000004"/>
  </r>
  <r>
    <x v="6"/>
    <x v="7"/>
    <d v="2020-10-19T00:00:00"/>
    <n v="405.25"/>
    <n v="1054.25"/>
    <n v="373.2"/>
    <n v="627"/>
    <n v="32.53"/>
    <n v="5.6069000000000004"/>
  </r>
  <r>
    <x v="6"/>
    <x v="7"/>
    <d v="2020-10-16T00:00:00"/>
    <n v="402"/>
    <n v="1050"/>
    <n v="367.5"/>
    <n v="625.25"/>
    <n v="32.99"/>
    <n v="5.6428000000000003"/>
  </r>
  <r>
    <x v="6"/>
    <x v="7"/>
    <d v="2020-10-15T00:00:00"/>
    <n v="403.75"/>
    <n v="1062.25"/>
    <n v="372.1"/>
    <n v="618.25"/>
    <n v="33.17"/>
    <n v="5.6125999999999996"/>
  </r>
  <r>
    <x v="6"/>
    <x v="7"/>
    <d v="2020-10-14T00:00:00"/>
    <n v="396.5"/>
    <n v="1056.25"/>
    <n v="358.4"/>
    <n v="596.75"/>
    <n v="33.72"/>
    <n v="5.5911999999999997"/>
  </r>
  <r>
    <x v="6"/>
    <x v="7"/>
    <d v="2020-10-13T00:00:00"/>
    <n v="391.25"/>
    <n v="1044"/>
    <n v="358.5"/>
    <n v="594"/>
    <n v="33.72"/>
    <n v="5.5693000000000001"/>
  </r>
  <r>
    <x v="6"/>
    <x v="7"/>
    <d v="2020-10-12T00:00:00"/>
    <n v="389"/>
    <n v="1033.75"/>
    <n v="356.7"/>
    <n v="594.25"/>
    <n v="33.14"/>
    <n v="5.5316000000000001"/>
  </r>
  <r>
    <x v="6"/>
    <x v="7"/>
    <d v="2020-10-09T00:00:00"/>
    <n v="395"/>
    <n v="1065.5"/>
    <n v="363.1"/>
    <n v="593.75"/>
    <n v="34.15"/>
    <n v="5.5317999999999996"/>
  </r>
  <r>
    <x v="6"/>
    <x v="7"/>
    <d v="2020-10-08T00:00:00"/>
    <n v="387"/>
    <n v="1050"/>
    <n v="359.2"/>
    <n v="595.25"/>
    <n v="33.24"/>
    <n v="5.5987"/>
  </r>
  <r>
    <x v="6"/>
    <x v="7"/>
    <d v="2020-10-07T00:00:00"/>
    <n v="388.75"/>
    <n v="1051"/>
    <n v="361"/>
    <n v="607.5"/>
    <n v="33.31"/>
    <n v="5.6097000000000001"/>
  </r>
  <r>
    <x v="6"/>
    <x v="7"/>
    <d v="2020-10-06T00:00:00"/>
    <n v="385"/>
    <n v="1044"/>
    <n v="354.3"/>
    <n v="592.75"/>
    <n v="33.29"/>
    <n v="5.593"/>
  </r>
  <r>
    <x v="6"/>
    <x v="7"/>
    <d v="2020-10-05T00:00:00"/>
    <n v="379.5"/>
    <n v="1021.5"/>
    <n v="343.6"/>
    <n v="584.25"/>
    <n v="32.81"/>
    <n v="5.5743"/>
  </r>
  <r>
    <x v="6"/>
    <x v="7"/>
    <d v="2020-10-02T00:00:00"/>
    <n v="379.75"/>
    <n v="1020.75"/>
    <n v="349.4"/>
    <n v="573.25"/>
    <n v="31.94"/>
    <n v="5.6851000000000003"/>
  </r>
  <r>
    <x v="6"/>
    <x v="7"/>
    <d v="2020-10-01T00:00:00"/>
    <n v="382.75"/>
    <n v="1023.5"/>
    <n v="345"/>
    <n v="570.25"/>
    <n v="32.65"/>
    <n v="5.6436999999999999"/>
  </r>
  <r>
    <x v="6"/>
    <x v="8"/>
    <d v="2020-09-30T00:00:00"/>
    <n v="379"/>
    <n v="1023.5"/>
    <n v="339.7"/>
    <n v="578"/>
    <n v="33.369999999999997"/>
    <n v="5.6112000000000002"/>
  </r>
  <r>
    <x v="6"/>
    <x v="8"/>
    <d v="2020-09-29T00:00:00"/>
    <n v="364.75"/>
    <n v="993"/>
    <n v="327.3"/>
    <n v="549.5"/>
    <n v="32.869999999999997"/>
    <n v="5.6344000000000003"/>
  </r>
  <r>
    <x v="6"/>
    <x v="8"/>
    <d v="2020-09-28T00:00:00"/>
    <n v="366.75"/>
    <n v="996.25"/>
    <n v="332.6"/>
    <n v="550.25"/>
    <n v="33.29"/>
    <n v="5.6627000000000001"/>
  </r>
  <r>
    <x v="6"/>
    <x v="8"/>
    <d v="2020-09-25T00:00:00"/>
    <n v="365.25"/>
    <n v="1002.5"/>
    <n v="336.9"/>
    <n v="544.25"/>
    <n v="32.840000000000003"/>
    <n v="5.5624000000000002"/>
  </r>
  <r>
    <x v="6"/>
    <x v="8"/>
    <d v="2020-09-24T00:00:00"/>
    <n v="363.5"/>
    <n v="1000"/>
    <n v="333.8"/>
    <n v="549.75"/>
    <n v="32.36"/>
    <n v="5.5088999999999997"/>
  </r>
  <r>
    <x v="6"/>
    <x v="8"/>
    <d v="2020-09-23T00:00:00"/>
    <n v="368.5"/>
    <n v="1014.5"/>
    <n v="342.1"/>
    <n v="549"/>
    <n v="32.69"/>
    <n v="5.5942999999999996"/>
  </r>
  <r>
    <x v="6"/>
    <x v="8"/>
    <d v="2020-09-22T00:00:00"/>
    <n v="369.25"/>
    <n v="1019.75"/>
    <n v="337.3"/>
    <n v="558"/>
    <n v="33.67"/>
    <n v="5.4703999999999997"/>
  </r>
  <r>
    <x v="6"/>
    <x v="8"/>
    <d v="2020-09-21T00:00:00"/>
    <n v="369.75"/>
    <n v="1022.5"/>
    <n v="333.4"/>
    <n v="554.75"/>
    <n v="34.270000000000003"/>
    <n v="5.4131"/>
  </r>
  <r>
    <x v="6"/>
    <x v="8"/>
    <d v="2020-09-18T00:00:00"/>
    <n v="378.5"/>
    <n v="1043.5"/>
    <n v="337.4"/>
    <n v="575"/>
    <n v="35.229999999999997"/>
    <n v="5.3875999999999999"/>
  </r>
  <r>
    <x v="6"/>
    <x v="8"/>
    <d v="2020-09-17T00:00:00"/>
    <n v="375.25"/>
    <n v="1028.5"/>
    <n v="330.4"/>
    <n v="556.25"/>
    <n v="34.909999999999997"/>
    <n v="5.2393999999999998"/>
  </r>
  <r>
    <x v="6"/>
    <x v="8"/>
    <d v="2020-09-16T00:00:00"/>
    <n v="371.75"/>
    <n v="1011.25"/>
    <n v="320.8"/>
    <n v="542"/>
    <n v="34.94"/>
    <n v="5.2377000000000002"/>
  </r>
  <r>
    <x v="6"/>
    <x v="8"/>
    <d v="2020-09-15T00:00:00"/>
    <n v="366"/>
    <n v="991.5"/>
    <n v="314.3"/>
    <n v="538.25"/>
    <n v="34.08"/>
    <n v="5.2747999999999999"/>
  </r>
  <r>
    <x v="6"/>
    <x v="8"/>
    <d v="2020-09-14T00:00:00"/>
    <n v="357.5"/>
    <n v="1019.25"/>
    <n v="316.2"/>
    <n v="548.5"/>
    <n v="34.28"/>
    <n v="5.2706"/>
  </r>
  <r>
    <x v="6"/>
    <x v="8"/>
    <d v="2020-09-11T00:00:00"/>
    <n v="365"/>
    <n v="1005.5"/>
    <n v="318.39999999999998"/>
    <n v="533.75"/>
    <n v="33.74"/>
    <n v="5.3189000000000002"/>
  </r>
  <r>
    <x v="6"/>
    <x v="8"/>
    <d v="2020-09-10T00:00:00"/>
    <n v="357.25"/>
    <n v="985"/>
    <n v="311.10000000000002"/>
    <n v="540"/>
    <n v="33.130000000000003"/>
    <n v="5.3209999999999997"/>
  </r>
  <r>
    <x v="6"/>
    <x v="8"/>
    <d v="2020-09-09T00:00:00"/>
    <n v="350"/>
    <n v="979.75"/>
    <n v="310.89999999999998"/>
    <n v="534"/>
    <n v="33.21"/>
    <n v="5.3078000000000003"/>
  </r>
  <r>
    <x v="6"/>
    <x v="8"/>
    <d v="2020-09-08T00:00:00"/>
    <n v="351"/>
    <n v="973"/>
    <n v="307.2"/>
    <n v="533.25"/>
    <n v="33.57"/>
    <n v="5.3638000000000003"/>
  </r>
  <r>
    <x v="6"/>
    <x v="8"/>
    <d v="2020-09-07T00:00:00"/>
    <m/>
    <m/>
    <m/>
    <m/>
    <m/>
    <n v="5.2995000000000001"/>
  </r>
  <r>
    <x v="6"/>
    <x v="8"/>
    <d v="2020-09-04T00:00:00"/>
    <n v="347.25"/>
    <n v="969.5"/>
    <n v="309.8"/>
    <n v="539.75"/>
    <n v="33.08"/>
    <n v="5.3011999999999997"/>
  </r>
  <r>
    <x v="6"/>
    <x v="8"/>
    <d v="2020-09-03T00:00:00"/>
    <n v="344.5"/>
    <n v="968.75"/>
    <n v="305.2"/>
    <n v="543.25"/>
    <n v="33.47"/>
    <n v="5.2914000000000003"/>
  </r>
  <r>
    <x v="6"/>
    <x v="8"/>
    <d v="2020-09-02T00:00:00"/>
    <n v="349.75"/>
    <n v="962.5"/>
    <n v="302.3"/>
    <n v="547.75"/>
    <n v="33.67"/>
    <n v="5.3403"/>
  </r>
  <r>
    <x v="6"/>
    <x v="8"/>
    <d v="2020-09-01T00:00:00"/>
    <n v="349.5"/>
    <n v="955"/>
    <n v="302.8"/>
    <n v="555.75"/>
    <n v="33.119999999999997"/>
    <n v="5.3959999999999999"/>
  </r>
  <r>
    <x v="6"/>
    <x v="9"/>
    <d v="2020-08-31T00:00:00"/>
    <n v="348.5"/>
    <n v="951.25"/>
    <n v="304.60000000000002"/>
    <n v="544.25"/>
    <n v="32.96"/>
    <n v="5.4913999999999996"/>
  </r>
  <r>
    <x v="6"/>
    <x v="9"/>
    <d v="2020-08-28T00:00:00"/>
    <n v="346"/>
    <n v="950.5"/>
    <n v="301.60000000000002"/>
    <n v="539.25"/>
    <n v="33.39"/>
    <n v="5.3880999999999997"/>
  </r>
  <r>
    <x v="6"/>
    <x v="9"/>
    <d v="2020-08-27T00:00:00"/>
    <n v="344.25"/>
    <n v="937.25"/>
    <n v="294.89999999999998"/>
    <n v="542.5"/>
    <n v="33.31"/>
    <n v="5.5690999999999997"/>
  </r>
  <r>
    <x v="6"/>
    <x v="9"/>
    <d v="2020-08-26T00:00:00"/>
    <n v="340.5"/>
    <n v="919.5"/>
    <n v="291.5"/>
    <n v="532"/>
    <n v="32.24"/>
    <n v="5.6054000000000004"/>
  </r>
  <r>
    <x v="6"/>
    <x v="9"/>
    <d v="2020-08-25T00:00:00"/>
    <n v="340.75"/>
    <n v="913.75"/>
    <n v="291.60000000000002"/>
    <n v="527.25"/>
    <n v="31.98"/>
    <n v="5.5075000000000003"/>
  </r>
  <r>
    <x v="6"/>
    <x v="9"/>
    <d v="2020-08-24T00:00:00"/>
    <n v="331.75"/>
    <n v="899.75"/>
    <n v="289.10000000000002"/>
    <n v="520.75"/>
    <n v="31.66"/>
    <n v="5.61"/>
  </r>
  <r>
    <x v="6"/>
    <x v="9"/>
    <d v="2020-08-21T00:00:00"/>
    <n v="327"/>
    <n v="900.75"/>
    <n v="290.2"/>
    <n v="527.25"/>
    <n v="31.41"/>
    <n v="5.6192000000000002"/>
  </r>
  <r>
    <x v="6"/>
    <x v="9"/>
    <d v="2020-08-20T00:00:00"/>
    <n v="324.5"/>
    <n v="903"/>
    <n v="293.8"/>
    <n v="519.5"/>
    <n v="31.3"/>
    <n v="5.5568"/>
  </r>
  <r>
    <x v="6"/>
    <x v="9"/>
    <d v="2020-08-19T00:00:00"/>
    <n v="325"/>
    <n v="912.5"/>
    <n v="295.7"/>
    <n v="512"/>
    <n v="31.67"/>
    <n v="5.5575000000000001"/>
  </r>
  <r>
    <x v="6"/>
    <x v="9"/>
    <d v="2020-08-18T00:00:00"/>
    <n v="327"/>
    <n v="912"/>
    <n v="296.2"/>
    <n v="507.5"/>
    <n v="31.58"/>
    <n v="5.4665999999999997"/>
  </r>
  <r>
    <x v="6"/>
    <x v="9"/>
    <d v="2020-08-17T00:00:00"/>
    <n v="331"/>
    <n v="912.5"/>
    <n v="298.3"/>
    <n v="516.5"/>
    <n v="31.3"/>
    <n v="5.5090000000000003"/>
  </r>
  <r>
    <x v="6"/>
    <x v="9"/>
    <d v="2020-08-14T00:00:00"/>
    <n v="324.5"/>
    <n v="903.5"/>
    <m/>
    <n v="500"/>
    <m/>
    <n v="5.4203999999999999"/>
  </r>
  <r>
    <x v="6"/>
    <x v="9"/>
    <d v="2020-08-13T00:00:00"/>
    <n v="325.25"/>
    <n v="907.25"/>
    <n v="290.10000000000002"/>
    <n v="496.75"/>
    <n v="31.6"/>
    <n v="5.3689999999999998"/>
  </r>
  <r>
    <x v="6"/>
    <x v="9"/>
    <d v="2020-08-12T00:00:00"/>
    <n v="314.5"/>
    <n v="890.5"/>
    <n v="282.2"/>
    <n v="491.25"/>
    <n v="32"/>
    <n v="5.4333"/>
  </r>
  <r>
    <x v="6"/>
    <x v="9"/>
    <d v="2020-08-11T00:00:00"/>
    <n v="311.5"/>
    <n v="878"/>
    <n v="282"/>
    <n v="495"/>
    <n v="31.06"/>
    <n v="5.38"/>
  </r>
  <r>
    <x v="6"/>
    <x v="9"/>
    <d v="2020-08-10T00:00:00"/>
    <n v="310.5"/>
    <n v="876.5"/>
    <n v="282.2"/>
    <n v="491"/>
    <n v="31.19"/>
    <n v="5.4812000000000003"/>
  </r>
  <r>
    <x v="6"/>
    <x v="9"/>
    <d v="2020-08-07T00:00:00"/>
    <n v="307.75"/>
    <n v="870.25"/>
    <n v="280"/>
    <n v="495.5"/>
    <n v="31.35"/>
    <n v="5.4382999999999999"/>
  </r>
  <r>
    <x v="6"/>
    <x v="9"/>
    <d v="2020-08-06T00:00:00"/>
    <n v="311.25"/>
    <n v="880.75"/>
    <n v="280.7"/>
    <n v="501.25"/>
    <n v="31.52"/>
    <n v="5.3315000000000001"/>
  </r>
  <r>
    <x v="6"/>
    <x v="9"/>
    <d v="2020-08-05T00:00:00"/>
    <n v="311"/>
    <n v="882"/>
    <n v="282.3"/>
    <n v="510.75"/>
    <n v="31.7"/>
    <n v="5.2901999999999996"/>
  </r>
  <r>
    <x v="6"/>
    <x v="9"/>
    <d v="2020-08-04T00:00:00"/>
    <n v="308.25"/>
    <n v="883.75"/>
    <n v="283.7"/>
    <n v="508.25"/>
    <n v="31.53"/>
    <n v="5.29"/>
  </r>
  <r>
    <x v="6"/>
    <x v="9"/>
    <d v="2020-08-03T00:00:00"/>
    <n v="317.5"/>
    <n v="897.5"/>
    <n v="287.10000000000002"/>
    <n v="521"/>
    <n v="31.67"/>
    <n v="5.3212999999999999"/>
  </r>
  <r>
    <x v="6"/>
    <x v="10"/>
    <d v="2020-07-31T00:00:00"/>
    <n v="316"/>
    <n v="897.5"/>
    <n v="289.3"/>
    <n v="531.25"/>
    <n v="30.91"/>
    <n v="5.2240000000000002"/>
  </r>
  <r>
    <x v="6"/>
    <x v="10"/>
    <d v="2020-07-30T00:00:00"/>
    <n v="315.75"/>
    <n v="891.75"/>
    <n v="289.8"/>
    <n v="529.5"/>
    <n v="29.98"/>
    <n v="5.1534000000000004"/>
  </r>
  <r>
    <x v="6"/>
    <x v="10"/>
    <d v="2020-07-29T00:00:00"/>
    <n v="315.5"/>
    <n v="891.5"/>
    <n v="286.89999999999998"/>
    <n v="532.75"/>
    <n v="29.67"/>
    <n v="5.1692"/>
  </r>
  <r>
    <x v="6"/>
    <x v="10"/>
    <d v="2020-07-28T00:00:00"/>
    <n v="320"/>
    <n v="896.75"/>
    <n v="288.89999999999998"/>
    <n v="523.5"/>
    <n v="29.42"/>
    <n v="5.1532999999999998"/>
  </r>
  <r>
    <x v="6"/>
    <x v="10"/>
    <d v="2020-07-27T00:00:00"/>
    <n v="325"/>
    <n v="906.5"/>
    <n v="292.5"/>
    <n v="527.75"/>
    <n v="29.6"/>
    <n v="5.1447000000000003"/>
  </r>
  <r>
    <x v="6"/>
    <x v="10"/>
    <d v="2020-07-24T00:00:00"/>
    <n v="326.25"/>
    <n v="904.75"/>
    <n v="290.8"/>
    <n v="539.5"/>
    <n v="29.8"/>
    <n v="5.2328999999999999"/>
  </r>
  <r>
    <x v="6"/>
    <x v="10"/>
    <d v="2020-07-23T00:00:00"/>
    <n v="328"/>
    <n v="906.25"/>
    <n v="290.39999999999998"/>
    <n v="529.5"/>
    <n v="29.79"/>
    <n v="5.2111999999999998"/>
  </r>
  <r>
    <x v="6"/>
    <x v="10"/>
    <d v="2020-07-22T00:00:00"/>
    <n v="327.5"/>
    <n v="899.25"/>
    <n v="286.60000000000002"/>
    <n v="534.5"/>
    <n v="29.93"/>
    <n v="5.1166"/>
  </r>
  <r>
    <x v="6"/>
    <x v="10"/>
    <d v="2020-07-21T00:00:00"/>
    <n v="322.75"/>
    <n v="896.5"/>
    <n v="285.60000000000002"/>
    <n v="527.75"/>
    <n v="30.07"/>
    <n v="5.1712999999999996"/>
  </r>
  <r>
    <x v="6"/>
    <x v="10"/>
    <d v="2020-07-20T00:00:00"/>
    <n v="328.25"/>
    <n v="903"/>
    <n v="288.60000000000002"/>
    <n v="522"/>
    <n v="29.93"/>
    <n v="5.3282999999999996"/>
  </r>
  <r>
    <x v="6"/>
    <x v="10"/>
    <d v="2020-07-17T00:00:00"/>
    <n v="333"/>
    <n v="898"/>
    <n v="286.5"/>
    <n v="534.75"/>
    <n v="29.92"/>
    <n v="5.3849"/>
  </r>
  <r>
    <x v="6"/>
    <x v="10"/>
    <d v="2020-07-16T00:00:00"/>
    <n v="330.25"/>
    <n v="893.5"/>
    <n v="287"/>
    <n v="535.25"/>
    <n v="29.27"/>
    <n v="5.3311000000000002"/>
  </r>
  <r>
    <x v="6"/>
    <x v="10"/>
    <d v="2020-07-15T00:00:00"/>
    <n v="326.25"/>
    <n v="886.25"/>
    <n v="285.8"/>
    <n v="550.75"/>
    <n v="28.8"/>
    <n v="5.3697999999999997"/>
  </r>
  <r>
    <x v="6"/>
    <x v="10"/>
    <d v="2020-07-14T00:00:00"/>
    <n v="334.75"/>
    <n v="882.25"/>
    <n v="283.7"/>
    <n v="524.75"/>
    <n v="28.48"/>
    <n v="5.3673999999999999"/>
  </r>
  <r>
    <x v="6"/>
    <x v="10"/>
    <d v="2020-07-13T00:00:00"/>
    <n v="334"/>
    <n v="876.5"/>
    <n v="283.10000000000002"/>
    <n v="524.75"/>
    <n v="27.97"/>
    <n v="5.4039999999999999"/>
  </r>
  <r>
    <x v="6"/>
    <x v="10"/>
    <d v="2020-07-10T00:00:00"/>
    <n v="340.5"/>
    <n v="891.5"/>
    <n v="290.8"/>
    <n v="535.75"/>
    <n v="28.11"/>
    <n v="5.3238000000000003"/>
  </r>
  <r>
    <x v="6"/>
    <x v="10"/>
    <d v="2020-07-09T00:00:00"/>
    <n v="351.25"/>
    <n v="898.25"/>
    <n v="295.10000000000002"/>
    <n v="526.25"/>
    <n v="28.19"/>
    <n v="5.3413000000000004"/>
  </r>
  <r>
    <x v="6"/>
    <x v="10"/>
    <d v="2020-07-08T00:00:00"/>
    <n v="348.25"/>
    <n v="894.75"/>
    <n v="291.60000000000002"/>
    <n v="517.5"/>
    <n v="28.46"/>
    <n v="5.3422000000000001"/>
  </r>
  <r>
    <x v="6"/>
    <x v="10"/>
    <d v="2020-07-07T00:00:00"/>
    <n v="345"/>
    <n v="895.25"/>
    <n v="293.3"/>
    <n v="492.25"/>
    <n v="28.76"/>
    <n v="5.3789999999999996"/>
  </r>
  <r>
    <x v="6"/>
    <x v="10"/>
    <d v="2020-07-06T00:00:00"/>
    <n v="346.5"/>
    <n v="898.5"/>
    <n v="295.39999999999998"/>
    <n v="489.5"/>
    <n v="28.42"/>
    <n v="5.3562000000000003"/>
  </r>
  <r>
    <x v="6"/>
    <x v="10"/>
    <d v="2020-07-03T00:00:00"/>
    <m/>
    <m/>
    <m/>
    <m/>
    <m/>
    <n v="5.3158000000000003"/>
  </r>
  <r>
    <x v="6"/>
    <x v="10"/>
    <d v="2020-07-02T00:00:00"/>
    <n v="342.5"/>
    <n v="892.5"/>
    <n v="293.5"/>
    <n v="490"/>
    <n v="27.96"/>
    <n v="5.3596000000000004"/>
  </r>
  <r>
    <x v="6"/>
    <x v="10"/>
    <d v="2020-07-01T00:00:00"/>
    <n v="348.25"/>
    <n v="893.75"/>
    <n v="292.7"/>
    <n v="498.75"/>
    <n v="28.21"/>
    <n v="5.3174000000000001"/>
  </r>
  <r>
    <x v="6"/>
    <x v="11"/>
    <d v="2020-06-30T00:00:00"/>
    <n v="338.5"/>
    <n v="884.25"/>
    <n v="286.3"/>
    <n v="490"/>
    <n v="27.98"/>
    <n v="5.4661"/>
  </r>
  <r>
    <x v="6"/>
    <x v="11"/>
    <d v="2020-06-29T00:00:00"/>
    <n v="326.25"/>
    <n v="866.5"/>
    <n v="280.5"/>
    <n v="485.5"/>
    <n v="27.62"/>
    <n v="5.4034000000000004"/>
  </r>
  <r>
    <x v="6"/>
    <x v="11"/>
    <d v="2020-06-26T00:00:00"/>
    <n v="317"/>
    <n v="865"/>
    <n v="282.10000000000002"/>
    <n v="474"/>
    <n v="27.2"/>
    <n v="5.484"/>
  </r>
  <r>
    <x v="6"/>
    <x v="11"/>
    <d v="2020-06-25T00:00:00"/>
    <n v="317.25"/>
    <n v="869.25"/>
    <n v="285.5"/>
    <n v="486.75"/>
    <n v="27.54"/>
    <n v="5.3560999999999996"/>
  </r>
  <r>
    <x v="6"/>
    <x v="11"/>
    <d v="2020-06-24T00:00:00"/>
    <n v="324.25"/>
    <n v="870.75"/>
    <n v="286.7"/>
    <n v="481.25"/>
    <n v="27.65"/>
    <n v="5.3467000000000002"/>
  </r>
  <r>
    <x v="6"/>
    <x v="11"/>
    <d v="2020-06-23T00:00:00"/>
    <n v="325"/>
    <n v="875"/>
    <n v="286.3"/>
    <n v="486"/>
    <n v="28.17"/>
    <n v="5.1542000000000003"/>
  </r>
  <r>
    <x v="6"/>
    <x v="11"/>
    <d v="2020-06-22T00:00:00"/>
    <n v="328.25"/>
    <n v="876.25"/>
    <n v="286.5"/>
    <n v="485"/>
    <n v="28.35"/>
    <n v="5.2523999999999997"/>
  </r>
  <r>
    <x v="6"/>
    <x v="11"/>
    <d v="2020-06-19T00:00:00"/>
    <n v="332.5"/>
    <n v="876.5"/>
    <n v="287"/>
    <n v="481.25"/>
    <n v="28.52"/>
    <n v="5.3105000000000002"/>
  </r>
  <r>
    <x v="6"/>
    <x v="11"/>
    <d v="2020-06-18T00:00:00"/>
    <n v="331"/>
    <n v="873"/>
    <n v="288.8"/>
    <n v="483.5"/>
    <n v="28.06"/>
    <n v="5.3776000000000002"/>
  </r>
  <r>
    <x v="6"/>
    <x v="11"/>
    <d v="2020-06-17T00:00:00"/>
    <n v="330.25"/>
    <n v="871.25"/>
    <n v="287.8"/>
    <n v="488.75"/>
    <n v="28.1"/>
    <n v="5.2286000000000001"/>
  </r>
  <r>
    <x v="6"/>
    <x v="11"/>
    <d v="2020-06-16T00:00:00"/>
    <n v="329"/>
    <n v="867"/>
    <n v="287.89999999999998"/>
    <n v="496"/>
    <n v="27.99"/>
    <n v="5.2430000000000003"/>
  </r>
  <r>
    <x v="6"/>
    <x v="11"/>
    <d v="2020-06-15T00:00:00"/>
    <n v="329.25"/>
    <n v="869"/>
    <n v="288.39999999999998"/>
    <n v="504.75"/>
    <n v="27.74"/>
    <n v="5.1557000000000004"/>
  </r>
  <r>
    <x v="6"/>
    <x v="11"/>
    <d v="2020-06-12T00:00:00"/>
    <n v="330"/>
    <n v="871.25"/>
    <n v="289"/>
    <n v="502"/>
    <n v="27.5"/>
    <n v="5.0505000000000004"/>
  </r>
  <r>
    <x v="6"/>
    <x v="11"/>
    <d v="2020-06-11T00:00:00"/>
    <n v="329.75"/>
    <n v="866"/>
    <n v="289.7"/>
    <n v="499.25"/>
    <n v="27.5"/>
    <n v="4.976"/>
  </r>
  <r>
    <x v="6"/>
    <x v="11"/>
    <d v="2020-06-10T00:00:00"/>
    <n v="326.25"/>
    <n v="865.5"/>
    <n v="288.8"/>
    <n v="506.25"/>
    <n v="28"/>
    <n v="4.9732000000000003"/>
  </r>
  <r>
    <x v="6"/>
    <x v="11"/>
    <d v="2020-06-09T00:00:00"/>
    <n v="327.5"/>
    <n v="863.25"/>
    <n v="287.10000000000002"/>
    <n v="504.5"/>
    <n v="28.23"/>
    <n v="4.8992000000000004"/>
  </r>
  <r>
    <x v="6"/>
    <x v="11"/>
    <d v="2020-06-08T00:00:00"/>
    <n v="333.75"/>
    <n v="864.75"/>
    <n v="288.39999999999998"/>
    <n v="511.5"/>
    <n v="28.1"/>
    <n v="4.8230000000000004"/>
  </r>
  <r>
    <x v="6"/>
    <x v="11"/>
    <d v="2020-06-05T00:00:00"/>
    <n v="331.25"/>
    <n v="867.75"/>
    <n v="289.10000000000002"/>
    <n v="515.25"/>
    <n v="28.14"/>
    <n v="4.9584999999999999"/>
  </r>
  <r>
    <x v="6"/>
    <x v="11"/>
    <d v="2020-06-04T00:00:00"/>
    <n v="329"/>
    <n v="867.75"/>
    <n v="289.8"/>
    <n v="523.75"/>
    <n v="27.82"/>
    <n v="5.1189999999999998"/>
  </r>
  <r>
    <x v="6"/>
    <x v="11"/>
    <d v="2020-06-03T00:00:00"/>
    <n v="324"/>
    <n v="857.5"/>
    <n v="286.3"/>
    <n v="512"/>
    <n v="27.86"/>
    <n v="5.0621999999999998"/>
  </r>
  <r>
    <x v="6"/>
    <x v="11"/>
    <d v="2020-06-02T00:00:00"/>
    <n v="324.25"/>
    <n v="850.5"/>
    <n v="283.7"/>
    <n v="508"/>
    <n v="27.94"/>
    <n v="5.2013999999999996"/>
  </r>
  <r>
    <x v="6"/>
    <x v="11"/>
    <d v="2020-06-01T00:00:00"/>
    <n v="323.25"/>
    <n v="840.5"/>
    <n v="283.10000000000002"/>
    <n v="515.25"/>
    <n v="27.6"/>
    <n v="5.3632999999999997"/>
  </r>
  <r>
    <x v="6"/>
    <x v="0"/>
    <d v="2020-05-29T00:00:00"/>
    <n v="325.75"/>
    <n v="840.75"/>
    <n v="283.2"/>
    <n v="520.75"/>
    <n v="27.38"/>
    <n v="5.3361000000000001"/>
  </r>
  <r>
    <x v="6"/>
    <x v="0"/>
    <d v="2020-05-28T00:00:00"/>
    <n v="327.5"/>
    <n v="847"/>
    <n v="284.3"/>
    <n v="514.5"/>
    <n v="27.39"/>
    <n v="5.4044999999999996"/>
  </r>
  <r>
    <x v="6"/>
    <x v="0"/>
    <d v="2020-05-27T00:00:00"/>
    <n v="320.5"/>
    <n v="848.5"/>
    <n v="282"/>
    <n v="504.5"/>
    <n v="27.6"/>
    <n v="5.2732999999999999"/>
  </r>
  <r>
    <x v="6"/>
    <x v="0"/>
    <d v="2020-05-26T00:00:00"/>
    <n v="319"/>
    <n v="847"/>
    <n v="283.89999999999998"/>
    <n v="506.75"/>
    <n v="27.27"/>
    <n v="5.3449999999999998"/>
  </r>
  <r>
    <x v="6"/>
    <x v="0"/>
    <d v="2020-05-25T00:00:00"/>
    <m/>
    <m/>
    <m/>
    <m/>
    <m/>
    <n v="5.4461000000000004"/>
  </r>
  <r>
    <x v="6"/>
    <x v="0"/>
    <d v="2020-05-22T00:00:00"/>
    <n v="318"/>
    <n v="833.25"/>
    <n v="284.10000000000002"/>
    <n v="508.75"/>
    <n v="26.64"/>
    <n v="5.5338000000000003"/>
  </r>
  <r>
    <x v="6"/>
    <x v="0"/>
    <d v="2020-05-21T00:00:00"/>
    <n v="317.75"/>
    <n v="835"/>
    <n v="282.5"/>
    <n v="516"/>
    <n v="27.11"/>
    <n v="5.5507"/>
  </r>
  <r>
    <x v="6"/>
    <x v="0"/>
    <d v="2020-05-20T00:00:00"/>
    <n v="319.5"/>
    <n v="846.75"/>
    <n v="285.5"/>
    <n v="513.75"/>
    <n v="27.36"/>
    <n v="5.6924999999999999"/>
  </r>
  <r>
    <x v="6"/>
    <x v="0"/>
    <d v="2020-05-19T00:00:00"/>
    <n v="321.25"/>
    <n v="842.5"/>
    <n v="284.60000000000002"/>
    <n v="498.75"/>
    <n v="27.09"/>
    <n v="5.7539999999999996"/>
  </r>
  <r>
    <x v="6"/>
    <x v="0"/>
    <d v="2020-05-18T00:00:00"/>
    <n v="320.75"/>
    <n v="845"/>
    <n v="285.10000000000002"/>
    <n v="497"/>
    <n v="27.32"/>
    <n v="5.7190000000000003"/>
  </r>
  <r>
    <x v="6"/>
    <x v="0"/>
    <d v="2020-05-15T00:00:00"/>
    <n v="319.25"/>
    <n v="838.5"/>
    <n v="287.5"/>
    <n v="500.25"/>
    <n v="26.58"/>
    <n v="5.8554000000000004"/>
  </r>
  <r>
    <x v="6"/>
    <x v="0"/>
    <d v="2020-05-14T00:00:00"/>
    <n v="320.25"/>
    <n v="835.25"/>
    <n v="285.2"/>
    <n v="510.5"/>
    <n v="25.92"/>
    <n v="5.8114999999999997"/>
  </r>
  <r>
    <x v="6"/>
    <x v="0"/>
    <d v="2020-05-13T00:00:00"/>
    <n v="320.25"/>
    <n v="836"/>
    <n v="285.2"/>
    <n v="510.5"/>
    <n v="25.63"/>
    <n v="5.8852000000000002"/>
  </r>
  <r>
    <x v="6"/>
    <x v="0"/>
    <d v="2020-05-12T00:00:00"/>
    <n v="323.75"/>
    <n v="849.25"/>
    <n v="288.60000000000002"/>
    <n v="521.75"/>
    <n v="25.98"/>
    <n v="5.8856000000000002"/>
  </r>
  <r>
    <x v="6"/>
    <x v="0"/>
    <d v="2020-05-11T00:00:00"/>
    <n v="318.5"/>
    <n v="852.25"/>
    <n v="286.3"/>
    <n v="524.75"/>
    <n v="26.19"/>
    <n v="5.8179999999999996"/>
  </r>
  <r>
    <x v="6"/>
    <x v="0"/>
    <d v="2020-05-08T00:00:00"/>
    <n v="319"/>
    <n v="848.75"/>
    <n v="286.7"/>
    <n v="529.5"/>
    <n v="26.23"/>
    <n v="5.7319000000000004"/>
  </r>
  <r>
    <x v="6"/>
    <x v="0"/>
    <d v="2020-05-07T00:00:00"/>
    <n v="316"/>
    <n v="841.5"/>
    <n v="283.60000000000002"/>
    <n v="529"/>
    <n v="25.94"/>
    <n v="5.8307000000000002"/>
  </r>
  <r>
    <x v="6"/>
    <x v="0"/>
    <d v="2020-05-06T00:00:00"/>
    <n v="311.75"/>
    <n v="830.5"/>
    <n v="283.10000000000002"/>
    <n v="524.75"/>
    <n v="25.52"/>
    <n v="5.7140000000000004"/>
  </r>
  <r>
    <x v="6"/>
    <x v="0"/>
    <d v="2020-05-05T00:00:00"/>
    <n v="313"/>
    <n v="838.25"/>
    <n v="284.8"/>
    <n v="525.5"/>
    <n v="25.97"/>
    <n v="5.5782999999999996"/>
  </r>
  <r>
    <x v="6"/>
    <x v="0"/>
    <d v="2020-05-04T00:00:00"/>
    <n v="310.75"/>
    <n v="834"/>
    <n v="283.3"/>
    <n v="524.25"/>
    <n v="25.8"/>
    <n v="5.5449999999999999"/>
  </r>
  <r>
    <x v="6"/>
    <x v="0"/>
    <d v="2020-05-01T00:00:00"/>
    <n v="311.5"/>
    <n v="847.25"/>
    <n v="287.39999999999998"/>
    <n v="521.5"/>
    <n v="26.14"/>
    <n v="5.4855999999999998"/>
  </r>
  <r>
    <x v="6"/>
    <x v="1"/>
    <d v="2020-04-30T00:00:00"/>
    <n v="311.5"/>
    <n v="850.25"/>
    <n v="289.60000000000002"/>
    <n v="529.75"/>
    <n v="26.23"/>
    <n v="5.4858000000000002"/>
  </r>
  <r>
    <x v="6"/>
    <x v="1"/>
    <d v="2020-04-29T00:00:00"/>
    <n v="304.5"/>
    <n v="831.75"/>
    <n v="283.2"/>
    <n v="519.5"/>
    <n v="25.78"/>
    <n v="5.3348000000000004"/>
  </r>
  <r>
    <x v="6"/>
    <x v="1"/>
    <d v="2020-04-28T00:00:00"/>
    <n v="302.75"/>
    <n v="826"/>
    <n v="281.8"/>
    <n v="526.75"/>
    <n v="25.3"/>
    <n v="5.4999000000000002"/>
  </r>
  <r>
    <x v="6"/>
    <x v="1"/>
    <d v="2020-04-27T00:00:00"/>
    <n v="305.5"/>
    <n v="829"/>
    <n v="285.3"/>
    <n v="521"/>
    <n v="24.99"/>
    <n v="5.6525999999999996"/>
  </r>
  <r>
    <x v="6"/>
    <x v="1"/>
    <d v="2020-04-24T00:00:00"/>
    <n v="315.75"/>
    <n v="832.25"/>
    <n v="287.7"/>
    <n v="526.75"/>
    <n v="25.05"/>
    <n v="5.5907"/>
  </r>
  <r>
    <x v="6"/>
    <x v="1"/>
    <d v="2020-04-23T00:00:00"/>
    <n v="319.25"/>
    <n v="839.25"/>
    <n v="288.7"/>
    <n v="547"/>
    <n v="25.61"/>
    <n v="5.5335000000000001"/>
  </r>
  <r>
    <x v="6"/>
    <x v="1"/>
    <d v="2020-04-22T00:00:00"/>
    <n v="317.5"/>
    <n v="834.75"/>
    <n v="288.3"/>
    <n v="543"/>
    <n v="25.57"/>
    <n v="5.4580000000000002"/>
  </r>
  <r>
    <x v="6"/>
    <x v="1"/>
    <d v="2020-04-21T00:00:00"/>
    <n v="309.25"/>
    <n v="830.75"/>
    <n v="289.10000000000002"/>
    <n v="546.75"/>
    <n v="25.35"/>
    <n v="5.3163"/>
  </r>
  <r>
    <x v="6"/>
    <x v="1"/>
    <d v="2020-04-20T00:00:00"/>
    <n v="314.25"/>
    <n v="826.5"/>
    <n v="285.60000000000002"/>
    <n v="548.75"/>
    <n v="25.98"/>
    <n v="5.3167999999999997"/>
  </r>
  <r>
    <x v="6"/>
    <x v="1"/>
    <d v="2020-04-17T00:00:00"/>
    <n v="322.25"/>
    <n v="832.5"/>
    <n v="288.2"/>
    <n v="533.5"/>
    <n v="26.29"/>
    <n v="5.2363"/>
  </r>
  <r>
    <x v="6"/>
    <x v="1"/>
    <d v="2020-04-16T00:00:00"/>
    <n v="319.75"/>
    <n v="836.75"/>
    <n v="291.8"/>
    <n v="529.75"/>
    <n v="26.3"/>
    <n v="5.2332999999999998"/>
  </r>
  <r>
    <x v="6"/>
    <x v="1"/>
    <d v="2020-04-15T00:00:00"/>
    <n v="319.25"/>
    <n v="842"/>
    <n v="292.2"/>
    <n v="540.25"/>
    <n v="26.55"/>
    <n v="5.2366999999999999"/>
  </r>
  <r>
    <x v="6"/>
    <x v="1"/>
    <d v="2020-04-14T00:00:00"/>
    <n v="326"/>
    <n v="847"/>
    <n v="287.5"/>
    <n v="548.75"/>
    <n v="26.74"/>
    <n v="5.1620999999999997"/>
  </r>
  <r>
    <x v="6"/>
    <x v="1"/>
    <d v="2020-04-13T00:00:00"/>
    <n v="331.5"/>
    <n v="854.25"/>
    <n v="288.60000000000002"/>
    <n v="555"/>
    <n v="26.9"/>
    <n v="5.1993999999999998"/>
  </r>
  <r>
    <x v="6"/>
    <x v="1"/>
    <d v="2020-04-10T00:00:00"/>
    <m/>
    <m/>
    <m/>
    <m/>
    <m/>
    <n v="5.1063000000000001"/>
  </r>
  <r>
    <x v="6"/>
    <x v="1"/>
    <d v="2020-04-09T00:00:00"/>
    <n v="331.75"/>
    <n v="863.5"/>
    <n v="292.5"/>
    <n v="556.5"/>
    <n v="27.41"/>
    <n v="5.1070000000000002"/>
  </r>
  <r>
    <x v="6"/>
    <x v="1"/>
    <d v="2020-04-08T00:00:00"/>
    <n v="330"/>
    <n v="854.5"/>
    <n v="292.8"/>
    <n v="548.25"/>
    <n v="27.18"/>
    <n v="5.1233000000000004"/>
  </r>
  <r>
    <x v="6"/>
    <x v="1"/>
    <d v="2020-04-07T00:00:00"/>
    <n v="331.5"/>
    <n v="854.75"/>
    <n v="293.8"/>
    <n v="549.25"/>
    <n v="27.48"/>
    <n v="5.2214"/>
  </r>
  <r>
    <x v="6"/>
    <x v="1"/>
    <d v="2020-04-06T00:00:00"/>
    <n v="327.75"/>
    <n v="855.5"/>
    <n v="297"/>
    <n v="555.75"/>
    <n v="26.83"/>
    <n v="5.2862999999999998"/>
  </r>
  <r>
    <x v="6"/>
    <x v="1"/>
    <d v="2020-04-03T00:00:00"/>
    <n v="330.75"/>
    <n v="854.25"/>
    <n v="303.2"/>
    <n v="549.25"/>
    <n v="26.43"/>
    <n v="5.3506"/>
  </r>
  <r>
    <x v="6"/>
    <x v="1"/>
    <d v="2020-04-02T00:00:00"/>
    <n v="333.5"/>
    <n v="858.75"/>
    <n v="309.10000000000002"/>
    <n v="541.75"/>
    <n v="26.24"/>
    <n v="5.2533000000000003"/>
  </r>
  <r>
    <x v="6"/>
    <x v="1"/>
    <d v="2020-04-01T00:00:00"/>
    <n v="334.75"/>
    <n v="862.75"/>
    <n v="314.89999999999998"/>
    <n v="550.25"/>
    <n v="26.05"/>
    <n v="5.2492999999999999"/>
  </r>
  <r>
    <x v="6"/>
    <x v="2"/>
    <d v="2020-03-31T00:00:00"/>
    <n v="340.75"/>
    <n v="886"/>
    <n v="321.5"/>
    <n v="568.75"/>
    <n v="27.01"/>
    <n v="5.2046000000000001"/>
  </r>
  <r>
    <x v="6"/>
    <x v="2"/>
    <d v="2020-03-30T00:00:00"/>
    <n v="341.25"/>
    <n v="882.25"/>
    <n v="325.5"/>
    <n v="569.5"/>
    <n v="26.87"/>
    <n v="5.1936"/>
  </r>
  <r>
    <x v="6"/>
    <x v="2"/>
    <d v="2020-03-27T00:00:00"/>
    <n v="346"/>
    <n v="881.5"/>
    <n v="323.10000000000002"/>
    <n v="571.25"/>
    <n v="26.85"/>
    <n v="5.0997000000000003"/>
  </r>
  <r>
    <x v="6"/>
    <x v="2"/>
    <d v="2020-03-26T00:00:00"/>
    <n v="348.75"/>
    <n v="880.25"/>
    <n v="322.89999999999998"/>
    <n v="569"/>
    <n v="26.5"/>
    <n v="5.0212000000000003"/>
  </r>
  <r>
    <x v="6"/>
    <x v="2"/>
    <d v="2020-03-25T00:00:00"/>
    <n v="348.5"/>
    <n v="881.5"/>
    <n v="321.7"/>
    <n v="580"/>
    <n v="26.64"/>
    <n v="5.0353000000000003"/>
  </r>
  <r>
    <x v="6"/>
    <x v="2"/>
    <d v="2020-03-24T00:00:00"/>
    <n v="347.25"/>
    <n v="886.75"/>
    <n v="332.1"/>
    <n v="561.5"/>
    <n v="26.55"/>
    <n v="5.0983000000000001"/>
  </r>
  <r>
    <x v="6"/>
    <x v="2"/>
    <d v="2020-03-23T00:00:00"/>
    <n v="343.5"/>
    <n v="884"/>
    <n v="333.6"/>
    <n v="562.5"/>
    <n v="26.14"/>
    <n v="5.1444000000000001"/>
  </r>
  <r>
    <x v="6"/>
    <x v="2"/>
    <d v="2020-03-20T00:00:00"/>
    <n v="343.75"/>
    <n v="862.5"/>
    <n v="325.2"/>
    <n v="539.25"/>
    <n v="25.64"/>
    <n v="5.0627000000000004"/>
  </r>
  <r>
    <x v="6"/>
    <x v="2"/>
    <d v="2020-03-19T00:00:00"/>
    <n v="345.5"/>
    <n v="843.25"/>
    <n v="314.8"/>
    <n v="535"/>
    <n v="25.48"/>
    <n v="5.0956999999999999"/>
  </r>
  <r>
    <x v="6"/>
    <x v="2"/>
    <d v="2020-03-18T00:00:00"/>
    <n v="335.25"/>
    <n v="825.5"/>
    <n v="304"/>
    <n v="508.25"/>
    <n v="25.04"/>
    <n v="5.1063999999999998"/>
  </r>
  <r>
    <x v="6"/>
    <x v="2"/>
    <d v="2020-03-17T00:00:00"/>
    <n v="344"/>
    <n v="824.25"/>
    <n v="298.3"/>
    <n v="499.25"/>
    <n v="25.24"/>
    <n v="5.0084"/>
  </r>
  <r>
    <x v="6"/>
    <x v="2"/>
    <d v="2020-03-16T00:00:00"/>
    <n v="354.75"/>
    <n v="821.75"/>
    <n v="296.3"/>
    <n v="498"/>
    <n v="24.99"/>
    <n v="5.0002000000000004"/>
  </r>
  <r>
    <x v="6"/>
    <x v="2"/>
    <d v="2020-03-13T00:00:00"/>
    <n v="370.75"/>
    <n v="846.75"/>
    <n v="295.89999999999998"/>
    <n v="514.75"/>
    <n v="26.11"/>
    <n v="4.8579999999999997"/>
  </r>
  <r>
    <x v="6"/>
    <x v="2"/>
    <d v="2020-03-12T00:00:00"/>
    <n v="369.75"/>
    <n v="855"/>
    <n v="298.60000000000002"/>
    <n v="508.25"/>
    <n v="26.15"/>
    <n v="4.7910000000000004"/>
  </r>
  <r>
    <x v="6"/>
    <x v="2"/>
    <d v="2020-03-11T00:00:00"/>
    <n v="379.25"/>
    <n v="867.75"/>
    <n v="295.89999999999998"/>
    <n v="517.25"/>
    <n v="27.3"/>
    <n v="4.8136000000000001"/>
  </r>
  <r>
    <x v="6"/>
    <x v="2"/>
    <d v="2020-03-10T00:00:00"/>
    <n v="380"/>
    <n v="873"/>
    <n v="295.89999999999998"/>
    <n v="526.75"/>
    <n v="27.44"/>
    <n v="4.6425000000000001"/>
  </r>
  <r>
    <x v="6"/>
    <x v="2"/>
    <d v="2020-03-09T00:00:00"/>
    <n v="374.25"/>
    <n v="863.5"/>
    <n v="296.60000000000002"/>
    <n v="522.25"/>
    <n v="27.31"/>
    <n v="4.7230999999999996"/>
  </r>
  <r>
    <x v="6"/>
    <x v="2"/>
    <d v="2020-03-06T00:00:00"/>
    <n v="377.25"/>
    <n v="883.25"/>
    <n v="301.3"/>
    <n v="521.25"/>
    <n v="28.48"/>
    <n v="4.6269"/>
  </r>
  <r>
    <x v="6"/>
    <x v="2"/>
    <d v="2020-03-05T00:00:00"/>
    <n v="384.5"/>
    <n v="889"/>
    <n v="300.39999999999998"/>
    <n v="524.25"/>
    <n v="29.1"/>
    <n v="4.6073000000000004"/>
  </r>
  <r>
    <x v="6"/>
    <x v="2"/>
    <d v="2020-03-04T00:00:00"/>
    <n v="387"/>
    <n v="898.75"/>
    <n v="305.2"/>
    <n v="521.5"/>
    <n v="29.44"/>
    <n v="4.5846999999999998"/>
  </r>
  <r>
    <x v="6"/>
    <x v="2"/>
    <d v="2020-03-03T00:00:00"/>
    <n v="381.75"/>
    <n v="893"/>
    <n v="303.8"/>
    <n v="528.75"/>
    <n v="28.84"/>
    <n v="4.5144000000000002"/>
  </r>
  <r>
    <x v="6"/>
    <x v="2"/>
    <d v="2020-03-02T00:00:00"/>
    <n v="374.75"/>
    <n v="890.5"/>
    <n v="302.2"/>
    <n v="526.25"/>
    <n v="28.57"/>
    <n v="4.4740000000000002"/>
  </r>
  <r>
    <x v="6"/>
    <x v="3"/>
    <d v="2020-02-28T00:00:00"/>
    <n v="366.5"/>
    <n v="883.5"/>
    <n v="298.60000000000002"/>
    <n v="529"/>
    <n v="28.31"/>
    <n v="4.4733000000000001"/>
  </r>
  <r>
    <x v="6"/>
    <x v="3"/>
    <d v="2020-02-27T00:00:00"/>
    <n v="364.5"/>
    <n v="886.25"/>
    <n v="296.89999999999998"/>
    <n v="529.25"/>
    <n v="28.83"/>
    <n v="4.4861000000000004"/>
  </r>
  <r>
    <x v="6"/>
    <x v="3"/>
    <d v="2020-02-26T00:00:00"/>
    <n v="370.5"/>
    <n v="881"/>
    <n v="291.3"/>
    <n v="540.25"/>
    <n v="29.07"/>
    <n v="4.4501999999999997"/>
  </r>
  <r>
    <x v="6"/>
    <x v="3"/>
    <d v="2020-02-25T00:00:00"/>
    <n v="372.5"/>
    <n v="879"/>
    <n v="286.5"/>
    <n v="539"/>
    <n v="29.23"/>
    <n v="4.3878000000000004"/>
  </r>
  <r>
    <x v="6"/>
    <x v="3"/>
    <d v="2020-02-24T00:00:00"/>
    <n v="372.25"/>
    <n v="874.25"/>
    <n v="286.10000000000002"/>
    <n v="536.25"/>
    <n v="29.49"/>
    <n v="4.3878000000000004"/>
  </r>
  <r>
    <x v="6"/>
    <x v="3"/>
    <d v="2020-02-21T00:00:00"/>
    <n v="377"/>
    <n v="890.5"/>
    <n v="289.2"/>
    <n v="551"/>
    <n v="30.64"/>
    <n v="4.3895"/>
  </r>
  <r>
    <x v="6"/>
    <x v="3"/>
    <d v="2020-02-20T00:00:00"/>
    <n v="378.5"/>
    <n v="892.75"/>
    <n v="292.89999999999998"/>
    <n v="560"/>
    <n v="30.12"/>
    <n v="4.3933"/>
  </r>
  <r>
    <x v="6"/>
    <x v="3"/>
    <d v="2020-02-19T00:00:00"/>
    <n v="380.5"/>
    <n v="897.25"/>
    <n v="293"/>
    <n v="565.25"/>
    <n v="30.34"/>
    <n v="4.3648999999999996"/>
  </r>
  <r>
    <x v="6"/>
    <x v="3"/>
    <d v="2020-02-18T00:00:00"/>
    <n v="383"/>
    <n v="892.25"/>
    <n v="292.2"/>
    <n v="566.75"/>
    <n v="30.48"/>
    <n v="4.3556999999999997"/>
  </r>
  <r>
    <x v="6"/>
    <x v="3"/>
    <d v="2020-02-17T00:00:00"/>
    <m/>
    <m/>
    <m/>
    <m/>
    <m/>
    <n v="4.327"/>
  </r>
  <r>
    <x v="6"/>
    <x v="3"/>
    <d v="2020-02-14T00:00:00"/>
    <n v="377.75"/>
    <n v="893.75"/>
    <n v="291.10000000000002"/>
    <n v="542.75"/>
    <n v="30.57"/>
    <n v="4.2973999999999997"/>
  </r>
  <r>
    <x v="6"/>
    <x v="3"/>
    <d v="2020-02-13T00:00:00"/>
    <n v="379.5"/>
    <n v="896.25"/>
    <n v="291.89999999999998"/>
    <n v="544.25"/>
    <n v="30.72"/>
    <n v="4.3498000000000001"/>
  </r>
  <r>
    <x v="6"/>
    <x v="3"/>
    <d v="2020-02-12T00:00:00"/>
    <n v="383"/>
    <n v="892.5"/>
    <n v="291.7"/>
    <n v="547.5"/>
    <n v="31.03"/>
    <n v="4.3548"/>
  </r>
  <r>
    <x v="6"/>
    <x v="3"/>
    <d v="2020-02-11T00:00:00"/>
    <n v="379.75"/>
    <n v="884.75"/>
    <n v="290.8"/>
    <n v="542"/>
    <n v="30.72"/>
    <n v="4.3315999999999999"/>
  </r>
  <r>
    <x v="6"/>
    <x v="3"/>
    <d v="2020-02-10T00:00:00"/>
    <n v="381.75"/>
    <n v="884.25"/>
    <n v="291.39999999999998"/>
    <n v="552"/>
    <n v="30.62"/>
    <n v="4.3247999999999998"/>
  </r>
  <r>
    <x v="6"/>
    <x v="3"/>
    <d v="2020-02-07T00:00:00"/>
    <n v="383.5"/>
    <n v="882"/>
    <n v="289.3"/>
    <n v="558.75"/>
    <n v="30.97"/>
    <n v="4.3202999999999996"/>
  </r>
  <r>
    <x v="6"/>
    <x v="3"/>
    <d v="2020-02-06T00:00:00"/>
    <n v="379.25"/>
    <n v="881"/>
    <n v="288.2"/>
    <n v="556.25"/>
    <n v="31.24"/>
    <n v="4.2821999999999996"/>
  </r>
  <r>
    <x v="6"/>
    <x v="3"/>
    <d v="2020-02-05T00:00:00"/>
    <n v="380.75"/>
    <n v="880"/>
    <n v="287.39999999999998"/>
    <n v="562"/>
    <n v="31.32"/>
    <n v="4.2352999999999996"/>
  </r>
  <r>
    <x v="6"/>
    <x v="3"/>
    <d v="2020-02-04T00:00:00"/>
    <n v="382.25"/>
    <n v="879.5"/>
    <n v="288.5"/>
    <n v="557.25"/>
    <n v="30.73"/>
    <n v="4.2545000000000002"/>
  </r>
  <r>
    <x v="6"/>
    <x v="3"/>
    <d v="2020-02-03T00:00:00"/>
    <n v="378.75"/>
    <n v="877"/>
    <n v="289.8"/>
    <n v="555.5"/>
    <n v="30.29"/>
    <n v="4.2476000000000003"/>
  </r>
  <r>
    <x v="6"/>
    <x v="4"/>
    <d v="2020-01-31T00:00:00"/>
    <n v="381.25"/>
    <n v="872.5"/>
    <n v="291"/>
    <n v="553.75"/>
    <n v="29.94"/>
    <n v="4.282"/>
  </r>
  <r>
    <x v="6"/>
    <x v="4"/>
    <d v="2020-01-30T00:00:00"/>
    <n v="379.5"/>
    <n v="876.25"/>
    <n v="291.5"/>
    <n v="560.5"/>
    <n v="30.63"/>
    <n v="4.2430000000000003"/>
  </r>
  <r>
    <x v="6"/>
    <x v="4"/>
    <d v="2020-01-29T00:00:00"/>
    <n v="384.25"/>
    <n v="893"/>
    <n v="296.10000000000002"/>
    <n v="562.25"/>
    <n v="31.52"/>
    <n v="4.2302999999999997"/>
  </r>
  <r>
    <x v="6"/>
    <x v="4"/>
    <d v="2020-01-28T00:00:00"/>
    <n v="386.5"/>
    <n v="895"/>
    <n v="297.60000000000002"/>
    <n v="569.75"/>
    <n v="31.46"/>
    <n v="4.1943000000000001"/>
  </r>
  <r>
    <x v="6"/>
    <x v="4"/>
    <d v="2020-01-27T00:00:00"/>
    <n v="380.5"/>
    <n v="897.25"/>
    <n v="297.8"/>
    <n v="572.25"/>
    <n v="31.52"/>
    <n v="4.2073999999999998"/>
  </r>
  <r>
    <x v="6"/>
    <x v="4"/>
    <d v="2020-01-24T00:00:00"/>
    <n v="387.25"/>
    <n v="902"/>
    <n v="298.3"/>
    <n v="573.5"/>
    <n v="32.020000000000003"/>
    <n v="4.1814"/>
  </r>
  <r>
    <x v="6"/>
    <x v="4"/>
    <d v="2020-01-23T00:00:00"/>
    <n v="393.75"/>
    <n v="909.5"/>
    <n v="298.89999999999998"/>
    <n v="580.5"/>
    <n v="32.479999999999997"/>
    <n v="4.1703000000000001"/>
  </r>
  <r>
    <x v="6"/>
    <x v="4"/>
    <d v="2020-01-22T00:00:00"/>
    <n v="388.75"/>
    <n v="913.75"/>
    <n v="297.89999999999998"/>
    <n v="577.75"/>
    <n v="33.020000000000003"/>
    <n v="4.1825999999999999"/>
  </r>
  <r>
    <x v="6"/>
    <x v="4"/>
    <d v="2020-01-21T00:00:00"/>
    <n v="387.5"/>
    <n v="916"/>
    <n v="299.10000000000002"/>
    <n v="581.5"/>
    <n v="32.75"/>
    <n v="4.2122999999999999"/>
  </r>
  <r>
    <x v="6"/>
    <x v="4"/>
    <d v="2020-01-20T00:00:00"/>
    <m/>
    <m/>
    <m/>
    <m/>
    <m/>
    <n v="4.1898"/>
  </r>
  <r>
    <x v="6"/>
    <x v="4"/>
    <d v="2020-01-17T00:00:00"/>
    <n v="389.25"/>
    <n v="929.75"/>
    <n v="300.60000000000002"/>
    <n v="570.5"/>
    <n v="33.35"/>
    <n v="4.1616"/>
  </r>
  <r>
    <x v="6"/>
    <x v="4"/>
    <d v="2020-01-16T00:00:00"/>
    <n v="375.5"/>
    <n v="924"/>
    <n v="300.60000000000002"/>
    <n v="565.25"/>
    <n v="33.03"/>
    <n v="4.1847000000000003"/>
  </r>
  <r>
    <x v="6"/>
    <x v="4"/>
    <d v="2020-01-15T00:00:00"/>
    <n v="387.5"/>
    <n v="928.75"/>
    <n v="300.10000000000002"/>
    <n v="573.25"/>
    <n v="33.299999999999997"/>
    <n v="4.1753"/>
  </r>
  <r>
    <x v="6"/>
    <x v="4"/>
    <d v="2020-01-14T00:00:00"/>
    <n v="389"/>
    <n v="928.5"/>
    <n v="297.2"/>
    <n v="568.5"/>
    <n v="33.65"/>
    <n v="4.1326000000000001"/>
  </r>
  <r>
    <x v="6"/>
    <x v="4"/>
    <d v="2020-01-13T00:00:00"/>
    <n v="389.5"/>
    <n v="929.25"/>
    <n v="299"/>
    <n v="562.25"/>
    <n v="33.64"/>
    <n v="4.1466000000000003"/>
  </r>
  <r>
    <x v="6"/>
    <x v="4"/>
    <d v="2020-01-10T00:00:00"/>
    <n v="385.75"/>
    <n v="935"/>
    <n v="298.7"/>
    <n v="564.5"/>
    <n v="34.07"/>
    <n v="4.0960000000000001"/>
  </r>
  <r>
    <x v="6"/>
    <x v="4"/>
    <d v="2020-01-09T00:00:00"/>
    <n v="383.25"/>
    <n v="933.75"/>
    <n v="296.2"/>
    <n v="562.25"/>
    <n v="34.35"/>
    <n v="4.0925000000000002"/>
  </r>
  <r>
    <x v="6"/>
    <x v="4"/>
    <d v="2020-01-08T00:00:00"/>
    <n v="384.25"/>
    <n v="938.25"/>
    <n v="296.89999999999998"/>
    <n v="552.75"/>
    <n v="34.270000000000003"/>
    <n v="4.0647000000000002"/>
  </r>
  <r>
    <x v="6"/>
    <x v="4"/>
    <d v="2020-01-07T00:00:00"/>
    <n v="384.5"/>
    <n v="935"/>
    <n v="296.39999999999998"/>
    <n v="550.25"/>
    <n v="34.46"/>
    <n v="4.0675999999999997"/>
  </r>
  <r>
    <x v="6"/>
    <x v="4"/>
    <d v="2020-01-06T00:00:00"/>
    <n v="384.75"/>
    <n v="932.75"/>
    <n v="297.7"/>
    <n v="550"/>
    <n v="34.24"/>
    <n v="4.0616000000000003"/>
  </r>
  <r>
    <x v="6"/>
    <x v="4"/>
    <d v="2020-01-03T00:00:00"/>
    <n v="386.5"/>
    <n v="930.5"/>
    <n v="296.10000000000002"/>
    <n v="554.5"/>
    <n v="34.81"/>
    <n v="4.0669000000000004"/>
  </r>
  <r>
    <x v="6"/>
    <x v="4"/>
    <d v="2020-01-02T00:00:00"/>
    <n v="391.5"/>
    <n v="944.25"/>
    <n v="300.60000000000002"/>
    <n v="560.25"/>
    <n v="34.97"/>
    <n v="4.0259999999999998"/>
  </r>
  <r>
    <x v="6"/>
    <x v="4"/>
    <d v="2020-01-01T00:00:00"/>
    <m/>
    <m/>
    <m/>
    <m/>
    <m/>
    <n v="4.0190000000000001"/>
  </r>
  <r>
    <x v="7"/>
    <x v="5"/>
    <d v="2019-12-31T00:00:00"/>
    <n v="387.75"/>
    <n v="943"/>
    <n v="299.89999999999998"/>
    <n v="558.75"/>
    <n v="34.49"/>
    <n v="4.0190000000000001"/>
  </r>
  <r>
    <x v="7"/>
    <x v="5"/>
    <d v="2019-12-30T00:00:00"/>
    <n v="388.25"/>
    <n v="939.5"/>
    <n v="297.5"/>
    <n v="556"/>
    <n v="35.17"/>
    <n v="4.0190999999999999"/>
  </r>
  <r>
    <x v="7"/>
    <x v="5"/>
    <d v="2019-12-27T00:00:00"/>
    <n v="390"/>
    <n v="929.5"/>
    <n v="295.39999999999998"/>
    <n v="556.25"/>
    <n v="34.729999999999997"/>
    <n v="4.0456000000000003"/>
  </r>
  <r>
    <x v="7"/>
    <x v="5"/>
    <d v="2019-12-26T00:00:00"/>
    <n v="388.5"/>
    <n v="937.75"/>
    <n v="299.5"/>
    <n v="549"/>
    <n v="34.380000000000003"/>
    <n v="4.0556999999999999"/>
  </r>
  <r>
    <x v="7"/>
    <x v="5"/>
    <d v="2019-12-25T00:00:00"/>
    <m/>
    <m/>
    <m/>
    <m/>
    <m/>
    <n v="4.0833000000000004"/>
  </r>
  <r>
    <x v="7"/>
    <x v="5"/>
    <d v="2019-12-24T00:00:00"/>
    <n v="387.5"/>
    <n v="936.5"/>
    <n v="301.8"/>
    <n v="541"/>
    <n v="33.880000000000003"/>
    <n v="4.0833000000000004"/>
  </r>
  <r>
    <x v="7"/>
    <x v="5"/>
    <d v="2019-12-23T00:00:00"/>
    <n v="388.75"/>
    <n v="934"/>
    <n v="301.39999999999998"/>
    <n v="539.5"/>
    <n v="33.78"/>
    <n v="4.0833000000000004"/>
  </r>
  <r>
    <x v="7"/>
    <x v="5"/>
    <d v="2019-12-20T00:00:00"/>
    <n v="387.75"/>
    <n v="928.25"/>
    <n v="297.89999999999998"/>
    <n v="542.25"/>
    <n v="33.79"/>
    <n v="4.1021999999999998"/>
  </r>
  <r>
    <x v="7"/>
    <x v="5"/>
    <d v="2019-12-19T00:00:00"/>
    <n v="386.5"/>
    <n v="924.5"/>
    <n v="298.39999999999998"/>
    <n v="545.25"/>
    <n v="33.79"/>
    <n v="4.0693999999999999"/>
  </r>
  <r>
    <x v="7"/>
    <x v="5"/>
    <d v="2019-12-18T00:00:00"/>
    <n v="387"/>
    <n v="928.5"/>
    <n v="302.89999999999998"/>
    <n v="548.25"/>
    <n v="33.43"/>
    <n v="4.0629999999999997"/>
  </r>
  <r>
    <x v="7"/>
    <x v="5"/>
    <d v="2019-12-17T00:00:00"/>
    <n v="390"/>
    <n v="928.75"/>
    <n v="302.3"/>
    <n v="556.25"/>
    <n v="33.82"/>
    <n v="4.0716000000000001"/>
  </r>
  <r>
    <x v="7"/>
    <x v="5"/>
    <d v="2019-12-16T00:00:00"/>
    <n v="388"/>
    <n v="922"/>
    <n v="301.3"/>
    <n v="549.75"/>
    <n v="33.14"/>
    <n v="4.0628000000000002"/>
  </r>
  <r>
    <x v="7"/>
    <x v="5"/>
    <d v="2019-12-13T00:00:00"/>
    <n v="366.25"/>
    <n v="907.5"/>
    <n v="295.5"/>
    <n v="539.25"/>
    <n v="32.270000000000003"/>
    <n v="4.1079999999999997"/>
  </r>
  <r>
    <x v="7"/>
    <x v="5"/>
    <d v="2019-12-12T00:00:00"/>
    <n v="367"/>
    <n v="898.25"/>
    <n v="292.60000000000002"/>
    <n v="539.25"/>
    <n v="32.03"/>
    <n v="4.0904999999999996"/>
  </r>
  <r>
    <x v="7"/>
    <x v="5"/>
    <d v="2019-12-11T00:00:00"/>
    <n v="357.75"/>
    <n v="893.5"/>
    <n v="293.3"/>
    <n v="530.75"/>
    <n v="31.23"/>
    <n v="4.1238000000000001"/>
  </r>
  <r>
    <x v="7"/>
    <x v="5"/>
    <d v="2019-12-10T00:00:00"/>
    <n v="363.25"/>
    <n v="901.25"/>
    <n v="296.89999999999998"/>
    <n v="534.75"/>
    <n v="31.47"/>
    <n v="4.1467000000000001"/>
  </r>
  <r>
    <x v="7"/>
    <x v="5"/>
    <d v="2019-12-09T00:00:00"/>
    <n v="365.75"/>
    <n v="897.25"/>
    <n v="296.7"/>
    <n v="532"/>
    <n v="31.36"/>
    <n v="4.1421999999999999"/>
  </r>
  <r>
    <x v="7"/>
    <x v="5"/>
    <d v="2019-12-06T00:00:00"/>
    <n v="366.5"/>
    <n v="889.5"/>
    <n v="297.39999999999998"/>
    <n v="532.5"/>
    <n v="31.01"/>
    <n v="4.1410999999999998"/>
  </r>
  <r>
    <x v="7"/>
    <x v="5"/>
    <d v="2019-12-05T00:00:00"/>
    <n v="365.5"/>
    <n v="884.25"/>
    <n v="299.5"/>
    <n v="532"/>
    <n v="30.29"/>
    <n v="4.1856"/>
  </r>
  <r>
    <x v="7"/>
    <x v="5"/>
    <d v="2019-12-04T00:00:00"/>
    <n v="368.75"/>
    <n v="878"/>
    <n v="294.60000000000002"/>
    <n v="535"/>
    <n v="30.27"/>
    <n v="4.2077"/>
  </r>
  <r>
    <x v="7"/>
    <x v="5"/>
    <d v="2019-12-03T00:00:00"/>
    <n v="372"/>
    <n v="871"/>
    <n v="292.5"/>
    <n v="530.5"/>
    <n v="29.99"/>
    <n v="4.2062999999999997"/>
  </r>
  <r>
    <x v="7"/>
    <x v="5"/>
    <d v="2019-12-02T00:00:00"/>
    <n v="373.5"/>
    <n v="870.5"/>
    <n v="291.3"/>
    <n v="543.25"/>
    <n v="29.96"/>
    <n v="4.2229999999999999"/>
  </r>
  <r>
    <x v="7"/>
    <x v="6"/>
    <d v="2019-11-29T00:00:00"/>
    <n v="371.25"/>
    <n v="876.75"/>
    <n v="290.89999999999998"/>
    <n v="547.5"/>
    <n v="30.42"/>
    <n v="4.2363999999999997"/>
  </r>
  <r>
    <x v="7"/>
    <x v="6"/>
    <d v="2019-11-28T00:00:00"/>
    <m/>
    <m/>
    <m/>
    <m/>
    <m/>
    <n v="4.1900000000000004"/>
  </r>
  <r>
    <x v="7"/>
    <x v="6"/>
    <d v="2019-11-27T00:00:00"/>
    <n v="362.75"/>
    <n v="882"/>
    <n v="293.8"/>
    <n v="528.5"/>
    <n v="30.37"/>
    <n v="4.2636000000000003"/>
  </r>
  <r>
    <x v="7"/>
    <x v="6"/>
    <d v="2019-11-26T00:00:00"/>
    <n v="367.5"/>
    <n v="884.25"/>
    <n v="294.7"/>
    <n v="530.25"/>
    <n v="30.22"/>
    <n v="4.2329999999999997"/>
  </r>
  <r>
    <x v="7"/>
    <x v="6"/>
    <d v="2019-11-25T00:00:00"/>
    <n v="370.5"/>
    <n v="892.5"/>
    <n v="298.3"/>
    <n v="531"/>
    <n v="30.44"/>
    <n v="4.2266000000000004"/>
  </r>
  <r>
    <x v="7"/>
    <x v="6"/>
    <d v="2019-11-22T00:00:00"/>
    <n v="368.75"/>
    <n v="897"/>
    <n v="299"/>
    <n v="515.25"/>
    <n v="30.88"/>
    <n v="4.1962000000000002"/>
  </r>
  <r>
    <x v="7"/>
    <x v="6"/>
    <d v="2019-11-21T00:00:00"/>
    <n v="368.5"/>
    <n v="901"/>
    <n v="301"/>
    <n v="509"/>
    <n v="30.69"/>
    <n v="4.1929999999999996"/>
  </r>
  <r>
    <x v="7"/>
    <x v="6"/>
    <d v="2019-11-20T00:00:00"/>
    <n v="366.75"/>
    <n v="905"/>
    <n v="299.8"/>
    <n v="515.5"/>
    <n v="31.2"/>
    <n v="4.1955"/>
  </r>
  <r>
    <x v="7"/>
    <x v="6"/>
    <d v="2019-11-19T00:00:00"/>
    <n v="370"/>
    <n v="911.5"/>
    <n v="302"/>
    <n v="512"/>
    <n v="30.96"/>
    <n v="4.1942000000000004"/>
  </r>
  <r>
    <x v="7"/>
    <x v="6"/>
    <d v="2019-11-18T00:00:00"/>
    <n v="367.75"/>
    <n v="910.25"/>
    <n v="301.2"/>
    <n v="507.25"/>
    <n v="30.64"/>
    <n v="4.2176999999999998"/>
  </r>
  <r>
    <x v="7"/>
    <x v="6"/>
    <d v="2019-11-15T00:00:00"/>
    <n v="371.25"/>
    <n v="918.25"/>
    <n v="307.10000000000002"/>
    <n v="502.75"/>
    <n v="30.43"/>
    <n v="4.1957000000000004"/>
  </r>
  <r>
    <x v="7"/>
    <x v="6"/>
    <d v="2019-11-14T00:00:00"/>
    <n v="375.75"/>
    <n v="900.25"/>
    <n v="303.10000000000002"/>
    <n v="507.75"/>
    <n v="30.78"/>
    <n v="4.1948999999999996"/>
  </r>
  <r>
    <x v="7"/>
    <x v="6"/>
    <d v="2019-11-13T00:00:00"/>
    <n v="375.25"/>
    <n v="902.5"/>
    <n v="304.10000000000002"/>
    <n v="509"/>
    <n v="30.53"/>
    <n v="4.1702000000000004"/>
  </r>
  <r>
    <x v="7"/>
    <x v="6"/>
    <d v="2019-11-12T00:00:00"/>
    <n v="377.75"/>
    <n v="905.75"/>
    <n v="302.3"/>
    <n v="517"/>
    <n v="31.03"/>
    <n v="4.1675000000000004"/>
  </r>
  <r>
    <x v="7"/>
    <x v="6"/>
    <d v="2019-11-11T00:00:00"/>
    <n v="373.25"/>
    <n v="905"/>
    <n v="300.60000000000002"/>
    <n v="505.75"/>
    <n v="31.42"/>
    <n v="4.1516000000000002"/>
  </r>
  <r>
    <x v="7"/>
    <x v="6"/>
    <d v="2019-11-08T00:00:00"/>
    <n v="377.25"/>
    <n v="919.5"/>
    <n v="304.89999999999998"/>
    <n v="510.25"/>
    <n v="31.5"/>
    <n v="4.1632999999999996"/>
  </r>
  <r>
    <x v="7"/>
    <x v="6"/>
    <d v="2019-11-07T00:00:00"/>
    <n v="375.25"/>
    <n v="925"/>
    <n v="305.60000000000002"/>
    <n v="512.5"/>
    <n v="31.43"/>
    <n v="4.1003999999999996"/>
  </r>
  <r>
    <x v="7"/>
    <x v="6"/>
    <d v="2019-11-06T00:00:00"/>
    <n v="378.75"/>
    <n v="915"/>
    <n v="298.89999999999998"/>
    <n v="516.75"/>
    <n v="31.75"/>
    <n v="4.0834000000000001"/>
  </r>
  <r>
    <x v="7"/>
    <x v="6"/>
    <d v="2019-11-05T00:00:00"/>
    <n v="381.75"/>
    <n v="921.75"/>
    <n v="302.7"/>
    <n v="515.25"/>
    <n v="31.57"/>
    <n v="3.9935"/>
  </r>
  <r>
    <x v="7"/>
    <x v="6"/>
    <d v="2019-11-04T00:00:00"/>
    <n v="383.25"/>
    <n v="925.75"/>
    <n v="302.39999999999998"/>
    <n v="509.75"/>
    <n v="31.87"/>
    <n v="4.0152000000000001"/>
  </r>
  <r>
    <x v="7"/>
    <x v="6"/>
    <d v="2019-11-01T00:00:00"/>
    <n v="389.25"/>
    <n v="924.25"/>
    <n v="303.89999999999998"/>
    <n v="516"/>
    <n v="31.03"/>
    <n v="3.9897"/>
  </r>
  <r>
    <x v="7"/>
    <x v="7"/>
    <d v="2019-10-31T00:00:00"/>
    <n v="390"/>
    <n v="916.75"/>
    <n v="304.39999999999998"/>
    <n v="508.75"/>
    <n v="30.75"/>
    <n v="4.0174000000000003"/>
  </r>
  <r>
    <x v="7"/>
    <x v="7"/>
    <d v="2019-10-30T00:00:00"/>
    <n v="390.75"/>
    <n v="916"/>
    <n v="302.2"/>
    <n v="509.25"/>
    <n v="30.98"/>
    <n v="3.9895"/>
  </r>
  <r>
    <x v="7"/>
    <x v="7"/>
    <d v="2019-10-29T00:00:00"/>
    <n v="386.25"/>
    <n v="918.25"/>
    <n v="303"/>
    <n v="511.5"/>
    <n v="31"/>
    <n v="3.9980000000000002"/>
  </r>
  <r>
    <x v="7"/>
    <x v="7"/>
    <d v="2019-10-28T00:00:00"/>
    <n v="384"/>
    <n v="920.75"/>
    <n v="304"/>
    <n v="511.75"/>
    <n v="30.78"/>
    <n v="3.9902000000000002"/>
  </r>
  <r>
    <x v="7"/>
    <x v="7"/>
    <d v="2019-10-25T00:00:00"/>
    <n v="386.75"/>
    <n v="920.25"/>
    <n v="303.3"/>
    <n v="517.75"/>
    <n v="30.96"/>
    <n v="4.0029000000000003"/>
  </r>
  <r>
    <x v="7"/>
    <x v="7"/>
    <d v="2019-10-24T00:00:00"/>
    <n v="386.75"/>
    <n v="933.25"/>
    <n v="305.60000000000002"/>
    <n v="516"/>
    <n v="31.34"/>
    <n v="4.0400999999999998"/>
  </r>
  <r>
    <x v="7"/>
    <x v="7"/>
    <d v="2019-10-23T00:00:00"/>
    <n v="387.75"/>
    <n v="933.75"/>
    <n v="308.60000000000002"/>
    <n v="520.75"/>
    <n v="30.58"/>
    <n v="4.0336999999999996"/>
  </r>
  <r>
    <x v="7"/>
    <x v="7"/>
    <d v="2019-10-22T00:00:00"/>
    <n v="388"/>
    <n v="934"/>
    <n v="306.89999999999998"/>
    <n v="518"/>
    <n v="30.85"/>
    <n v="4.0816999999999997"/>
  </r>
  <r>
    <x v="7"/>
    <x v="7"/>
    <d v="2019-10-21T00:00:00"/>
    <n v="387.25"/>
    <n v="933.25"/>
    <n v="307.7"/>
    <n v="523.5"/>
    <n v="30.48"/>
    <n v="4.1284999999999998"/>
  </r>
  <r>
    <x v="7"/>
    <x v="7"/>
    <d v="2019-10-18T00:00:00"/>
    <n v="391"/>
    <n v="934"/>
    <n v="308.5"/>
    <n v="532.25"/>
    <n v="30.36"/>
    <n v="4.1105"/>
  </r>
  <r>
    <x v="7"/>
    <x v="7"/>
    <d v="2019-10-17T00:00:00"/>
    <n v="394.75"/>
    <n v="931.5"/>
    <n v="306.8"/>
    <n v="525.5"/>
    <n v="30.39"/>
    <n v="4.1630000000000003"/>
  </r>
  <r>
    <x v="7"/>
    <x v="7"/>
    <d v="2019-10-16T00:00:00"/>
    <n v="391.75"/>
    <n v="928"/>
    <n v="304.8"/>
    <n v="513.25"/>
    <n v="30.4"/>
    <n v="4.1505000000000001"/>
  </r>
  <r>
    <x v="7"/>
    <x v="7"/>
    <d v="2019-10-15T00:00:00"/>
    <n v="393.25"/>
    <n v="934"/>
    <n v="307.8"/>
    <n v="507"/>
    <n v="30.39"/>
    <n v="4.1805000000000003"/>
  </r>
  <r>
    <x v="7"/>
    <x v="7"/>
    <d v="2019-10-14T00:00:00"/>
    <n v="397.75"/>
    <n v="940.5"/>
    <n v="306"/>
    <n v="511"/>
    <n v="29.9"/>
    <n v="4.1254999999999997"/>
  </r>
  <r>
    <x v="7"/>
    <x v="7"/>
    <d v="2019-10-11T00:00:00"/>
    <n v="397.75"/>
    <n v="936"/>
    <n v="306.89999999999998"/>
    <n v="508"/>
    <n v="29.83"/>
    <n v="4.1093999999999999"/>
  </r>
  <r>
    <x v="7"/>
    <x v="7"/>
    <d v="2019-10-10T00:00:00"/>
    <n v="380.25"/>
    <n v="923.5"/>
    <n v="304.10000000000002"/>
    <n v="493"/>
    <n v="29.7"/>
    <n v="4.1089000000000002"/>
  </r>
  <r>
    <x v="7"/>
    <x v="7"/>
    <d v="2019-10-09T00:00:00"/>
    <n v="394.25"/>
    <n v="923.75"/>
    <n v="305.39999999999998"/>
    <n v="500.25"/>
    <n v="29.63"/>
    <n v="4.1089000000000002"/>
  </r>
  <r>
    <x v="7"/>
    <x v="7"/>
    <d v="2019-10-08T00:00:00"/>
    <n v="395.75"/>
    <n v="920.5"/>
    <n v="302.3"/>
    <n v="500.25"/>
    <n v="29.77"/>
    <n v="4.0941999999999998"/>
  </r>
  <r>
    <x v="7"/>
    <x v="7"/>
    <d v="2019-10-07T00:00:00"/>
    <n v="387"/>
    <n v="915.25"/>
    <n v="297.39999999999998"/>
    <n v="489.25"/>
    <n v="30.01"/>
    <n v="4.1067999999999998"/>
  </r>
  <r>
    <x v="7"/>
    <x v="7"/>
    <d v="2019-10-04T00:00:00"/>
    <n v="384.75"/>
    <n v="916.25"/>
    <n v="298.8"/>
    <n v="490.5"/>
    <n v="29.79"/>
    <n v="4.0551000000000004"/>
  </r>
  <r>
    <x v="7"/>
    <x v="7"/>
    <d v="2019-10-03T00:00:00"/>
    <n v="388.75"/>
    <n v="911.75"/>
    <n v="298"/>
    <n v="488.75"/>
    <n v="29.8"/>
    <n v="4.0831999999999997"/>
  </r>
  <r>
    <x v="7"/>
    <x v="7"/>
    <d v="2019-10-02T00:00:00"/>
    <n v="387.75"/>
    <n v="913.75"/>
    <n v="300.3"/>
    <n v="489"/>
    <n v="29.06"/>
    <n v="4.1287000000000003"/>
  </r>
  <r>
    <x v="7"/>
    <x v="7"/>
    <d v="2019-10-01T00:00:00"/>
    <n v="392.5"/>
    <n v="919.5"/>
    <n v="304.10000000000002"/>
    <n v="498.75"/>
    <n v="28.83"/>
    <n v="4.1577999999999999"/>
  </r>
  <r>
    <x v="7"/>
    <x v="8"/>
    <d v="2019-09-30T00:00:00"/>
    <n v="388"/>
    <n v="906"/>
    <n v="295.89999999999998"/>
    <n v="495.75"/>
    <n v="28.99"/>
    <n v="4.1551"/>
  </r>
  <r>
    <x v="7"/>
    <x v="8"/>
    <d v="2019-09-27T00:00:00"/>
    <n v="371.5"/>
    <n v="883"/>
    <n v="289.89999999999998"/>
    <n v="487.25"/>
    <n v="28.62"/>
    <n v="4.1599000000000004"/>
  </r>
  <r>
    <x v="7"/>
    <x v="8"/>
    <d v="2019-09-26T00:00:00"/>
    <n v="372.5"/>
    <n v="888.5"/>
    <n v="290.8"/>
    <n v="484.25"/>
    <n v="29.01"/>
    <n v="4.1707000000000001"/>
  </r>
  <r>
    <x v="7"/>
    <x v="8"/>
    <d v="2019-09-25T00:00:00"/>
    <n v="374.25"/>
    <n v="889.25"/>
    <n v="293.2"/>
    <n v="477.25"/>
    <n v="29.04"/>
    <n v="4.1477000000000004"/>
  </r>
  <r>
    <x v="7"/>
    <x v="8"/>
    <d v="2019-09-24T00:00:00"/>
    <n v="374.75"/>
    <n v="894.25"/>
    <n v="295.39999999999998"/>
    <n v="481.75"/>
    <n v="29.2"/>
    <n v="4.1646999999999998"/>
  </r>
  <r>
    <x v="7"/>
    <x v="8"/>
    <d v="2019-09-23T00:00:00"/>
    <n v="373.25"/>
    <n v="892.5"/>
    <n v="294.5"/>
    <n v="483"/>
    <n v="29.19"/>
    <n v="4.1628999999999996"/>
  </r>
  <r>
    <x v="7"/>
    <x v="8"/>
    <d v="2019-09-20T00:00:00"/>
    <n v="370.75"/>
    <n v="882.75"/>
    <n v="291.10000000000002"/>
    <n v="484.25"/>
    <n v="29.28"/>
    <n v="4.1471999999999998"/>
  </r>
  <r>
    <x v="7"/>
    <x v="8"/>
    <d v="2019-09-19T00:00:00"/>
    <n v="372.75"/>
    <n v="893"/>
    <n v="292.2"/>
    <n v="488"/>
    <n v="29.81"/>
    <n v="4.1672000000000002"/>
  </r>
  <r>
    <x v="7"/>
    <x v="8"/>
    <d v="2019-09-18T00:00:00"/>
    <n v="371.25"/>
    <n v="888.75"/>
    <n v="291.60000000000002"/>
    <n v="489.5"/>
    <n v="29.87"/>
    <n v="4.1105999999999998"/>
  </r>
  <r>
    <x v="7"/>
    <x v="8"/>
    <d v="2019-09-17T00:00:00"/>
    <n v="368"/>
    <n v="893.75"/>
    <n v="294.10000000000002"/>
    <n v="484.25"/>
    <n v="29.85"/>
    <n v="4.0773000000000001"/>
  </r>
  <r>
    <x v="7"/>
    <x v="8"/>
    <d v="2019-09-16T00:00:00"/>
    <n v="374"/>
    <n v="900"/>
    <n v="295.2"/>
    <n v="488.75"/>
    <n v="30.14"/>
    <n v="4.0800999999999998"/>
  </r>
  <r>
    <x v="7"/>
    <x v="8"/>
    <d v="2019-09-13T00:00:00"/>
    <n v="355.5"/>
    <n v="884.75"/>
    <n v="298.2"/>
    <n v="485.75"/>
    <n v="28.94"/>
    <n v="4.0839999999999996"/>
  </r>
  <r>
    <x v="7"/>
    <x v="8"/>
    <d v="2019-09-12T00:00:00"/>
    <n v="354.5"/>
    <n v="883"/>
    <n v="296.10000000000002"/>
    <n v="485.75"/>
    <n v="29.02"/>
    <n v="4.0602"/>
  </r>
  <r>
    <x v="7"/>
    <x v="8"/>
    <d v="2019-09-11T00:00:00"/>
    <n v="348.25"/>
    <n v="854"/>
    <n v="289.60000000000002"/>
    <n v="477.5"/>
    <n v="28.73"/>
    <n v="4.0670999999999999"/>
  </r>
  <r>
    <x v="7"/>
    <x v="8"/>
    <d v="2019-09-10T00:00:00"/>
    <n v="348.5"/>
    <n v="859.25"/>
    <n v="292.89999999999998"/>
    <n v="484.5"/>
    <n v="28.38"/>
    <n v="4.0797999999999996"/>
  </r>
  <r>
    <x v="7"/>
    <x v="8"/>
    <d v="2019-09-09T00:00:00"/>
    <n v="340.75"/>
    <n v="845"/>
    <n v="288.5"/>
    <n v="474.5"/>
    <n v="28.26"/>
    <n v="4.0942999999999996"/>
  </r>
  <r>
    <x v="7"/>
    <x v="8"/>
    <d v="2019-09-06T00:00:00"/>
    <n v="342.5"/>
    <n v="845"/>
    <n v="287.2"/>
    <n v="460.25"/>
    <n v="28.48"/>
    <n v="4.0606999999999998"/>
  </r>
  <r>
    <x v="7"/>
    <x v="8"/>
    <d v="2019-09-05T00:00:00"/>
    <n v="346.5"/>
    <n v="849.75"/>
    <n v="288.7"/>
    <n v="464"/>
    <n v="28.47"/>
    <n v="4.1081000000000003"/>
  </r>
  <r>
    <x v="7"/>
    <x v="8"/>
    <d v="2019-09-04T00:00:00"/>
    <n v="346"/>
    <n v="862.5"/>
    <n v="292.2"/>
    <n v="456.25"/>
    <n v="28.79"/>
    <n v="4.0948000000000002"/>
  </r>
  <r>
    <x v="7"/>
    <x v="8"/>
    <d v="2019-09-03T00:00:00"/>
    <n v="349.75"/>
    <n v="856.5"/>
    <n v="288"/>
    <n v="447.25"/>
    <n v="28.87"/>
    <n v="4.1677999999999997"/>
  </r>
  <r>
    <x v="7"/>
    <x v="8"/>
    <d v="2019-09-02T00:00:00"/>
    <m/>
    <m/>
    <m/>
    <m/>
    <m/>
    <n v="4.1856999999999998"/>
  </r>
  <r>
    <x v="7"/>
    <x v="9"/>
    <d v="2019-08-30T00:00:00"/>
    <n v="358"/>
    <n v="857"/>
    <n v="289.3"/>
    <n v="451.25"/>
    <n v="28.64"/>
    <n v="4.1444999999999999"/>
  </r>
  <r>
    <x v="7"/>
    <x v="9"/>
    <d v="2019-08-29T00:00:00"/>
    <n v="359.75"/>
    <n v="856.25"/>
    <n v="292"/>
    <n v="469.75"/>
    <n v="28.37"/>
    <n v="4.1684999999999999"/>
  </r>
  <r>
    <x v="7"/>
    <x v="9"/>
    <d v="2019-08-28T00:00:00"/>
    <n v="362.75"/>
    <n v="852.75"/>
    <n v="294"/>
    <n v="472.25"/>
    <n v="28.11"/>
    <n v="4.1677"/>
  </r>
  <r>
    <x v="7"/>
    <x v="9"/>
    <d v="2019-08-27T00:00:00"/>
    <n v="357"/>
    <n v="846.25"/>
    <n v="291.5"/>
    <n v="473.75"/>
    <n v="28.01"/>
    <n v="4.13"/>
  </r>
  <r>
    <x v="7"/>
    <x v="9"/>
    <d v="2019-08-26T00:00:00"/>
    <n v="358.5"/>
    <n v="853.75"/>
    <n v="293"/>
    <n v="473"/>
    <n v="28.33"/>
    <n v="4.1569000000000003"/>
  </r>
  <r>
    <x v="7"/>
    <x v="9"/>
    <d v="2019-08-23T00:00:00"/>
    <n v="359.75"/>
    <n v="843.25"/>
    <n v="289.89999999999998"/>
    <n v="475.25"/>
    <n v="28.34"/>
    <n v="4.1196000000000002"/>
  </r>
  <r>
    <x v="7"/>
    <x v="9"/>
    <d v="2019-08-22T00:00:00"/>
    <n v="363.25"/>
    <n v="856"/>
    <n v="293.7"/>
    <n v="467.25"/>
    <n v="28.54"/>
    <n v="4.0704000000000002"/>
  </r>
  <r>
    <x v="7"/>
    <x v="9"/>
    <d v="2019-08-21T00:00:00"/>
    <n v="362.5"/>
    <n v="860.5"/>
    <n v="294.7"/>
    <n v="462.5"/>
    <n v="28.74"/>
    <n v="4.0259999999999998"/>
  </r>
  <r>
    <x v="7"/>
    <x v="9"/>
    <d v="2019-08-20T00:00:00"/>
    <n v="359.5"/>
    <n v="855.75"/>
    <n v="294"/>
    <n v="460"/>
    <n v="28.43"/>
    <n v="4.0529000000000002"/>
  </r>
  <r>
    <x v="7"/>
    <x v="9"/>
    <d v="2019-08-19T00:00:00"/>
    <n v="365"/>
    <n v="854"/>
    <n v="292"/>
    <n v="465.5"/>
    <n v="28.68"/>
    <n v="4.0739999999999998"/>
  </r>
  <r>
    <x v="7"/>
    <x v="9"/>
    <d v="2019-08-16T00:00:00"/>
    <n v="371"/>
    <n v="867.25"/>
    <n v="294.89999999999998"/>
    <n v="470.75"/>
    <n v="29.13"/>
    <n v="4.0053999999999998"/>
  </r>
  <r>
    <x v="7"/>
    <x v="9"/>
    <d v="2019-08-15T00:00:00"/>
    <n v="360.75"/>
    <n v="858"/>
    <n v="291.8"/>
    <n v="469"/>
    <n v="29.07"/>
    <n v="3.9908000000000001"/>
  </r>
  <r>
    <x v="7"/>
    <x v="9"/>
    <d v="2019-08-14T00:00:00"/>
    <n v="359"/>
    <n v="861"/>
    <n v="293"/>
    <n v="473.75"/>
    <n v="29.1"/>
    <n v="4.0522"/>
  </r>
  <r>
    <x v="7"/>
    <x v="9"/>
    <d v="2019-08-13T00:00:00"/>
    <n v="366"/>
    <n v="872"/>
    <n v="297.8"/>
    <n v="472"/>
    <n v="29.17"/>
    <n v="3.9645999999999999"/>
  </r>
  <r>
    <x v="7"/>
    <x v="9"/>
    <d v="2019-08-12T00:00:00"/>
    <n v="385.25"/>
    <n v="861.5"/>
    <n v="291.89999999999998"/>
    <n v="471.75"/>
    <n v="29.64"/>
    <n v="3.9853000000000001"/>
  </r>
  <r>
    <x v="7"/>
    <x v="9"/>
    <d v="2019-08-09T00:00:00"/>
    <n v="410.25"/>
    <n v="873.75"/>
    <n v="296.7"/>
    <n v="499.5"/>
    <n v="29.51"/>
    <n v="3.9405999999999999"/>
  </r>
  <r>
    <x v="7"/>
    <x v="9"/>
    <d v="2019-08-08T00:00:00"/>
    <n v="411"/>
    <n v="865"/>
    <n v="294.8"/>
    <n v="498.5"/>
    <n v="28.96"/>
    <n v="3.9188000000000001"/>
  </r>
  <r>
    <x v="7"/>
    <x v="9"/>
    <d v="2019-08-07T00:00:00"/>
    <n v="406.5"/>
    <n v="848.75"/>
    <n v="293"/>
    <n v="488.25"/>
    <n v="27.96"/>
    <n v="3.9681999999999999"/>
  </r>
  <r>
    <x v="7"/>
    <x v="9"/>
    <d v="2019-08-06T00:00:00"/>
    <n v="404"/>
    <n v="847.75"/>
    <n v="295.10000000000002"/>
    <n v="484"/>
    <n v="27.48"/>
    <n v="3.9603000000000002"/>
  </r>
  <r>
    <x v="7"/>
    <x v="9"/>
    <d v="2019-08-05T00:00:00"/>
    <n v="405.25"/>
    <n v="850.25"/>
    <n v="294.89999999999998"/>
    <n v="494.5"/>
    <n v="27.76"/>
    <n v="3.9777999999999998"/>
  </r>
  <r>
    <x v="7"/>
    <x v="9"/>
    <d v="2019-08-02T00:00:00"/>
    <n v="399.5"/>
    <n v="850.25"/>
    <n v="292.39999999999998"/>
    <n v="490.75"/>
    <n v="28.19"/>
    <n v="3.8883000000000001"/>
  </r>
  <r>
    <x v="7"/>
    <x v="9"/>
    <d v="2019-08-01T00:00:00"/>
    <n v="392.75"/>
    <n v="847"/>
    <n v="293.2"/>
    <n v="475.75"/>
    <n v="27.68"/>
    <n v="3.8388"/>
  </r>
  <r>
    <x v="7"/>
    <x v="10"/>
    <d v="2019-07-31T00:00:00"/>
    <n v="400.25"/>
    <n v="864"/>
    <n v="298.2"/>
    <n v="487.25"/>
    <n v="27.75"/>
    <n v="3.8125"/>
  </r>
  <r>
    <x v="7"/>
    <x v="10"/>
    <d v="2019-07-30T00:00:00"/>
    <n v="411.25"/>
    <n v="878.75"/>
    <n v="300.3"/>
    <n v="497.25"/>
    <n v="28.31"/>
    <n v="3.7896000000000001"/>
  </r>
  <r>
    <x v="7"/>
    <x v="10"/>
    <d v="2019-07-29T00:00:00"/>
    <n v="417"/>
    <n v="885.75"/>
    <n v="304.2"/>
    <n v="503.5"/>
    <n v="28.43"/>
    <n v="3.7812999999999999"/>
  </r>
  <r>
    <x v="7"/>
    <x v="10"/>
    <d v="2019-07-26T00:00:00"/>
    <n v="414.5"/>
    <n v="883.25"/>
    <n v="303.10000000000002"/>
    <n v="496"/>
    <n v="28.47"/>
    <n v="3.7753000000000001"/>
  </r>
  <r>
    <x v="7"/>
    <x v="10"/>
    <d v="2019-07-25T00:00:00"/>
    <n v="418.5"/>
    <n v="882.5"/>
    <n v="303.89999999999998"/>
    <n v="499.5"/>
    <n v="28.27"/>
    <n v="3.7783000000000002"/>
  </r>
  <r>
    <x v="7"/>
    <x v="10"/>
    <d v="2019-07-24T00:00:00"/>
    <n v="424"/>
    <n v="891"/>
    <n v="306.3"/>
    <n v="497.75"/>
    <n v="28.3"/>
    <n v="3.7726000000000002"/>
  </r>
  <r>
    <x v="7"/>
    <x v="10"/>
    <d v="2019-07-23T00:00:00"/>
    <n v="425.5"/>
    <n v="885.75"/>
    <n v="306.39999999999998"/>
    <n v="487.25"/>
    <n v="28.01"/>
    <n v="3.7734999999999999"/>
  </r>
  <r>
    <x v="7"/>
    <x v="10"/>
    <d v="2019-07-22T00:00:00"/>
    <n v="422.25"/>
    <n v="888.25"/>
    <n v="308.39999999999998"/>
    <n v="487.25"/>
    <n v="27.73"/>
    <n v="3.7403"/>
  </r>
  <r>
    <x v="7"/>
    <x v="10"/>
    <d v="2019-07-19T00:00:00"/>
    <n v="430.75"/>
    <n v="901.5"/>
    <n v="311.2"/>
    <n v="502.5"/>
    <n v="28.1"/>
    <n v="3.7481"/>
  </r>
  <r>
    <x v="7"/>
    <x v="10"/>
    <d v="2019-07-18T00:00:00"/>
    <n v="424.5"/>
    <n v="881.25"/>
    <n v="307"/>
    <n v="493.5"/>
    <n v="27.64"/>
    <n v="3.7187000000000001"/>
  </r>
  <r>
    <x v="7"/>
    <x v="10"/>
    <d v="2019-07-17T00:00:00"/>
    <n v="436"/>
    <n v="882.5"/>
    <n v="307.5"/>
    <n v="505.5"/>
    <n v="27.68"/>
    <n v="3.7631999999999999"/>
  </r>
  <r>
    <x v="7"/>
    <x v="10"/>
    <d v="2019-07-16T00:00:00"/>
    <n v="435.25"/>
    <n v="887.75"/>
    <n v="308.39999999999998"/>
    <n v="507.5"/>
    <n v="27.99"/>
    <n v="3.7679999999999998"/>
  </r>
  <r>
    <x v="7"/>
    <x v="10"/>
    <d v="2019-07-15T00:00:00"/>
    <n v="441"/>
    <n v="901.75"/>
    <n v="311.60000000000002"/>
    <n v="507.75"/>
    <n v="28.28"/>
    <n v="3.7555000000000001"/>
  </r>
  <r>
    <x v="7"/>
    <x v="10"/>
    <d v="2019-07-12T00:00:00"/>
    <n v="449.5"/>
    <n v="906.75"/>
    <n v="313.3"/>
    <n v="536.25"/>
    <n v="28.11"/>
    <n v="3.7357999999999998"/>
  </r>
  <r>
    <x v="7"/>
    <x v="10"/>
    <d v="2019-07-11T00:00:00"/>
    <n v="447.75"/>
    <n v="896.25"/>
    <n v="311.60000000000002"/>
    <n v="536.25"/>
    <n v="28.07"/>
    <n v="3.754"/>
  </r>
  <r>
    <x v="7"/>
    <x v="10"/>
    <d v="2019-07-10T00:00:00"/>
    <n v="434.25"/>
    <n v="893"/>
    <n v="309.10000000000002"/>
    <n v="511.75"/>
    <n v="27.97"/>
    <n v="3.7543000000000002"/>
  </r>
  <r>
    <x v="7"/>
    <x v="10"/>
    <d v="2019-07-09T00:00:00"/>
    <n v="431.75"/>
    <n v="882.75"/>
    <n v="307.89999999999998"/>
    <n v="509.75"/>
    <n v="27.88"/>
    <n v="3.8"/>
  </r>
  <r>
    <x v="7"/>
    <x v="10"/>
    <d v="2019-07-08T00:00:00"/>
    <n v="438.5"/>
    <n v="875.25"/>
    <n v="304.2"/>
    <n v="516.75"/>
    <n v="27.86"/>
    <n v="3.8062999999999998"/>
  </r>
  <r>
    <x v="7"/>
    <x v="10"/>
    <d v="2019-07-05T00:00:00"/>
    <n v="434"/>
    <n v="872.25"/>
    <n v="303.8"/>
    <n v="519.25"/>
    <n v="27.44"/>
    <n v="3.8214999999999999"/>
  </r>
  <r>
    <x v="7"/>
    <x v="10"/>
    <d v="2019-07-04T00:00:00"/>
    <m/>
    <m/>
    <m/>
    <m/>
    <m/>
    <n v="3.8008000000000002"/>
  </r>
  <r>
    <x v="7"/>
    <x v="10"/>
    <d v="2019-07-03T00:00:00"/>
    <n v="433"/>
    <n v="885.25"/>
    <n v="306"/>
    <n v="518"/>
    <n v="28.02"/>
    <n v="3.8258000000000001"/>
  </r>
  <r>
    <x v="7"/>
    <x v="10"/>
    <d v="2019-07-02T00:00:00"/>
    <n v="413.5"/>
    <n v="876.25"/>
    <n v="303.5"/>
    <n v="503.5"/>
    <n v="27.66"/>
    <n v="3.8447"/>
  </r>
  <r>
    <x v="7"/>
    <x v="10"/>
    <d v="2019-07-01T00:00:00"/>
    <n v="412"/>
    <n v="885.5"/>
    <n v="304.8"/>
    <n v="514"/>
    <n v="27.98"/>
    <n v="3.8401000000000001"/>
  </r>
  <r>
    <x v="7"/>
    <x v="11"/>
    <d v="2019-06-28T00:00:00"/>
    <n v="420.25"/>
    <n v="899.75"/>
    <n v="313.10000000000002"/>
    <n v="528"/>
    <n v="28.24"/>
    <n v="3.8517999999999999"/>
  </r>
  <r>
    <x v="7"/>
    <x v="11"/>
    <d v="2019-06-27T00:00:00"/>
    <n v="440"/>
    <n v="887.75"/>
    <n v="312.2"/>
    <n v="547.5"/>
    <n v="27.81"/>
    <n v="3.8193999999999999"/>
  </r>
  <r>
    <x v="7"/>
    <x v="11"/>
    <d v="2019-06-26T00:00:00"/>
    <n v="443.25"/>
    <n v="894.25"/>
    <n v="313.39999999999998"/>
    <n v="543.75"/>
    <n v="27.81"/>
    <n v="3.8433000000000002"/>
  </r>
  <r>
    <x v="7"/>
    <x v="11"/>
    <d v="2019-06-25T00:00:00"/>
    <n v="447.5"/>
    <n v="903.5"/>
    <n v="315.7"/>
    <n v="535.75"/>
    <n v="28"/>
    <n v="3.8477999999999999"/>
  </r>
  <r>
    <x v="7"/>
    <x v="11"/>
    <d v="2019-06-24T00:00:00"/>
    <n v="446.75"/>
    <n v="909"/>
    <n v="317.60000000000002"/>
    <n v="538"/>
    <n v="28.35"/>
    <n v="3.8248000000000002"/>
  </r>
  <r>
    <x v="7"/>
    <x v="11"/>
    <d v="2019-06-21T00:00:00"/>
    <n v="442.25"/>
    <n v="902.75"/>
    <n v="315.60000000000002"/>
    <n v="526"/>
    <n v="28.44"/>
    <n v="3.819"/>
  </r>
  <r>
    <x v="7"/>
    <x v="11"/>
    <d v="2019-06-20T00:00:00"/>
    <n v="450"/>
    <n v="915.5"/>
    <n v="323"/>
    <n v="526.5"/>
    <n v="28.59"/>
    <n v="3.8386"/>
  </r>
  <r>
    <x v="7"/>
    <x v="11"/>
    <d v="2019-06-19T00:00:00"/>
    <n v="441"/>
    <n v="903.25"/>
    <n v="316.89999999999998"/>
    <n v="522.25"/>
    <n v="28.37"/>
    <n v="3.8388"/>
  </r>
  <r>
    <x v="7"/>
    <x v="11"/>
    <d v="2019-06-18T00:00:00"/>
    <n v="449.75"/>
    <n v="913.5"/>
    <n v="322"/>
    <n v="531.5"/>
    <n v="28.33"/>
    <n v="3.8595000000000002"/>
  </r>
  <r>
    <x v="7"/>
    <x v="11"/>
    <d v="2019-06-17T00:00:00"/>
    <n v="454.75"/>
    <n v="912.75"/>
    <n v="324.3"/>
    <n v="539.5"/>
    <n v="28.14"/>
    <n v="3.8881000000000001"/>
  </r>
  <r>
    <x v="7"/>
    <x v="11"/>
    <d v="2019-06-14T00:00:00"/>
    <n v="453"/>
    <n v="896.75"/>
    <n v="323.5"/>
    <n v="538.5"/>
    <n v="27.61"/>
    <n v="3.8956"/>
  </r>
  <r>
    <x v="7"/>
    <x v="11"/>
    <d v="2019-06-13T00:00:00"/>
    <n v="442"/>
    <n v="888"/>
    <n v="321.7"/>
    <n v="535.5"/>
    <n v="28.02"/>
    <n v="3.8485"/>
  </r>
  <r>
    <x v="7"/>
    <x v="11"/>
    <d v="2019-06-12T00:00:00"/>
    <n v="430"/>
    <n v="878"/>
    <n v="319.5"/>
    <n v="526.25"/>
    <n v="27.56"/>
    <n v="3.8668999999999998"/>
  </r>
  <r>
    <x v="7"/>
    <x v="11"/>
    <d v="2019-06-11T00:00:00"/>
    <n v="427.75"/>
    <n v="859.25"/>
    <n v="314.39999999999998"/>
    <n v="518"/>
    <n v="27.22"/>
    <n v="3.8569"/>
  </r>
  <r>
    <x v="7"/>
    <x v="11"/>
    <d v="2019-06-10T00:00:00"/>
    <n v="415.75"/>
    <n v="858.5"/>
    <n v="313.39999999999998"/>
    <n v="507.5"/>
    <n v="27.38"/>
    <n v="3.8874"/>
  </r>
  <r>
    <x v="7"/>
    <x v="11"/>
    <d v="2019-06-07T00:00:00"/>
    <n v="415.75"/>
    <n v="856.25"/>
    <n v="312.3"/>
    <n v="504.5"/>
    <n v="27.38"/>
    <n v="3.8774000000000002"/>
  </r>
  <r>
    <x v="7"/>
    <x v="11"/>
    <d v="2019-06-06T00:00:00"/>
    <n v="420.5"/>
    <n v="868.75"/>
    <n v="315.89999999999998"/>
    <n v="510"/>
    <n v="27.76"/>
    <n v="3.8795000000000002"/>
  </r>
  <r>
    <x v="7"/>
    <x v="11"/>
    <d v="2019-06-05T00:00:00"/>
    <n v="414.75"/>
    <n v="869.75"/>
    <n v="317.7"/>
    <n v="490.75"/>
    <n v="27.22"/>
    <n v="3.8807999999999998"/>
  </r>
  <r>
    <x v="7"/>
    <x v="11"/>
    <d v="2019-06-04T00:00:00"/>
    <n v="425.25"/>
    <n v="881.75"/>
    <n v="321"/>
    <n v="507.25"/>
    <n v="27.49"/>
    <n v="3.8542000000000001"/>
  </r>
  <r>
    <x v="7"/>
    <x v="11"/>
    <d v="2019-06-03T00:00:00"/>
    <n v="424.25"/>
    <n v="879"/>
    <n v="320.5"/>
    <n v="519.75"/>
    <n v="27.34"/>
    <n v="3.8851"/>
  </r>
  <r>
    <x v="7"/>
    <x v="0"/>
    <d v="2019-05-31T00:00:00"/>
    <n v="427"/>
    <n v="877.75"/>
    <n v="321.3"/>
    <n v="503"/>
    <n v="27.59"/>
    <n v="3.9218000000000002"/>
  </r>
  <r>
    <x v="7"/>
    <x v="0"/>
    <d v="2019-05-30T00:00:00"/>
    <n v="436.25"/>
    <n v="889"/>
    <n v="327.39999999999998"/>
    <n v="514.5"/>
    <n v="27.78"/>
    <n v="3.9815999999999998"/>
  </r>
  <r>
    <x v="7"/>
    <x v="0"/>
    <d v="2019-05-29T00:00:00"/>
    <n v="418.75"/>
    <n v="872"/>
    <n v="319"/>
    <n v="490.5"/>
    <n v="27.73"/>
    <n v="3.9742000000000002"/>
  </r>
  <r>
    <x v="7"/>
    <x v="0"/>
    <d v="2019-05-28T00:00:00"/>
    <n v="420.25"/>
    <n v="856"/>
    <n v="312.8"/>
    <n v="504.75"/>
    <n v="27.29"/>
    <n v="4.0243000000000002"/>
  </r>
  <r>
    <x v="7"/>
    <x v="0"/>
    <d v="2019-05-27T00:00:00"/>
    <m/>
    <m/>
    <m/>
    <m/>
    <m/>
    <n v="4.0410000000000004"/>
  </r>
  <r>
    <x v="7"/>
    <x v="0"/>
    <d v="2019-05-24T00:00:00"/>
    <n v="404.25"/>
    <n v="829.75"/>
    <n v="300.5"/>
    <n v="489.5"/>
    <n v="27.01"/>
    <n v="4.0213000000000001"/>
  </r>
  <r>
    <x v="7"/>
    <x v="0"/>
    <d v="2019-05-23T00:00:00"/>
    <n v="389.75"/>
    <n v="821.5"/>
    <n v="297.2"/>
    <n v="470.25"/>
    <n v="26.78"/>
    <n v="4.0393999999999997"/>
  </r>
  <r>
    <x v="7"/>
    <x v="0"/>
    <d v="2019-05-22T00:00:00"/>
    <n v="394.5"/>
    <n v="828.5"/>
    <n v="298.3"/>
    <n v="472.75"/>
    <n v="27.31"/>
    <n v="4.04"/>
  </r>
  <r>
    <x v="7"/>
    <x v="0"/>
    <d v="2019-05-21T00:00:00"/>
    <n v="394.25"/>
    <n v="822"/>
    <n v="295.3"/>
    <n v="478.75"/>
    <n v="27.14"/>
    <n v="4.0387000000000004"/>
  </r>
  <r>
    <x v="7"/>
    <x v="0"/>
    <d v="2019-05-20T00:00:00"/>
    <n v="389"/>
    <n v="831.75"/>
    <n v="297.3"/>
    <n v="478.25"/>
    <n v="27.5"/>
    <n v="4.0963000000000003"/>
  </r>
  <r>
    <x v="7"/>
    <x v="0"/>
    <d v="2019-05-17T00:00:00"/>
    <n v="383.25"/>
    <n v="821.75"/>
    <n v="294.3"/>
    <n v="465"/>
    <n v="27.22"/>
    <n v="4.0997000000000003"/>
  </r>
  <r>
    <x v="7"/>
    <x v="0"/>
    <d v="2019-05-16T00:00:00"/>
    <n v="379"/>
    <n v="839.75"/>
    <n v="301.89999999999998"/>
    <n v="467"/>
    <n v="27.72"/>
    <n v="4.0467000000000004"/>
  </r>
  <r>
    <x v="7"/>
    <x v="0"/>
    <d v="2019-05-15T00:00:00"/>
    <n v="369.5"/>
    <n v="835.5"/>
    <n v="299.8"/>
    <n v="448.75"/>
    <n v="27.24"/>
    <n v="4.0011999999999999"/>
  </r>
  <r>
    <x v="7"/>
    <x v="0"/>
    <d v="2019-05-14T00:00:00"/>
    <n v="360.5"/>
    <n v="817.75"/>
    <n v="294"/>
    <n v="439.25"/>
    <n v="26.73"/>
    <n v="3.9744999999999999"/>
  </r>
  <r>
    <x v="7"/>
    <x v="0"/>
    <d v="2019-05-13T00:00:00"/>
    <n v="347.5"/>
    <n v="791"/>
    <n v="284"/>
    <n v="431.25"/>
    <n v="26.35"/>
    <n v="3.9925000000000002"/>
  </r>
  <r>
    <x v="7"/>
    <x v="0"/>
    <d v="2019-05-10T00:00:00"/>
    <n v="342.5"/>
    <n v="797"/>
    <n v="284.10000000000002"/>
    <n v="419"/>
    <n v="26.5"/>
    <n v="3.9565999999999999"/>
  </r>
  <r>
    <x v="7"/>
    <x v="0"/>
    <d v="2019-05-09T00:00:00"/>
    <n v="344.5"/>
    <n v="800.25"/>
    <n v="285.3"/>
    <n v="421.75"/>
    <n v="26.34"/>
    <n v="3.9456000000000002"/>
  </r>
  <r>
    <x v="7"/>
    <x v="0"/>
    <d v="2019-05-08T00:00:00"/>
    <n v="355.25"/>
    <n v="814.25"/>
    <n v="288.7"/>
    <n v="431.25"/>
    <n v="26.71"/>
    <n v="3.9279000000000002"/>
  </r>
  <r>
    <x v="7"/>
    <x v="0"/>
    <d v="2019-05-07T00:00:00"/>
    <n v="358"/>
    <n v="817.75"/>
    <n v="288.39999999999998"/>
    <n v="430.5"/>
    <n v="26.81"/>
    <n v="3.97"/>
  </r>
  <r>
    <x v="7"/>
    <x v="0"/>
    <d v="2019-05-06T00:00:00"/>
    <n v="355.75"/>
    <n v="817.5"/>
    <n v="291.8"/>
    <n v="428"/>
    <n v="26.84"/>
    <n v="3.9683000000000002"/>
  </r>
  <r>
    <x v="7"/>
    <x v="0"/>
    <d v="2019-05-03T00:00:00"/>
    <n v="363"/>
    <n v="829.5"/>
    <n v="293.60000000000002"/>
    <n v="428"/>
    <n v="27.07"/>
    <n v="3.9378000000000002"/>
  </r>
  <r>
    <x v="7"/>
    <x v="0"/>
    <d v="2019-05-02T00:00:00"/>
    <n v="362"/>
    <n v="830.5"/>
    <n v="292.39999999999998"/>
    <n v="433.25"/>
    <n v="27.23"/>
    <n v="3.9653999999999998"/>
  </r>
  <r>
    <x v="7"/>
    <x v="0"/>
    <d v="2019-05-01T00:00:00"/>
    <n v="360"/>
    <n v="839.5"/>
    <n v="296"/>
    <n v="425"/>
    <n v="27.38"/>
    <n v="3.9195000000000002"/>
  </r>
  <r>
    <x v="7"/>
    <x v="1"/>
    <d v="2019-04-30T00:00:00"/>
    <n v="353.25"/>
    <n v="841.25"/>
    <n v="296"/>
    <n v="418.5"/>
    <n v="27.58"/>
    <n v="3.9207000000000001"/>
  </r>
  <r>
    <x v="7"/>
    <x v="1"/>
    <d v="2019-04-29T00:00:00"/>
    <n v="352"/>
    <n v="847.5"/>
    <n v="297.2"/>
    <n v="426.75"/>
    <n v="27.88"/>
    <n v="3.9441999999999999"/>
  </r>
  <r>
    <x v="7"/>
    <x v="1"/>
    <d v="2019-04-26T00:00:00"/>
    <n v="351.25"/>
    <n v="853.75"/>
    <n v="299.89999999999998"/>
    <n v="435"/>
    <n v="27.52"/>
    <n v="3.9287999999999998"/>
  </r>
  <r>
    <x v="7"/>
    <x v="1"/>
    <d v="2019-04-25T00:00:00"/>
    <n v="347.5"/>
    <n v="859.25"/>
    <n v="306"/>
    <n v="434.75"/>
    <n v="27.64"/>
    <n v="3.9529999999999998"/>
  </r>
  <r>
    <x v="7"/>
    <x v="1"/>
    <d v="2019-04-24T00:00:00"/>
    <n v="346.75"/>
    <n v="855.25"/>
    <n v="300.39999999999998"/>
    <n v="432.25"/>
    <n v="27.92"/>
    <n v="3.9922"/>
  </r>
  <r>
    <x v="7"/>
    <x v="1"/>
    <d v="2019-04-23T00:00:00"/>
    <n v="351.25"/>
    <n v="862"/>
    <n v="301"/>
    <n v="438.75"/>
    <n v="28.06"/>
    <n v="3.9197000000000002"/>
  </r>
  <r>
    <x v="7"/>
    <x v="1"/>
    <d v="2019-04-22T00:00:00"/>
    <n v="354.75"/>
    <n v="877"/>
    <n v="302.5"/>
    <n v="435.75"/>
    <n v="28.7"/>
    <n v="3.9358"/>
  </r>
  <r>
    <x v="7"/>
    <x v="1"/>
    <d v="2019-04-19T00:00:00"/>
    <m/>
    <m/>
    <m/>
    <m/>
    <m/>
    <n v="3.9260000000000002"/>
  </r>
  <r>
    <x v="7"/>
    <x v="1"/>
    <d v="2019-04-18T00:00:00"/>
    <n v="358.5"/>
    <n v="880.5"/>
    <n v="303.2"/>
    <n v="444.25"/>
    <n v="28.8"/>
    <n v="3.9260999999999999"/>
  </r>
  <r>
    <x v="7"/>
    <x v="1"/>
    <d v="2019-04-17T00:00:00"/>
    <n v="358.25"/>
    <n v="879"/>
    <n v="303.89999999999998"/>
    <n v="447"/>
    <n v="28.46"/>
    <n v="3.9373"/>
  </r>
  <r>
    <x v="7"/>
    <x v="1"/>
    <d v="2019-04-16T00:00:00"/>
    <n v="359"/>
    <n v="888"/>
    <n v="306.5"/>
    <n v="445"/>
    <n v="28.72"/>
    <n v="3.9030999999999998"/>
  </r>
  <r>
    <x v="7"/>
    <x v="1"/>
    <d v="2019-04-15T00:00:00"/>
    <n v="362.75"/>
    <n v="898.75"/>
    <n v="311"/>
    <n v="459.5"/>
    <n v="28.81"/>
    <n v="3.8719999999999999"/>
  </r>
  <r>
    <x v="7"/>
    <x v="1"/>
    <d v="2019-04-12T00:00:00"/>
    <n v="361"/>
    <n v="895.25"/>
    <n v="307.89999999999998"/>
    <n v="464.5"/>
    <n v="28.95"/>
    <n v="3.8812000000000002"/>
  </r>
  <r>
    <x v="7"/>
    <x v="1"/>
    <d v="2019-04-11T00:00:00"/>
    <n v="360"/>
    <n v="895.25"/>
    <n v="307.2"/>
    <n v="460.5"/>
    <n v="28.98"/>
    <n v="3.8570000000000002"/>
  </r>
  <r>
    <x v="7"/>
    <x v="1"/>
    <d v="2019-04-10T00:00:00"/>
    <n v="361.75"/>
    <n v="902"/>
    <n v="310.10000000000002"/>
    <n v="458"/>
    <n v="29.07"/>
    <n v="3.8247"/>
  </r>
  <r>
    <x v="7"/>
    <x v="1"/>
    <d v="2019-04-09T00:00:00"/>
    <n v="360"/>
    <n v="898.75"/>
    <n v="309.10000000000002"/>
    <n v="459.5"/>
    <n v="29.04"/>
    <n v="3.8502000000000001"/>
  </r>
  <r>
    <x v="7"/>
    <x v="1"/>
    <d v="2019-04-08T00:00:00"/>
    <n v="360"/>
    <n v="898.75"/>
    <n v="309.2"/>
    <n v="465.25"/>
    <n v="28.88"/>
    <n v="3.8490000000000002"/>
  </r>
  <r>
    <x v="7"/>
    <x v="1"/>
    <d v="2019-04-05T00:00:00"/>
    <n v="362.5"/>
    <n v="899"/>
    <n v="308"/>
    <n v="467.75"/>
    <n v="29.15"/>
    <n v="3.8730000000000002"/>
  </r>
  <r>
    <x v="7"/>
    <x v="1"/>
    <d v="2019-04-04T00:00:00"/>
    <n v="365.25"/>
    <n v="906.5"/>
    <n v="311.89999999999998"/>
    <n v="470.75"/>
    <n v="29.2"/>
    <n v="3.8586999999999998"/>
  </r>
  <r>
    <x v="7"/>
    <x v="1"/>
    <d v="2019-04-03T00:00:00"/>
    <n v="362.75"/>
    <n v="898.75"/>
    <n v="311"/>
    <n v="471"/>
    <n v="28.8"/>
    <n v="3.8694000000000002"/>
  </r>
  <r>
    <x v="7"/>
    <x v="1"/>
    <d v="2019-04-02T00:00:00"/>
    <n v="361.5"/>
    <n v="900"/>
    <n v="310.60000000000002"/>
    <n v="464"/>
    <n v="28.96"/>
    <n v="3.8525"/>
  </r>
  <r>
    <x v="7"/>
    <x v="1"/>
    <d v="2019-04-01T00:00:00"/>
    <n v="361.75"/>
    <n v="895.5"/>
    <n v="309.39999999999998"/>
    <n v="462.75"/>
    <n v="28.57"/>
    <n v="3.8508"/>
  </r>
  <r>
    <x v="7"/>
    <x v="2"/>
    <d v="2019-03-29T00:00:00"/>
    <n v="356.5"/>
    <n v="884.25"/>
    <n v="306.5"/>
    <n v="457.75"/>
    <n v="28.36"/>
    <n v="3.9238"/>
  </r>
  <r>
    <x v="7"/>
    <x v="2"/>
    <d v="2019-03-28T00:00:00"/>
    <n v="374"/>
    <n v="889.5"/>
    <n v="306.5"/>
    <n v="464.5"/>
    <n v="28.63"/>
    <n v="3.9005000000000001"/>
  </r>
  <r>
    <x v="7"/>
    <x v="2"/>
    <d v="2019-03-27T00:00:00"/>
    <n v="373.75"/>
    <n v="887.5"/>
    <n v="304.39999999999998"/>
    <n v="469.5"/>
    <n v="28.82"/>
    <n v="3.9933000000000001"/>
  </r>
  <r>
    <x v="7"/>
    <x v="2"/>
    <d v="2019-03-26T00:00:00"/>
    <n v="377.25"/>
    <n v="900.75"/>
    <n v="311"/>
    <n v="469.25"/>
    <n v="28.65"/>
    <n v="3.8769"/>
  </r>
  <r>
    <x v="7"/>
    <x v="2"/>
    <d v="2019-03-25T00:00:00"/>
    <n v="379.75"/>
    <n v="906.5"/>
    <n v="315.10000000000002"/>
    <n v="469.5"/>
    <n v="28.82"/>
    <n v="3.8534999999999999"/>
  </r>
  <r>
    <x v="7"/>
    <x v="2"/>
    <d v="2019-03-22T00:00:00"/>
    <n v="378.25"/>
    <n v="903.75"/>
    <n v="315"/>
    <n v="466"/>
    <n v="28.66"/>
    <n v="3.9066000000000001"/>
  </r>
  <r>
    <x v="7"/>
    <x v="2"/>
    <d v="2019-03-21T00:00:00"/>
    <n v="376.25"/>
    <n v="910.5"/>
    <n v="315.3"/>
    <n v="466.5"/>
    <n v="29.1"/>
    <n v="3.7921"/>
  </r>
  <r>
    <x v="7"/>
    <x v="2"/>
    <d v="2019-03-20T00:00:00"/>
    <n v="371.5"/>
    <n v="906"/>
    <n v="311.60000000000002"/>
    <n v="464.75"/>
    <n v="29.27"/>
    <n v="3.7755999999999998"/>
  </r>
  <r>
    <x v="7"/>
    <x v="2"/>
    <d v="2019-03-19T00:00:00"/>
    <n v="371.25"/>
    <n v="904"/>
    <n v="310.8"/>
    <n v="456.5"/>
    <n v="29.24"/>
    <n v="3.7885"/>
  </r>
  <r>
    <x v="7"/>
    <x v="2"/>
    <d v="2019-03-18T00:00:00"/>
    <n v="371.5"/>
    <n v="905.75"/>
    <n v="309.8"/>
    <n v="456.75"/>
    <n v="29.44"/>
    <n v="3.7913000000000001"/>
  </r>
  <r>
    <x v="7"/>
    <x v="2"/>
    <d v="2019-03-15T00:00:00"/>
    <n v="373.25"/>
    <n v="909.25"/>
    <n v="310.8"/>
    <n v="462.25"/>
    <n v="29.43"/>
    <n v="3.8130999999999999"/>
  </r>
  <r>
    <x v="7"/>
    <x v="2"/>
    <d v="2019-03-14T00:00:00"/>
    <n v="361.5"/>
    <n v="889.5"/>
    <n v="301.8"/>
    <n v="448.25"/>
    <n v="29.4"/>
    <n v="3.843"/>
  </r>
  <r>
    <x v="7"/>
    <x v="2"/>
    <d v="2019-03-13T00:00:00"/>
    <n v="357.25"/>
    <n v="889"/>
    <n v="300.2"/>
    <n v="440.25"/>
    <n v="29.69"/>
    <n v="3.8142"/>
  </r>
  <r>
    <x v="7"/>
    <x v="2"/>
    <d v="2019-03-12T00:00:00"/>
    <n v="356.5"/>
    <n v="884.75"/>
    <n v="298.3"/>
    <n v="446.25"/>
    <n v="29.78"/>
    <n v="3.8111000000000002"/>
  </r>
  <r>
    <x v="7"/>
    <x v="2"/>
    <d v="2019-03-11T00:00:00"/>
    <n v="352.5"/>
    <n v="877.75"/>
    <n v="296.7"/>
    <n v="422.25"/>
    <n v="29.4"/>
    <n v="3.8391999999999999"/>
  </r>
  <r>
    <x v="7"/>
    <x v="2"/>
    <d v="2019-03-08T00:00:00"/>
    <n v="354.75"/>
    <n v="883.75"/>
    <n v="299.10000000000002"/>
    <n v="432.75"/>
    <n v="29.39"/>
    <n v="3.8666"/>
  </r>
  <r>
    <x v="7"/>
    <x v="2"/>
    <d v="2019-03-07T00:00:00"/>
    <n v="356"/>
    <n v="890.75"/>
    <n v="302"/>
    <n v="431.5"/>
    <n v="29.41"/>
    <n v="3.8700999999999999"/>
  </r>
  <r>
    <x v="7"/>
    <x v="2"/>
    <d v="2019-03-06T00:00:00"/>
    <n v="362.5"/>
    <n v="889.75"/>
    <n v="301.8"/>
    <n v="440.5"/>
    <n v="29.51"/>
    <n v="3.8397000000000001"/>
  </r>
  <r>
    <x v="7"/>
    <x v="2"/>
    <d v="2019-03-05T00:00:00"/>
    <n v="366"/>
    <n v="901.25"/>
    <n v="305.60000000000002"/>
    <n v="454.25"/>
    <n v="29.73"/>
    <n v="3.7749999999999999"/>
  </r>
  <r>
    <x v="7"/>
    <x v="2"/>
    <d v="2019-03-04T00:00:00"/>
    <n v="365"/>
    <n v="903.25"/>
    <n v="306.3"/>
    <n v="446.75"/>
    <n v="29.78"/>
    <n v="3.7749999999999999"/>
  </r>
  <r>
    <x v="7"/>
    <x v="2"/>
    <d v="2019-03-01T00:00:00"/>
    <n v="364"/>
    <n v="899.25"/>
    <n v="303.3"/>
    <n v="454"/>
    <n v="29.95"/>
    <n v="3.7749000000000001"/>
  </r>
  <r>
    <x v="7"/>
    <x v="3"/>
    <d v="2019-02-28T00:00:00"/>
    <n v="362"/>
    <n v="897.5"/>
    <n v="302.3"/>
    <n v="452.5"/>
    <n v="29.96"/>
    <n v="3.7511000000000001"/>
  </r>
  <r>
    <x v="7"/>
    <x v="3"/>
    <d v="2019-02-27T00:00:00"/>
    <n v="363.75"/>
    <n v="903.5"/>
    <n v="305"/>
    <n v="461"/>
    <n v="29.8"/>
    <n v="3.7284999999999999"/>
  </r>
  <r>
    <x v="7"/>
    <x v="3"/>
    <d v="2019-02-26T00:00:00"/>
    <n v="366.25"/>
    <n v="903.75"/>
    <n v="303.2"/>
    <n v="460.25"/>
    <n v="30.09"/>
    <n v="3.7486999999999999"/>
  </r>
  <r>
    <x v="7"/>
    <x v="3"/>
    <d v="2019-02-25T00:00:00"/>
    <n v="370.5"/>
    <n v="911.75"/>
    <n v="305.39999999999998"/>
    <n v="466.75"/>
    <n v="30.36"/>
    <n v="3.7519"/>
  </r>
  <r>
    <x v="7"/>
    <x v="3"/>
    <d v="2019-02-22T00:00:00"/>
    <n v="375.25"/>
    <n v="910.25"/>
    <n v="305.60000000000002"/>
    <n v="486.75"/>
    <n v="30.51"/>
    <n v="3.7482000000000002"/>
  </r>
  <r>
    <x v="7"/>
    <x v="3"/>
    <d v="2019-02-21T00:00:00"/>
    <n v="375.5"/>
    <n v="911"/>
    <n v="305.89999999999998"/>
    <n v="486.5"/>
    <n v="30.49"/>
    <n v="3.7692999999999999"/>
  </r>
  <r>
    <x v="7"/>
    <x v="3"/>
    <d v="2019-02-20T00:00:00"/>
    <n v="370.75"/>
    <n v="902.5"/>
    <n v="305.2"/>
    <n v="480.75"/>
    <n v="29.96"/>
    <n v="3.7273000000000001"/>
  </r>
  <r>
    <x v="7"/>
    <x v="3"/>
    <d v="2019-02-19T00:00:00"/>
    <n v="369.75"/>
    <n v="900.75"/>
    <n v="305.39999999999998"/>
    <n v="489.75"/>
    <n v="29.74"/>
    <n v="3.7227000000000001"/>
  </r>
  <r>
    <x v="7"/>
    <x v="3"/>
    <d v="2019-02-18T00:00:00"/>
    <m/>
    <m/>
    <m/>
    <m/>
    <m/>
    <n v="3.7351000000000001"/>
  </r>
  <r>
    <x v="7"/>
    <x v="3"/>
    <d v="2019-02-15T00:00:00"/>
    <n v="374.75"/>
    <n v="907.5"/>
    <n v="306.5"/>
    <n v="504.25"/>
    <n v="29.95"/>
    <n v="3.7006999999999999"/>
  </r>
  <r>
    <x v="7"/>
    <x v="3"/>
    <d v="2019-02-14T00:00:00"/>
    <n v="374.75"/>
    <n v="903.5"/>
    <n v="305.5"/>
    <n v="507"/>
    <n v="29.89"/>
    <n v="3.7231999999999998"/>
  </r>
  <r>
    <x v="7"/>
    <x v="3"/>
    <d v="2019-02-13T00:00:00"/>
    <n v="378.75"/>
    <n v="916.5"/>
    <n v="310.10000000000002"/>
    <n v="522.25"/>
    <n v="29.99"/>
    <n v="3.7543000000000002"/>
  </r>
  <r>
    <x v="7"/>
    <x v="3"/>
    <d v="2019-02-12T00:00:00"/>
    <n v="378.25"/>
    <n v="917.5"/>
    <n v="309.2"/>
    <n v="520"/>
    <n v="30.33"/>
    <n v="3.7097000000000002"/>
  </r>
  <r>
    <x v="7"/>
    <x v="3"/>
    <d v="2019-02-11T00:00:00"/>
    <n v="372.75"/>
    <n v="905"/>
    <n v="304.89999999999998"/>
    <n v="518.25"/>
    <n v="30.24"/>
    <n v="3.7576000000000001"/>
  </r>
  <r>
    <x v="7"/>
    <x v="3"/>
    <d v="2019-02-08T00:00:00"/>
    <n v="374.25"/>
    <n v="914.5"/>
    <n v="306.10000000000002"/>
    <n v="517.25"/>
    <n v="30.87"/>
    <n v="3.7290000000000001"/>
  </r>
  <r>
    <x v="7"/>
    <x v="3"/>
    <d v="2019-02-07T00:00:00"/>
    <n v="376.5"/>
    <n v="913.25"/>
    <n v="305.5"/>
    <n v="513.25"/>
    <n v="30.81"/>
    <n v="3.7166000000000001"/>
  </r>
  <r>
    <x v="7"/>
    <x v="3"/>
    <d v="2019-02-06T00:00:00"/>
    <n v="380"/>
    <n v="921.75"/>
    <n v="309"/>
    <n v="526"/>
    <n v="30.9"/>
    <n v="3.6981999999999999"/>
  </r>
  <r>
    <x v="7"/>
    <x v="3"/>
    <d v="2019-02-05T00:00:00"/>
    <n v="380.75"/>
    <n v="920.25"/>
    <n v="309.5"/>
    <n v="527.25"/>
    <n v="30.38"/>
    <n v="3.6695000000000002"/>
  </r>
  <r>
    <x v="7"/>
    <x v="3"/>
    <d v="2019-02-04T00:00:00"/>
    <n v="379.25"/>
    <n v="918.5"/>
    <n v="310.60000000000002"/>
    <n v="525.75"/>
    <n v="30.13"/>
    <n v="3.6686000000000001"/>
  </r>
  <r>
    <x v="7"/>
    <x v="3"/>
    <d v="2019-02-01T00:00:00"/>
    <n v="378.25"/>
    <n v="917.75"/>
    <n v="311.8"/>
    <n v="524.25"/>
    <n v="29.89"/>
    <n v="3.6596000000000002"/>
  </r>
  <r>
    <x v="7"/>
    <x v="4"/>
    <d v="2019-01-31T00:00:00"/>
    <n v="376.5"/>
    <n v="915.25"/>
    <n v="310"/>
    <n v="516.5"/>
    <n v="30.17"/>
    <n v="3.6438999999999999"/>
  </r>
  <r>
    <x v="7"/>
    <x v="4"/>
    <d v="2019-01-30T00:00:00"/>
    <n v="381.25"/>
    <n v="921"/>
    <n v="311.10000000000002"/>
    <n v="516.75"/>
    <n v="30.42"/>
    <n v="3.6848999999999998"/>
  </r>
  <r>
    <x v="7"/>
    <x v="4"/>
    <d v="2019-01-29T00:00:00"/>
    <n v="377.25"/>
    <n v="919"/>
    <n v="311.8"/>
    <n v="513.25"/>
    <n v="30.11"/>
    <n v="3.7201"/>
  </r>
  <r>
    <x v="7"/>
    <x v="4"/>
    <d v="2019-01-28T00:00:00"/>
    <n v="379.75"/>
    <n v="923.25"/>
    <n v="312.2"/>
    <n v="518.75"/>
    <n v="30.3"/>
    <n v="3.7614000000000001"/>
  </r>
  <r>
    <x v="7"/>
    <x v="4"/>
    <d v="2019-01-25T00:00:00"/>
    <n v="380.25"/>
    <n v="925.25"/>
    <n v="313.89999999999998"/>
    <n v="520"/>
    <n v="30.03"/>
    <n v="3.7694999999999999"/>
  </r>
  <r>
    <x v="7"/>
    <x v="4"/>
    <d v="2019-01-24T00:00:00"/>
    <n v="377"/>
    <n v="916"/>
    <n v="312.3"/>
    <n v="521.5"/>
    <n v="29.51"/>
    <n v="3.7717999999999998"/>
  </r>
  <r>
    <x v="7"/>
    <x v="4"/>
    <d v="2019-01-23T00:00:00"/>
    <n v="378.75"/>
    <n v="915"/>
    <n v="312.89999999999998"/>
    <n v="526"/>
    <n v="29.38"/>
    <n v="3.7648000000000001"/>
  </r>
  <r>
    <x v="7"/>
    <x v="4"/>
    <d v="2019-01-22T00:00:00"/>
    <n v="379"/>
    <n v="909.25"/>
    <n v="313"/>
    <n v="521.25"/>
    <n v="29.06"/>
    <n v="3.8142"/>
  </r>
  <r>
    <x v="7"/>
    <x v="4"/>
    <d v="2019-01-21T00:00:00"/>
    <m/>
    <m/>
    <m/>
    <m/>
    <m/>
    <n v="3.7534999999999998"/>
  </r>
  <r>
    <x v="7"/>
    <x v="4"/>
    <d v="2019-01-18T00:00:00"/>
    <n v="381.75"/>
    <n v="916.75"/>
    <n v="315.10000000000002"/>
    <n v="517.75"/>
    <n v="29.01"/>
    <n v="3.7502"/>
  </r>
  <r>
    <x v="7"/>
    <x v="4"/>
    <d v="2019-01-17T00:00:00"/>
    <n v="380"/>
    <n v="907.75"/>
    <n v="312.2"/>
    <n v="517.75"/>
    <n v="28.77"/>
    <n v="3.7502"/>
  </r>
  <r>
    <x v="7"/>
    <x v="4"/>
    <d v="2019-01-16T00:00:00"/>
    <n v="374"/>
    <n v="894.5"/>
    <n v="310.10000000000002"/>
    <n v="512.5"/>
    <n v="28.23"/>
    <n v="3.7361"/>
  </r>
  <r>
    <x v="7"/>
    <x v="4"/>
    <d v="2019-01-15T00:00:00"/>
    <n v="371.25"/>
    <n v="893.25"/>
    <n v="309.3"/>
    <n v="511"/>
    <n v="28.24"/>
    <n v="3.7166999999999999"/>
  </r>
  <r>
    <x v="7"/>
    <x v="4"/>
    <d v="2019-01-14T00:00:00"/>
    <n v="378.5"/>
    <n v="890.75"/>
    <n v="306.89999999999998"/>
    <n v="514.25"/>
    <n v="28.11"/>
    <n v="3.6978"/>
  </r>
  <r>
    <x v="7"/>
    <x v="4"/>
    <d v="2019-01-11T00:00:00"/>
    <n v="378.25"/>
    <n v="899.25"/>
    <n v="310.39999999999998"/>
    <n v="519.5"/>
    <n v="28.17"/>
    <n v="3.7107999999999999"/>
  </r>
  <r>
    <x v="7"/>
    <x v="4"/>
    <d v="2019-01-10T00:00:00"/>
    <n v="376.25"/>
    <n v="895.5"/>
    <n v="312.60000000000002"/>
    <n v="513.75"/>
    <n v="27.94"/>
    <n v="3.7103999999999999"/>
  </r>
  <r>
    <x v="7"/>
    <x v="4"/>
    <d v="2019-01-09T00:00:00"/>
    <n v="382"/>
    <n v="911.5"/>
    <n v="319"/>
    <n v="520"/>
    <n v="28.32"/>
    <n v="3.6806000000000001"/>
  </r>
  <r>
    <x v="7"/>
    <x v="4"/>
    <d v="2019-01-08T00:00:00"/>
    <n v="380"/>
    <n v="906.25"/>
    <n v="317.60000000000002"/>
    <n v="517.75"/>
    <n v="28.18"/>
    <n v="3.7132000000000001"/>
  </r>
  <r>
    <x v="7"/>
    <x v="4"/>
    <d v="2019-01-07T00:00:00"/>
    <n v="382.25"/>
    <n v="912.25"/>
    <n v="318.2"/>
    <n v="516.75"/>
    <n v="28.26"/>
    <n v="3.7351000000000001"/>
  </r>
  <r>
    <x v="7"/>
    <x v="4"/>
    <d v="2019-01-04T00:00:00"/>
    <n v="383"/>
    <n v="909.5"/>
    <n v="315.10000000000002"/>
    <n v="517"/>
    <n v="28.41"/>
    <n v="3.7153999999999998"/>
  </r>
  <r>
    <x v="7"/>
    <x v="4"/>
    <d v="2019-01-03T00:00:00"/>
    <n v="379.75"/>
    <n v="900.25"/>
    <n v="312.7"/>
    <n v="513.75"/>
    <n v="28.18"/>
    <n v="3.7564000000000002"/>
  </r>
  <r>
    <x v="7"/>
    <x v="4"/>
    <d v="2019-01-02T00:00:00"/>
    <n v="375.75"/>
    <n v="894.75"/>
    <n v="311"/>
    <n v="506.75"/>
    <n v="27.9"/>
    <n v="3.7896999999999998"/>
  </r>
  <r>
    <x v="7"/>
    <x v="4"/>
    <d v="2019-01-01T00:00:00"/>
    <m/>
    <m/>
    <m/>
    <m/>
    <m/>
    <n v="3.8803999999999998"/>
  </r>
  <r>
    <x v="8"/>
    <x v="5"/>
    <d v="2018-12-31T00:00:00"/>
    <n v="375"/>
    <n v="882.5"/>
    <n v="306.2"/>
    <n v="503.25"/>
    <n v="27.55"/>
    <n v="3.8803999999999998"/>
  </r>
  <r>
    <x v="8"/>
    <x v="5"/>
    <d v="2018-12-28T00:00:00"/>
    <n v="375.5"/>
    <n v="882.75"/>
    <n v="308.89999999999998"/>
    <n v="511.5"/>
    <n v="27.52"/>
    <n v="3.8803999999999998"/>
  </r>
  <r>
    <x v="8"/>
    <x v="5"/>
    <d v="2018-12-27T00:00:00"/>
    <n v="374.5"/>
    <n v="869"/>
    <n v="303.89999999999998"/>
    <n v="510.5"/>
    <n v="27.31"/>
    <n v="3.8732000000000002"/>
  </r>
  <r>
    <x v="8"/>
    <x v="5"/>
    <d v="2018-12-26T00:00:00"/>
    <n v="373.25"/>
    <n v="870"/>
    <n v="303.39999999999998"/>
    <n v="510"/>
    <n v="27.36"/>
    <n v="3.9218999999999999"/>
  </r>
  <r>
    <x v="8"/>
    <x v="5"/>
    <d v="2018-12-25T00:00:00"/>
    <m/>
    <m/>
    <m/>
    <m/>
    <m/>
    <n v="3.9035000000000002"/>
  </r>
  <r>
    <x v="8"/>
    <x v="5"/>
    <d v="2018-12-24T00:00:00"/>
    <n v="377.75"/>
    <n v="884"/>
    <n v="307.5"/>
    <n v="516.5"/>
    <n v="27.74"/>
    <n v="3.9035000000000002"/>
  </r>
  <r>
    <x v="8"/>
    <x v="5"/>
    <d v="2018-12-21T00:00:00"/>
    <n v="378.5"/>
    <n v="884.75"/>
    <n v="305.60000000000002"/>
    <n v="514"/>
    <n v="27.89"/>
    <n v="3.9039000000000001"/>
  </r>
  <r>
    <x v="8"/>
    <x v="5"/>
    <d v="2018-12-20T00:00:00"/>
    <n v="375.25"/>
    <n v="893.5"/>
    <n v="307.7"/>
    <n v="523.5"/>
    <n v="28.2"/>
    <n v="3.8418999999999999"/>
  </r>
  <r>
    <x v="8"/>
    <x v="5"/>
    <d v="2018-12-19T00:00:00"/>
    <n v="381.75"/>
    <n v="900"/>
    <n v="307.8"/>
    <n v="522.5"/>
    <n v="28.46"/>
    <n v="3.8976000000000002"/>
  </r>
  <r>
    <x v="8"/>
    <x v="5"/>
    <d v="2018-12-18T00:00:00"/>
    <n v="385.5"/>
    <n v="907.75"/>
    <n v="310.39999999999998"/>
    <n v="532.75"/>
    <n v="28.41"/>
    <n v="3.9123000000000001"/>
  </r>
  <r>
    <x v="8"/>
    <x v="5"/>
    <d v="2018-12-17T00:00:00"/>
    <n v="384"/>
    <n v="904.75"/>
    <n v="309.10000000000002"/>
    <n v="535.25"/>
    <n v="28.17"/>
    <n v="3.8994"/>
  </r>
  <r>
    <x v="8"/>
    <x v="5"/>
    <d v="2018-12-14T00:00:00"/>
    <n v="376.75"/>
    <n v="900.5"/>
    <n v="309.39999999999998"/>
    <n v="527.75"/>
    <n v="28.39"/>
    <n v="3.9169999999999998"/>
  </r>
  <r>
    <x v="8"/>
    <x v="5"/>
    <d v="2018-12-13T00:00:00"/>
    <n v="375.5"/>
    <n v="907"/>
    <n v="309.39999999999998"/>
    <n v="527.75"/>
    <n v="28.64"/>
    <n v="3.891"/>
  </r>
  <r>
    <x v="8"/>
    <x v="5"/>
    <d v="2018-12-12T00:00:00"/>
    <n v="376.25"/>
    <n v="920"/>
    <n v="310.8"/>
    <n v="515.25"/>
    <n v="28.8"/>
    <n v="3.8553999999999999"/>
  </r>
  <r>
    <x v="8"/>
    <x v="5"/>
    <d v="2018-12-11T00:00:00"/>
    <n v="375"/>
    <n v="915"/>
    <n v="308.89999999999998"/>
    <n v="509.75"/>
    <n v="28.71"/>
    <n v="3.9039000000000001"/>
  </r>
  <r>
    <x v="8"/>
    <x v="5"/>
    <d v="2018-12-10T00:00:00"/>
    <n v="374.25"/>
    <n v="909.75"/>
    <n v="307.89999999999998"/>
    <n v="514.75"/>
    <n v="28.52"/>
    <n v="3.9178000000000002"/>
  </r>
  <r>
    <x v="8"/>
    <x v="5"/>
    <d v="2018-12-07T00:00:00"/>
    <n v="374"/>
    <n v="916.75"/>
    <n v="309.10000000000002"/>
    <n v="519.5"/>
    <n v="28.5"/>
    <n v="3.9074"/>
  </r>
  <r>
    <x v="8"/>
    <x v="5"/>
    <d v="2018-12-06T00:00:00"/>
    <n v="372"/>
    <n v="909.5"/>
    <n v="310"/>
    <n v="505.25"/>
    <n v="28.47"/>
    <n v="3.8778999999999999"/>
  </r>
  <r>
    <x v="8"/>
    <x v="5"/>
    <d v="2018-12-05T00:00:00"/>
    <n v="374.25"/>
    <n v="913.5"/>
    <n v="311.89999999999998"/>
    <n v="514.5"/>
    <n v="28.57"/>
    <n v="3.8681999999999999"/>
  </r>
  <r>
    <x v="8"/>
    <x v="5"/>
    <d v="2018-12-04T00:00:00"/>
    <n v="374.25"/>
    <n v="911.75"/>
    <n v="312.7"/>
    <n v="519.25"/>
    <n v="28.64"/>
    <n v="3.8523999999999998"/>
  </r>
  <r>
    <x v="8"/>
    <x v="5"/>
    <d v="2018-12-03T00:00:00"/>
    <n v="371.25"/>
    <n v="905.75"/>
    <n v="312.10000000000002"/>
    <n v="515.75"/>
    <n v="28.31"/>
    <n v="3.8408000000000002"/>
  </r>
  <r>
    <x v="8"/>
    <x v="6"/>
    <d v="2018-11-30T00:00:00"/>
    <n v="366.5"/>
    <n v="894.75"/>
    <n v="308.3"/>
    <n v="515.75"/>
    <n v="27.82"/>
    <n v="3.8662000000000001"/>
  </r>
  <r>
    <x v="8"/>
    <x v="6"/>
    <d v="2018-11-29T00:00:00"/>
    <n v="360.25"/>
    <n v="887.25"/>
    <n v="306.89999999999998"/>
    <n v="496.5"/>
    <n v="27.68"/>
    <n v="3.8515000000000001"/>
  </r>
  <r>
    <x v="8"/>
    <x v="6"/>
    <d v="2018-11-28T00:00:00"/>
    <n v="360.5"/>
    <n v="890.5"/>
    <n v="307.89999999999998"/>
    <n v="497.5"/>
    <n v="27.73"/>
    <n v="3.8508"/>
  </r>
  <r>
    <x v="8"/>
    <x v="6"/>
    <d v="2018-11-27T00:00:00"/>
    <n v="356.5"/>
    <n v="875.5"/>
    <n v="304.89999999999998"/>
    <n v="498"/>
    <n v="27.16"/>
    <n v="3.875"/>
  </r>
  <r>
    <x v="8"/>
    <x v="6"/>
    <d v="2018-11-26T00:00:00"/>
    <n v="356"/>
    <n v="862.25"/>
    <n v="303"/>
    <n v="507.5"/>
    <n v="26.96"/>
    <n v="3.9398"/>
  </r>
  <r>
    <x v="8"/>
    <x v="6"/>
    <d v="2018-11-23T00:00:00"/>
    <n v="359"/>
    <n v="881"/>
    <n v="305.8"/>
    <n v="499.75"/>
    <n v="27.65"/>
    <n v="3.8279999999999998"/>
  </r>
  <r>
    <x v="8"/>
    <x v="6"/>
    <d v="2018-11-22T00:00:00"/>
    <m/>
    <m/>
    <m/>
    <m/>
    <m/>
    <n v="3.8033000000000001"/>
  </r>
  <r>
    <x v="8"/>
    <x v="6"/>
    <d v="2018-11-21T00:00:00"/>
    <n v="361.75"/>
    <n v="883"/>
    <n v="306.60000000000002"/>
    <n v="498.75"/>
    <n v="27.8"/>
    <n v="3.7974999999999999"/>
  </r>
  <r>
    <x v="8"/>
    <x v="6"/>
    <d v="2018-11-20T00:00:00"/>
    <n v="361.25"/>
    <n v="881"/>
    <n v="307.10000000000002"/>
    <n v="500.75"/>
    <n v="27.34"/>
    <n v="3.7566999999999999"/>
  </r>
  <r>
    <x v="8"/>
    <x v="6"/>
    <d v="2018-11-19T00:00:00"/>
    <n v="362.25"/>
    <n v="873.75"/>
    <n v="305.5"/>
    <n v="498.5"/>
    <n v="27.32"/>
    <n v="3.7559999999999998"/>
  </r>
  <r>
    <x v="8"/>
    <x v="6"/>
    <d v="2018-11-16T00:00:00"/>
    <n v="364.75"/>
    <n v="892.25"/>
    <n v="310.89999999999998"/>
    <n v="506.75"/>
    <n v="27.37"/>
    <n v="3.7433999999999998"/>
  </r>
  <r>
    <x v="8"/>
    <x v="6"/>
    <d v="2018-11-15T00:00:00"/>
    <n v="367.5"/>
    <n v="888.75"/>
    <n v="305.39999999999998"/>
    <n v="505.5"/>
    <n v="27.69"/>
    <n v="3.7839999999999998"/>
  </r>
  <r>
    <x v="8"/>
    <x v="6"/>
    <d v="2018-11-14T00:00:00"/>
    <n v="367"/>
    <n v="870.5"/>
    <n v="305.7"/>
    <n v="503"/>
    <n v="27.57"/>
    <n v="3.7839999999999998"/>
  </r>
  <r>
    <x v="8"/>
    <x v="6"/>
    <d v="2018-11-13T00:00:00"/>
    <n v="366.5"/>
    <n v="867.25"/>
    <n v="303.89999999999998"/>
    <n v="507.75"/>
    <n v="27.55"/>
    <n v="3.8031000000000001"/>
  </r>
  <r>
    <x v="8"/>
    <x v="6"/>
    <d v="2018-11-12T00:00:00"/>
    <n v="371.25"/>
    <n v="871.75"/>
    <n v="305.60000000000002"/>
    <n v="519.75"/>
    <n v="27.71"/>
    <n v="3.7673999999999999"/>
  </r>
  <r>
    <x v="8"/>
    <x v="6"/>
    <d v="2018-11-09T00:00:00"/>
    <n v="369.75"/>
    <n v="875.25"/>
    <n v="305.60000000000002"/>
    <n v="502"/>
    <n v="27.62"/>
    <n v="3.7334000000000001"/>
  </r>
  <r>
    <x v="8"/>
    <x v="6"/>
    <d v="2018-11-08T00:00:00"/>
    <n v="373.5"/>
    <n v="867.5"/>
    <n v="306.10000000000002"/>
    <n v="507.75"/>
    <n v="28.02"/>
    <n v="3.7604000000000002"/>
  </r>
  <r>
    <x v="8"/>
    <x v="6"/>
    <d v="2018-11-07T00:00:00"/>
    <n v="372.25"/>
    <n v="867.75"/>
    <n v="308"/>
    <n v="510.25"/>
    <n v="28.2"/>
    <n v="3.7317"/>
  </r>
  <r>
    <x v="8"/>
    <x v="6"/>
    <d v="2018-11-06T00:00:00"/>
    <n v="373.25"/>
    <n v="872"/>
    <n v="311.39999999999998"/>
    <n v="512"/>
    <n v="27.9"/>
    <n v="3.7614000000000001"/>
  </r>
  <r>
    <x v="8"/>
    <x v="6"/>
    <d v="2018-11-05T00:00:00"/>
    <n v="374"/>
    <n v="873"/>
    <n v="310.60000000000002"/>
    <n v="507.25"/>
    <n v="27.9"/>
    <n v="3.726"/>
  </r>
  <r>
    <x v="8"/>
    <x v="6"/>
    <d v="2018-11-02T00:00:00"/>
    <n v="371.25"/>
    <n v="875.25"/>
    <n v="311"/>
    <n v="508.75"/>
    <n v="28.2"/>
    <n v="3.6964999999999999"/>
  </r>
  <r>
    <x v="8"/>
    <x v="6"/>
    <d v="2018-11-01T00:00:00"/>
    <n v="366.75"/>
    <n v="869"/>
    <n v="313.39999999999998"/>
    <n v="508"/>
    <n v="28.32"/>
    <n v="3.7"/>
  </r>
  <r>
    <x v="8"/>
    <x v="7"/>
    <d v="2018-10-31T00:00:00"/>
    <n v="363.25"/>
    <n v="839"/>
    <n v="306.39999999999998"/>
    <n v="500.5"/>
    <n v="28.02"/>
    <n v="3.7218"/>
  </r>
  <r>
    <x v="8"/>
    <x v="7"/>
    <d v="2018-10-30T00:00:00"/>
    <n v="364.75"/>
    <n v="833.5"/>
    <n v="305.10000000000002"/>
    <n v="499.75"/>
    <n v="28"/>
    <n v="3.6972"/>
  </r>
  <r>
    <x v="8"/>
    <x v="7"/>
    <d v="2018-10-29T00:00:00"/>
    <n v="366.75"/>
    <n v="839"/>
    <n v="308.2"/>
    <n v="507.25"/>
    <n v="27.89"/>
    <n v="3.7179000000000002"/>
  </r>
  <r>
    <x v="8"/>
    <x v="7"/>
    <d v="2018-10-26T00:00:00"/>
    <n v="367.75"/>
    <n v="845"/>
    <n v="307.3"/>
    <n v="505.25"/>
    <n v="28.16"/>
    <n v="3.6425999999999998"/>
  </r>
  <r>
    <x v="8"/>
    <x v="7"/>
    <d v="2018-10-25T00:00:00"/>
    <n v="361"/>
    <n v="841.75"/>
    <n v="304.3"/>
    <n v="487.25"/>
    <n v="28.39"/>
    <n v="3.7046000000000001"/>
  </r>
  <r>
    <x v="8"/>
    <x v="7"/>
    <d v="2018-10-24T00:00:00"/>
    <n v="368.25"/>
    <n v="850.25"/>
    <n v="306.10000000000002"/>
    <n v="499.5"/>
    <n v="28.61"/>
    <n v="3.7334999999999998"/>
  </r>
  <r>
    <x v="8"/>
    <x v="7"/>
    <d v="2018-10-23T00:00:00"/>
    <n v="370.25"/>
    <n v="857.5"/>
    <n v="310.7"/>
    <n v="509"/>
    <n v="28.76"/>
    <n v="3.6932"/>
  </r>
  <r>
    <x v="8"/>
    <x v="7"/>
    <d v="2018-10-22T00:00:00"/>
    <n v="369.5"/>
    <n v="858.5"/>
    <n v="312.8"/>
    <n v="508"/>
    <n v="29.15"/>
    <n v="3.6846000000000001"/>
  </r>
  <r>
    <x v="8"/>
    <x v="7"/>
    <d v="2018-10-19T00:00:00"/>
    <n v="367"/>
    <n v="856.75"/>
    <n v="313.10000000000002"/>
    <n v="514.75"/>
    <n v="29.14"/>
    <n v="3.714"/>
  </r>
  <r>
    <x v="8"/>
    <x v="7"/>
    <d v="2018-10-18T00:00:00"/>
    <n v="370.75"/>
    <n v="863.5"/>
    <n v="316.3"/>
    <n v="513"/>
    <n v="29.02"/>
    <n v="3.7214"/>
  </r>
  <r>
    <x v="8"/>
    <x v="7"/>
    <d v="2018-10-17T00:00:00"/>
    <n v="374.25"/>
    <n v="885.75"/>
    <n v="323.7"/>
    <n v="517.5"/>
    <n v="29.56"/>
    <n v="3.6873"/>
  </r>
  <r>
    <x v="8"/>
    <x v="7"/>
    <d v="2018-10-16T00:00:00"/>
    <n v="375.25"/>
    <n v="884.75"/>
    <n v="322.3"/>
    <n v="523.5"/>
    <n v="29.66"/>
    <n v="3.7244000000000002"/>
  </r>
  <r>
    <x v="8"/>
    <x v="7"/>
    <d v="2018-10-15T00:00:00"/>
    <n v="378.25"/>
    <n v="891.5"/>
    <n v="327"/>
    <n v="525"/>
    <n v="29.76"/>
    <n v="3.7355"/>
  </r>
  <r>
    <x v="8"/>
    <x v="7"/>
    <d v="2018-10-12T00:00:00"/>
    <n v="373.75"/>
    <n v="867.5"/>
    <n v="312.39999999999998"/>
    <n v="517.25"/>
    <n v="29.04"/>
    <n v="3.7825000000000002"/>
  </r>
  <r>
    <x v="8"/>
    <x v="7"/>
    <d v="2018-10-11T00:00:00"/>
    <n v="369.25"/>
    <n v="858.25"/>
    <n v="312.8"/>
    <n v="508"/>
    <n v="28.73"/>
    <n v="3.7810000000000001"/>
  </r>
  <r>
    <x v="8"/>
    <x v="7"/>
    <d v="2018-10-10T00:00:00"/>
    <n v="362.75"/>
    <n v="852.25"/>
    <n v="312"/>
    <n v="510.5"/>
    <n v="28.65"/>
    <n v="3.7545000000000002"/>
  </r>
  <r>
    <x v="8"/>
    <x v="7"/>
    <d v="2018-10-09T00:00:00"/>
    <n v="364.5"/>
    <n v="863"/>
    <n v="313.5"/>
    <n v="515"/>
    <n v="28.97"/>
    <n v="3.7153"/>
  </r>
  <r>
    <x v="8"/>
    <x v="7"/>
    <d v="2018-10-08T00:00:00"/>
    <n v="366.5"/>
    <n v="869.75"/>
    <n v="314.2"/>
    <n v="514"/>
    <n v="29.33"/>
    <n v="3.7786"/>
  </r>
  <r>
    <x v="8"/>
    <x v="7"/>
    <d v="2018-10-05T00:00:00"/>
    <n v="368.25"/>
    <n v="869"/>
    <n v="315.60000000000002"/>
    <n v="521"/>
    <n v="29.08"/>
    <n v="3.8405999999999998"/>
  </r>
  <r>
    <x v="8"/>
    <x v="7"/>
    <d v="2018-10-04T00:00:00"/>
    <n v="367.5"/>
    <n v="859.25"/>
    <n v="308.39999999999998"/>
    <n v="518"/>
    <n v="29.28"/>
    <n v="3.8742999999999999"/>
  </r>
  <r>
    <x v="8"/>
    <x v="7"/>
    <d v="2018-10-03T00:00:00"/>
    <n v="364.75"/>
    <n v="861.5"/>
    <n v="307.5"/>
    <n v="515.25"/>
    <n v="29.52"/>
    <n v="3.9007999999999998"/>
  </r>
  <r>
    <x v="8"/>
    <x v="7"/>
    <d v="2018-10-02T00:00:00"/>
    <n v="367.5"/>
    <n v="866"/>
    <n v="311.2"/>
    <n v="519.25"/>
    <n v="29.36"/>
    <n v="3.9403999999999999"/>
  </r>
  <r>
    <x v="8"/>
    <x v="7"/>
    <d v="2018-10-01T00:00:00"/>
    <n v="365.75"/>
    <n v="857.75"/>
    <n v="310.5"/>
    <n v="509.5"/>
    <n v="29.01"/>
    <n v="4.0175999999999998"/>
  </r>
  <r>
    <x v="8"/>
    <x v="8"/>
    <d v="2018-09-28T00:00:00"/>
    <n v="356.25"/>
    <n v="845.5"/>
    <n v="305.39999999999998"/>
    <n v="509"/>
    <n v="28.68"/>
    <n v="4.0476999999999999"/>
  </r>
  <r>
    <x v="8"/>
    <x v="8"/>
    <d v="2018-09-27T00:00:00"/>
    <n v="364.75"/>
    <n v="855"/>
    <n v="308.2"/>
    <n v="513"/>
    <n v="28.86"/>
    <n v="4.0119999999999996"/>
  </r>
  <r>
    <x v="8"/>
    <x v="8"/>
    <d v="2018-09-26T00:00:00"/>
    <n v="363"/>
    <n v="850"/>
    <n v="307.7"/>
    <n v="517.5"/>
    <n v="28.48"/>
    <n v="4.0309999999999997"/>
  </r>
  <r>
    <x v="8"/>
    <x v="8"/>
    <d v="2018-09-25T00:00:00"/>
    <n v="363.75"/>
    <n v="845.75"/>
    <n v="306.2"/>
    <n v="520.75"/>
    <n v="28.37"/>
    <n v="4.0750999999999999"/>
  </r>
  <r>
    <x v="8"/>
    <x v="8"/>
    <d v="2018-09-24T00:00:00"/>
    <n v="360.5"/>
    <n v="841"/>
    <n v="304.7"/>
    <n v="527"/>
    <n v="28.26"/>
    <n v="4.0914000000000001"/>
  </r>
  <r>
    <x v="8"/>
    <x v="8"/>
    <d v="2018-09-21T00:00:00"/>
    <n v="357.25"/>
    <n v="847.25"/>
    <n v="305.89999999999998"/>
    <n v="521.75"/>
    <n v="28.09"/>
    <n v="4.0510999999999999"/>
  </r>
  <r>
    <x v="8"/>
    <x v="8"/>
    <d v="2018-09-20T00:00:00"/>
    <n v="352.5"/>
    <n v="850.25"/>
    <n v="311.39999999999998"/>
    <n v="524"/>
    <n v="27.6"/>
    <n v="4.0766"/>
  </r>
  <r>
    <x v="8"/>
    <x v="8"/>
    <d v="2018-09-19T00:00:00"/>
    <n v="345.75"/>
    <n v="830"/>
    <n v="306.39999999999998"/>
    <n v="522.5"/>
    <n v="27.25"/>
    <n v="4.1304999999999996"/>
  </r>
  <r>
    <x v="8"/>
    <x v="8"/>
    <d v="2018-09-18T00:00:00"/>
    <n v="343.25"/>
    <n v="814"/>
    <n v="300.5"/>
    <n v="510.5"/>
    <n v="27.12"/>
    <n v="4.1596000000000002"/>
  </r>
  <r>
    <x v="8"/>
    <x v="8"/>
    <d v="2018-09-17T00:00:00"/>
    <n v="348"/>
    <n v="823.5"/>
    <n v="302.89999999999998"/>
    <n v="506.25"/>
    <n v="27.43"/>
    <n v="4.1315999999999997"/>
  </r>
  <r>
    <x v="8"/>
    <x v="8"/>
    <d v="2018-09-14T00:00:00"/>
    <n v="337"/>
    <n v="821.5"/>
    <n v="307.3"/>
    <n v="480"/>
    <n v="27.43"/>
    <n v="4.1738999999999997"/>
  </r>
  <r>
    <x v="8"/>
    <x v="8"/>
    <d v="2018-09-13T00:00:00"/>
    <n v="336.25"/>
    <n v="822.75"/>
    <n v="311.3"/>
    <n v="471.75"/>
    <n v="27.44"/>
    <n v="4.2066999999999997"/>
  </r>
  <r>
    <x v="8"/>
    <x v="8"/>
    <d v="2018-09-12T00:00:00"/>
    <n v="341.5"/>
    <n v="829"/>
    <n v="315.7"/>
    <n v="481.75"/>
    <n v="27.63"/>
    <n v="4.1569000000000003"/>
  </r>
  <r>
    <x v="8"/>
    <x v="8"/>
    <d v="2018-09-11T00:00:00"/>
    <n v="355.25"/>
    <n v="820.25"/>
    <n v="314.2"/>
    <n v="493.75"/>
    <n v="27.73"/>
    <n v="4.1527000000000003"/>
  </r>
  <r>
    <x v="8"/>
    <x v="8"/>
    <d v="2018-09-10T00:00:00"/>
    <n v="355.5"/>
    <n v="833.5"/>
    <n v="315.89999999999998"/>
    <n v="504"/>
    <n v="28.03"/>
    <n v="4.0854999999999997"/>
  </r>
  <r>
    <x v="8"/>
    <x v="8"/>
    <d v="2018-09-07T00:00:00"/>
    <n v="354.25"/>
    <n v="832"/>
    <n v="314.2"/>
    <n v="486.25"/>
    <n v="27.94"/>
    <n v="4.0594000000000001"/>
  </r>
  <r>
    <x v="8"/>
    <x v="8"/>
    <d v="2018-09-06T00:00:00"/>
    <n v="353.5"/>
    <n v="826.75"/>
    <n v="311"/>
    <n v="486"/>
    <n v="28.16"/>
    <n v="4.0587"/>
  </r>
  <r>
    <x v="8"/>
    <x v="8"/>
    <d v="2018-09-05T00:00:00"/>
    <n v="351.75"/>
    <n v="825.5"/>
    <n v="306.2"/>
    <n v="493.75"/>
    <n v="28.18"/>
    <n v="4.1456999999999997"/>
  </r>
  <r>
    <x v="8"/>
    <x v="8"/>
    <d v="2018-09-04T00:00:00"/>
    <n v="354.5"/>
    <n v="832"/>
    <n v="308.3"/>
    <n v="502.75"/>
    <n v="28.39"/>
    <n v="4.16"/>
  </r>
  <r>
    <x v="8"/>
    <x v="8"/>
    <d v="2018-09-03T00:00:00"/>
    <m/>
    <m/>
    <m/>
    <m/>
    <m/>
    <n v="4.1578999999999997"/>
  </r>
  <r>
    <x v="8"/>
    <x v="9"/>
    <d v="2018-08-31T00:00:00"/>
    <n v="351"/>
    <n v="833"/>
    <n v="303.7"/>
    <n v="518.5"/>
    <n v="28.37"/>
    <n v="4.0545"/>
  </r>
  <r>
    <x v="8"/>
    <x v="9"/>
    <d v="2018-08-30T00:00:00"/>
    <n v="341"/>
    <n v="819.5"/>
    <n v="301.39999999999998"/>
    <n v="508"/>
    <n v="28.28"/>
    <n v="4.1493000000000002"/>
  </r>
  <r>
    <x v="8"/>
    <x v="9"/>
    <d v="2018-08-29T00:00:00"/>
    <n v="341.25"/>
    <n v="823.25"/>
    <n v="302.10000000000002"/>
    <n v="515.75"/>
    <n v="28.03"/>
    <n v="4.1064999999999996"/>
  </r>
  <r>
    <x v="8"/>
    <x v="9"/>
    <d v="2018-08-28T00:00:00"/>
    <n v="341"/>
    <n v="820.5"/>
    <n v="300.7"/>
    <n v="498.25"/>
    <n v="28.18"/>
    <n v="4.1337000000000002"/>
  </r>
  <r>
    <x v="8"/>
    <x v="9"/>
    <d v="2018-08-27T00:00:00"/>
    <n v="346.75"/>
    <n v="834.75"/>
    <n v="306.3"/>
    <n v="499.25"/>
    <n v="28.37"/>
    <n v="4.0772000000000004"/>
  </r>
  <r>
    <x v="8"/>
    <x v="9"/>
    <d v="2018-08-24T00:00:00"/>
    <n v="348.5"/>
    <n v="842"/>
    <n v="312.7"/>
    <n v="514.75"/>
    <n v="28.15"/>
    <n v="4.1012000000000004"/>
  </r>
  <r>
    <x v="8"/>
    <x v="9"/>
    <d v="2018-08-23T00:00:00"/>
    <n v="346.75"/>
    <n v="842"/>
    <n v="313.7"/>
    <n v="522"/>
    <n v="28.03"/>
    <n v="4.1144999999999996"/>
  </r>
  <r>
    <x v="8"/>
    <x v="9"/>
    <d v="2018-08-22T00:00:00"/>
    <n v="352.5"/>
    <n v="858.25"/>
    <n v="321.10000000000002"/>
    <n v="526"/>
    <n v="28.22"/>
    <n v="4.0415000000000001"/>
  </r>
  <r>
    <x v="8"/>
    <x v="9"/>
    <d v="2018-08-21T00:00:00"/>
    <n v="359.75"/>
    <n v="874.5"/>
    <n v="324.89999999999998"/>
    <n v="527.25"/>
    <n v="28.59"/>
    <n v="4.0467000000000004"/>
  </r>
  <r>
    <x v="8"/>
    <x v="9"/>
    <d v="2018-08-20T00:00:00"/>
    <n v="362"/>
    <n v="881.75"/>
    <n v="328.2"/>
    <n v="542.25"/>
    <n v="28.54"/>
    <n v="3.9691999999999998"/>
  </r>
  <r>
    <x v="8"/>
    <x v="9"/>
    <d v="2018-08-17T00:00:00"/>
    <n v="364.25"/>
    <n v="881.5"/>
    <n v="330.1"/>
    <n v="560.5"/>
    <n v="28.23"/>
    <n v="3.9108000000000001"/>
  </r>
  <r>
    <x v="8"/>
    <x v="9"/>
    <d v="2018-08-16T00:00:00"/>
    <n v="365.25"/>
    <n v="885.5"/>
    <n v="334.6"/>
    <n v="542.25"/>
    <n v="28.15"/>
    <n v="3.9058999999999999"/>
  </r>
  <r>
    <x v="8"/>
    <x v="9"/>
    <d v="2018-08-15T00:00:00"/>
    <n v="361.5"/>
    <n v="857.5"/>
    <n v="329.5"/>
    <n v="532.25"/>
    <n v="27.88"/>
    <n v="3.9053"/>
  </r>
  <r>
    <x v="8"/>
    <x v="9"/>
    <d v="2018-08-14T00:00:00"/>
    <n v="362.25"/>
    <n v="864.5"/>
    <n v="335"/>
    <n v="541.75"/>
    <n v="28.09"/>
    <n v="3.8662999999999998"/>
  </r>
  <r>
    <x v="8"/>
    <x v="9"/>
    <d v="2018-08-13T00:00:00"/>
    <n v="356.5"/>
    <n v="853.5"/>
    <n v="327.8"/>
    <n v="533.5"/>
    <n v="28.24"/>
    <n v="3.8835999999999999"/>
  </r>
  <r>
    <x v="8"/>
    <x v="9"/>
    <d v="2018-08-10T00:00:00"/>
    <n v="357.75"/>
    <n v="846"/>
    <n v="323.5"/>
    <n v="546.75"/>
    <n v="27.99"/>
    <n v="3.8584000000000001"/>
  </r>
  <r>
    <x v="8"/>
    <x v="9"/>
    <d v="2018-08-09T00:00:00"/>
    <n v="369.25"/>
    <n v="887.75"/>
    <n v="334"/>
    <n v="564.5"/>
    <n v="28.42"/>
    <n v="3.8007"/>
  </r>
  <r>
    <x v="8"/>
    <x v="9"/>
    <d v="2018-08-08T00:00:00"/>
    <n v="371.25"/>
    <n v="893.75"/>
    <n v="337.1"/>
    <n v="570"/>
    <n v="28.45"/>
    <n v="3.7713000000000001"/>
  </r>
  <r>
    <x v="8"/>
    <x v="9"/>
    <d v="2018-08-07T00:00:00"/>
    <n v="370.75"/>
    <n v="889.25"/>
    <n v="332.7"/>
    <n v="568.25"/>
    <n v="28.59"/>
    <n v="3.7505000000000002"/>
  </r>
  <r>
    <x v="8"/>
    <x v="9"/>
    <d v="2018-08-06T00:00:00"/>
    <n v="371"/>
    <n v="877.25"/>
    <n v="330"/>
    <n v="574.5"/>
    <n v="28.29"/>
    <n v="3.7355999999999998"/>
  </r>
  <r>
    <x v="8"/>
    <x v="9"/>
    <d v="2018-08-03T00:00:00"/>
    <n v="369.75"/>
    <n v="886.25"/>
    <n v="332.5"/>
    <n v="556.25"/>
    <n v="28.35"/>
    <n v="3.7069999999999999"/>
  </r>
  <r>
    <x v="8"/>
    <x v="9"/>
    <d v="2018-08-02T00:00:00"/>
    <n v="366.75"/>
    <n v="882.5"/>
    <n v="332.8"/>
    <n v="560.5"/>
    <n v="28.12"/>
    <n v="3.7496"/>
  </r>
  <r>
    <x v="8"/>
    <x v="9"/>
    <d v="2018-08-01T00:00:00"/>
    <n v="365"/>
    <n v="886.75"/>
    <n v="336.5"/>
    <n v="558.25"/>
    <n v="28.45"/>
    <n v="3.7492000000000001"/>
  </r>
  <r>
    <x v="8"/>
    <x v="10"/>
    <d v="2018-07-31T00:00:00"/>
    <n v="372.25"/>
    <n v="903.75"/>
    <n v="341.2"/>
    <n v="553.75"/>
    <n v="28.73"/>
    <n v="3.7557"/>
  </r>
  <r>
    <x v="8"/>
    <x v="10"/>
    <d v="2018-07-30T00:00:00"/>
    <n v="367.25"/>
    <n v="875"/>
    <n v="333.9"/>
    <n v="546.5"/>
    <n v="28.31"/>
    <n v="3.7303999999999999"/>
  </r>
  <r>
    <x v="8"/>
    <x v="10"/>
    <d v="2018-07-27T00:00:00"/>
    <n v="362"/>
    <n v="870.5"/>
    <n v="332.7"/>
    <n v="530.5"/>
    <n v="28.56"/>
    <n v="3.7099000000000002"/>
  </r>
  <r>
    <x v="8"/>
    <x v="10"/>
    <d v="2018-07-26T00:00:00"/>
    <n v="361.5"/>
    <n v="861.25"/>
    <n v="332.6"/>
    <n v="536.5"/>
    <n v="28.15"/>
    <n v="3.7454000000000001"/>
  </r>
  <r>
    <x v="8"/>
    <x v="10"/>
    <d v="2018-07-25T00:00:00"/>
    <n v="359.25"/>
    <n v="860.75"/>
    <n v="330"/>
    <n v="542.75"/>
    <n v="28.41"/>
    <n v="3.6877"/>
  </r>
  <r>
    <x v="8"/>
    <x v="10"/>
    <d v="2018-07-24T00:00:00"/>
    <n v="352"/>
    <n v="858"/>
    <n v="328.9"/>
    <n v="510.25"/>
    <n v="28.24"/>
    <n v="3.7471000000000001"/>
  </r>
  <r>
    <x v="8"/>
    <x v="10"/>
    <d v="2018-07-23T00:00:00"/>
    <n v="357.25"/>
    <n v="847.75"/>
    <n v="328"/>
    <n v="513.75"/>
    <n v="27.97"/>
    <n v="3.7823000000000002"/>
  </r>
  <r>
    <x v="8"/>
    <x v="10"/>
    <d v="2018-07-20T00:00:00"/>
    <n v="355.25"/>
    <n v="849.75"/>
    <n v="326.89999999999998"/>
    <n v="516"/>
    <n v="28.22"/>
    <n v="3.7671000000000001"/>
  </r>
  <r>
    <x v="8"/>
    <x v="10"/>
    <d v="2018-07-19T00:00:00"/>
    <n v="351.25"/>
    <n v="846"/>
    <n v="328.8"/>
    <n v="504.25"/>
    <n v="27.83"/>
    <n v="3.8290000000000002"/>
  </r>
  <r>
    <x v="8"/>
    <x v="10"/>
    <d v="2018-07-18T00:00:00"/>
    <n v="347.25"/>
    <n v="842.25"/>
    <n v="328.2"/>
    <n v="494.5"/>
    <n v="28.07"/>
    <n v="3.8509000000000002"/>
  </r>
  <r>
    <x v="8"/>
    <x v="10"/>
    <d v="2018-07-17T00:00:00"/>
    <n v="346.25"/>
    <n v="839.5"/>
    <n v="329.1"/>
    <n v="497.75"/>
    <n v="27.73"/>
    <n v="3.8374999999999999"/>
  </r>
  <r>
    <x v="8"/>
    <x v="10"/>
    <d v="2018-07-16T00:00:00"/>
    <n v="341.75"/>
    <n v="829.5"/>
    <n v="329.1"/>
    <n v="488.5"/>
    <n v="27.64"/>
    <n v="3.8597000000000001"/>
  </r>
  <r>
    <x v="8"/>
    <x v="10"/>
    <d v="2018-07-13T00:00:00"/>
    <n v="330.25"/>
    <n v="814"/>
    <n v="328.8"/>
    <n v="481.5"/>
    <n v="27.8"/>
    <n v="3.8513999999999999"/>
  </r>
  <r>
    <x v="8"/>
    <x v="10"/>
    <d v="2018-07-12T00:00:00"/>
    <n v="336.5"/>
    <n v="830"/>
    <n v="333.4"/>
    <n v="482.5"/>
    <n v="28.17"/>
    <n v="3.8809"/>
  </r>
  <r>
    <x v="8"/>
    <x v="10"/>
    <d v="2018-07-11T00:00:00"/>
    <n v="331.25"/>
    <n v="829.75"/>
    <n v="333"/>
    <n v="469.75"/>
    <n v="28.33"/>
    <n v="3.8763999999999998"/>
  </r>
  <r>
    <x v="8"/>
    <x v="10"/>
    <d v="2018-07-10T00:00:00"/>
    <n v="339.75"/>
    <n v="852.25"/>
    <n v="334.4"/>
    <n v="489.5"/>
    <n v="28.88"/>
    <n v="3.8142999999999998"/>
  </r>
  <r>
    <x v="8"/>
    <x v="10"/>
    <d v="2018-07-09T00:00:00"/>
    <n v="345.75"/>
    <n v="851.75"/>
    <n v="331.8"/>
    <n v="507.75"/>
    <n v="28.74"/>
    <n v="3.8714"/>
  </r>
  <r>
    <x v="8"/>
    <x v="10"/>
    <d v="2018-07-06T00:00:00"/>
    <n v="351.75"/>
    <n v="874"/>
    <n v="339.8"/>
    <n v="512.75"/>
    <n v="28.9"/>
    <n v="3.8624000000000001"/>
  </r>
  <r>
    <x v="8"/>
    <x v="10"/>
    <d v="2018-07-05T00:00:00"/>
    <n v="343.5"/>
    <n v="835.5"/>
    <n v="328.2"/>
    <n v="504"/>
    <n v="28.47"/>
    <n v="3.9323999999999999"/>
  </r>
  <r>
    <x v="8"/>
    <x v="10"/>
    <d v="2018-07-04T00:00:00"/>
    <m/>
    <m/>
    <m/>
    <m/>
    <m/>
    <n v="3.9135"/>
  </r>
  <r>
    <x v="8"/>
    <x v="10"/>
    <d v="2018-07-03T00:00:00"/>
    <n v="342.75"/>
    <n v="844"/>
    <n v="327.8"/>
    <n v="491.5"/>
    <n v="28.62"/>
    <n v="3.8965999999999998"/>
  </r>
  <r>
    <x v="8"/>
    <x v="10"/>
    <d v="2018-07-02T00:00:00"/>
    <n v="337.5"/>
    <n v="848.5"/>
    <n v="329.5"/>
    <n v="480.25"/>
    <n v="28.77"/>
    <n v="3.9117000000000002"/>
  </r>
  <r>
    <x v="8"/>
    <x v="11"/>
    <d v="2018-06-29T00:00:00"/>
    <n v="350.25"/>
    <n v="858.5"/>
    <n v="332.8"/>
    <n v="497.5"/>
    <n v="29.12"/>
    <n v="3.8765000000000001"/>
  </r>
  <r>
    <x v="8"/>
    <x v="11"/>
    <d v="2018-06-28T00:00:00"/>
    <n v="345"/>
    <n v="861.25"/>
    <n v="331.4"/>
    <n v="479.5"/>
    <n v="29.01"/>
    <n v="3.8612000000000002"/>
  </r>
  <r>
    <x v="8"/>
    <x v="11"/>
    <d v="2018-06-27T00:00:00"/>
    <n v="352.5"/>
    <n v="867.5"/>
    <n v="333.9"/>
    <n v="479.5"/>
    <n v="29.01"/>
    <n v="3.8624999999999998"/>
  </r>
  <r>
    <x v="8"/>
    <x v="11"/>
    <d v="2018-06-26T00:00:00"/>
    <n v="352.5"/>
    <n v="867.25"/>
    <n v="333.7"/>
    <n v="469.5"/>
    <n v="28.94"/>
    <n v="3.8010999999999999"/>
  </r>
  <r>
    <x v="8"/>
    <x v="11"/>
    <d v="2018-06-25T00:00:00"/>
    <n v="350.5"/>
    <n v="874.5"/>
    <n v="332.9"/>
    <n v="476.75"/>
    <n v="28.94"/>
    <n v="3.7753000000000001"/>
  </r>
  <r>
    <x v="8"/>
    <x v="11"/>
    <d v="2018-06-22T00:00:00"/>
    <n v="357.25"/>
    <n v="894.5"/>
    <n v="339.1"/>
    <n v="491.25"/>
    <n v="29.21"/>
    <n v="3.7852000000000001"/>
  </r>
  <r>
    <x v="8"/>
    <x v="11"/>
    <d v="2018-06-21T00:00:00"/>
    <n v="357"/>
    <n v="880.5"/>
    <n v="331.8"/>
    <n v="495.25"/>
    <n v="29.19"/>
    <n v="3.7675999999999998"/>
  </r>
  <r>
    <x v="8"/>
    <x v="11"/>
    <d v="2018-06-20T00:00:00"/>
    <n v="354.25"/>
    <n v="889.5"/>
    <n v="333.2"/>
    <n v="488.25"/>
    <n v="29.37"/>
    <n v="3.7711999999999999"/>
  </r>
  <r>
    <x v="8"/>
    <x v="11"/>
    <d v="2018-06-19T00:00:00"/>
    <n v="353.75"/>
    <n v="889"/>
    <n v="334.5"/>
    <n v="477.75"/>
    <n v="28.85"/>
    <n v="3.7461000000000002"/>
  </r>
  <r>
    <x v="8"/>
    <x v="11"/>
    <d v="2018-06-18T00:00:00"/>
    <n v="356"/>
    <n v="908.5"/>
    <n v="335.5"/>
    <n v="490"/>
    <n v="29.57"/>
    <n v="3.746"/>
  </r>
  <r>
    <x v="8"/>
    <x v="11"/>
    <d v="2018-06-15T00:00:00"/>
    <n v="361.25"/>
    <n v="905.5"/>
    <n v="338.9"/>
    <n v="499.5"/>
    <n v="29.5"/>
    <n v="3.7294"/>
  </r>
  <r>
    <x v="8"/>
    <x v="11"/>
    <d v="2018-06-14T00:00:00"/>
    <n v="363"/>
    <n v="927.25"/>
    <n v="343.2"/>
    <n v="501.5"/>
    <n v="30.14"/>
    <n v="3.8052000000000001"/>
  </r>
  <r>
    <x v="8"/>
    <x v="11"/>
    <d v="2018-06-13T00:00:00"/>
    <n v="376"/>
    <n v="936"/>
    <n v="347.7"/>
    <n v="516.5"/>
    <n v="30.08"/>
    <n v="3.7195"/>
  </r>
  <r>
    <x v="8"/>
    <x v="11"/>
    <d v="2018-06-12T00:00:00"/>
    <n v="377.5"/>
    <n v="954"/>
    <n v="353.5"/>
    <n v="534.5"/>
    <n v="30.05"/>
    <n v="3.7174"/>
  </r>
  <r>
    <x v="8"/>
    <x v="11"/>
    <d v="2018-06-11T00:00:00"/>
    <n v="367.25"/>
    <n v="953.75"/>
    <n v="351.2"/>
    <n v="514.5"/>
    <n v="30.58"/>
    <n v="3.7086999999999999"/>
  </r>
  <r>
    <x v="8"/>
    <x v="11"/>
    <d v="2018-06-08T00:00:00"/>
    <n v="377.75"/>
    <n v="969.25"/>
    <n v="357.8"/>
    <n v="520"/>
    <n v="30.52"/>
    <n v="3.7090999999999998"/>
  </r>
  <r>
    <x v="8"/>
    <x v="11"/>
    <d v="2018-06-07T00:00:00"/>
    <n v="376.25"/>
    <n v="974.25"/>
    <n v="358.4"/>
    <n v="526.75"/>
    <n v="30.6"/>
    <n v="3.9064999999999999"/>
  </r>
  <r>
    <x v="8"/>
    <x v="11"/>
    <d v="2018-06-06T00:00:00"/>
    <n v="378.25"/>
    <n v="994.25"/>
    <n v="365"/>
    <n v="519.75"/>
    <n v="30.65"/>
    <n v="3.8477000000000001"/>
  </r>
  <r>
    <x v="8"/>
    <x v="11"/>
    <d v="2018-06-05T00:00:00"/>
    <n v="383.75"/>
    <n v="1001.25"/>
    <n v="367.3"/>
    <n v="510"/>
    <n v="30.79"/>
    <n v="3.806"/>
  </r>
  <r>
    <x v="8"/>
    <x v="11"/>
    <d v="2018-06-04T00:00:00"/>
    <n v="380.75"/>
    <n v="1001.75"/>
    <n v="368.9"/>
    <n v="505.25"/>
    <n v="30.93"/>
    <n v="3.7462"/>
  </r>
  <r>
    <x v="8"/>
    <x v="11"/>
    <d v="2018-06-01T00:00:00"/>
    <n v="391.5"/>
    <n v="1021.25"/>
    <n v="374.2"/>
    <n v="523.25"/>
    <n v="31.19"/>
    <n v="3.7629999999999999"/>
  </r>
  <r>
    <x v="8"/>
    <x v="0"/>
    <d v="2018-05-31T00:00:00"/>
    <n v="394"/>
    <n v="1018.5"/>
    <n v="375.3"/>
    <n v="526.25"/>
    <n v="31.12"/>
    <n v="3.7225000000000001"/>
  </r>
  <r>
    <x v="8"/>
    <x v="0"/>
    <d v="2018-05-30T00:00:00"/>
    <n v="393.5"/>
    <n v="1023"/>
    <n v="376.9"/>
    <n v="522"/>
    <n v="31.48"/>
    <n v="3.7240000000000002"/>
  </r>
  <r>
    <x v="8"/>
    <x v="0"/>
    <d v="2018-05-29T00:00:00"/>
    <n v="400"/>
    <n v="1030.5"/>
    <n v="380.2"/>
    <n v="536.5"/>
    <n v="31.21"/>
    <n v="3.7252000000000001"/>
  </r>
  <r>
    <x v="8"/>
    <x v="0"/>
    <d v="2018-05-28T00:00:00"/>
    <m/>
    <m/>
    <m/>
    <m/>
    <m/>
    <n v="3.7341000000000002"/>
  </r>
  <r>
    <x v="8"/>
    <x v="0"/>
    <d v="2018-05-25T00:00:00"/>
    <n v="406"/>
    <n v="1041.5"/>
    <n v="380.3"/>
    <n v="543"/>
    <n v="31.34"/>
    <n v="3.6514000000000002"/>
  </r>
  <r>
    <x v="8"/>
    <x v="0"/>
    <d v="2018-05-24T00:00:00"/>
    <n v="404.25"/>
    <n v="1035.75"/>
    <n v="377.3"/>
    <n v="530.25"/>
    <n v="31.71"/>
    <n v="3.6490999999999998"/>
  </r>
  <r>
    <x v="8"/>
    <x v="0"/>
    <d v="2018-05-23T00:00:00"/>
    <n v="408.5"/>
    <n v="1039.25"/>
    <n v="380.7"/>
    <n v="531"/>
    <n v="31.7"/>
    <n v="3.6278999999999999"/>
  </r>
  <r>
    <x v="8"/>
    <x v="0"/>
    <d v="2018-05-22T00:00:00"/>
    <n v="404.75"/>
    <n v="1030.5"/>
    <n v="377.5"/>
    <n v="521.5"/>
    <n v="31.51"/>
    <n v="3.6440999999999999"/>
  </r>
  <r>
    <x v="8"/>
    <x v="0"/>
    <d v="2018-05-21T00:00:00"/>
    <n v="402.75"/>
    <n v="1025.25"/>
    <n v="379.1"/>
    <n v="507.25"/>
    <n v="31.42"/>
    <n v="3.6768999999999998"/>
  </r>
  <r>
    <x v="8"/>
    <x v="0"/>
    <d v="2018-05-18T00:00:00"/>
    <n v="402.5"/>
    <n v="998.5"/>
    <n v="376.3"/>
    <n v="518.25"/>
    <n v="30.98"/>
    <n v="3.7360000000000002"/>
  </r>
  <r>
    <x v="8"/>
    <x v="0"/>
    <d v="2018-05-17T00:00:00"/>
    <n v="395.25"/>
    <n v="995"/>
    <n v="375.1"/>
    <n v="497.5"/>
    <n v="30.94"/>
    <n v="3.6960000000000002"/>
  </r>
  <r>
    <x v="8"/>
    <x v="0"/>
    <d v="2018-05-16T00:00:00"/>
    <n v="399.25"/>
    <n v="999.75"/>
    <n v="376.6"/>
    <n v="494.25"/>
    <n v="30.59"/>
    <n v="3.6753999999999998"/>
  </r>
  <r>
    <x v="8"/>
    <x v="0"/>
    <d v="2018-05-15T00:00:00"/>
    <n v="402.25"/>
    <n v="1018.75"/>
    <n v="382.3"/>
    <n v="493.5"/>
    <n v="31.12"/>
    <n v="3.653"/>
  </r>
  <r>
    <x v="8"/>
    <x v="0"/>
    <d v="2018-05-14T00:00:00"/>
    <n v="389"/>
    <n v="1013"/>
    <n v="389.8"/>
    <n v="480.5"/>
    <n v="31.12"/>
    <n v="3.6221000000000001"/>
  </r>
  <r>
    <x v="8"/>
    <x v="0"/>
    <d v="2018-05-11T00:00:00"/>
    <n v="389.75"/>
    <n v="994.75"/>
    <n v="382.7"/>
    <n v="489.5"/>
    <n v="31.17"/>
    <n v="3.5991"/>
  </r>
  <r>
    <x v="8"/>
    <x v="0"/>
    <d v="2018-05-10T00:00:00"/>
    <n v="394.75"/>
    <n v="1013.25"/>
    <n v="390.5"/>
    <n v="507.75"/>
    <n v="30.98"/>
    <n v="3.5495999999999999"/>
  </r>
  <r>
    <x v="8"/>
    <x v="0"/>
    <d v="2018-05-09T00:00:00"/>
    <n v="394.75"/>
    <n v="1007.25"/>
    <n v="389.2"/>
    <n v="514.5"/>
    <n v="30.87"/>
    <n v="3.5918000000000001"/>
  </r>
  <r>
    <x v="8"/>
    <x v="0"/>
    <d v="2018-05-08T00:00:00"/>
    <n v="395.5"/>
    <n v="1011.25"/>
    <n v="388.7"/>
    <n v="517.75"/>
    <n v="30.49"/>
    <n v="3.5632000000000001"/>
  </r>
  <r>
    <x v="8"/>
    <x v="0"/>
    <d v="2018-05-07T00:00:00"/>
    <n v="393.25"/>
    <n v="1002.25"/>
    <n v="384.8"/>
    <n v="514"/>
    <n v="30.67"/>
    <n v="3.5524"/>
  </r>
  <r>
    <x v="8"/>
    <x v="0"/>
    <d v="2018-05-04T00:00:00"/>
    <n v="398.75"/>
    <n v="1027.25"/>
    <n v="394.4"/>
    <n v="527.5"/>
    <n v="30.56"/>
    <n v="3.5291000000000001"/>
  </r>
  <r>
    <x v="8"/>
    <x v="0"/>
    <d v="2018-05-03T00:00:00"/>
    <n v="399.5"/>
    <n v="1043.25"/>
    <n v="398.4"/>
    <n v="540.5"/>
    <n v="30.58"/>
    <n v="3.5276000000000001"/>
  </r>
  <r>
    <x v="8"/>
    <x v="0"/>
    <d v="2018-05-02T00:00:00"/>
    <n v="396"/>
    <n v="1032.75"/>
    <n v="400"/>
    <n v="525.75"/>
    <n v="30.37"/>
    <n v="3.5512999999999999"/>
  </r>
  <r>
    <x v="8"/>
    <x v="0"/>
    <d v="2018-05-01T00:00:00"/>
    <n v="396.75"/>
    <n v="1042.5"/>
    <n v="403"/>
    <n v="529.75"/>
    <n v="30.08"/>
    <n v="3.5070999999999999"/>
  </r>
  <r>
    <x v="8"/>
    <x v="1"/>
    <d v="2018-04-30T00:00:00"/>
    <n v="392.5"/>
    <n v="1037.75"/>
    <n v="392.1"/>
    <n v="512.5"/>
    <n v="30.35"/>
    <n v="3.5066000000000002"/>
  </r>
  <r>
    <x v="8"/>
    <x v="1"/>
    <d v="2018-04-27T00:00:00"/>
    <n v="389.5"/>
    <n v="1045"/>
    <n v="393.2"/>
    <n v="495.5"/>
    <n v="30.43"/>
    <n v="3.4559000000000002"/>
  </r>
  <r>
    <x v="8"/>
    <x v="1"/>
    <d v="2018-04-26T00:00:00"/>
    <n v="386"/>
    <n v="1028"/>
    <n v="379.2"/>
    <n v="480.75"/>
    <n v="30.81"/>
    <n v="3.4744999999999999"/>
  </r>
  <r>
    <x v="8"/>
    <x v="1"/>
    <d v="2018-04-25T00:00:00"/>
    <n v="386.5"/>
    <n v="1027.5"/>
    <n v="376.2"/>
    <n v="486.25"/>
    <n v="30.79"/>
    <n v="3.4843000000000002"/>
  </r>
  <r>
    <x v="8"/>
    <x v="1"/>
    <d v="2018-04-24T00:00:00"/>
    <n v="381.25"/>
    <n v="1022.25"/>
    <n v="372.1"/>
    <n v="472.5"/>
    <n v="31.01"/>
    <n v="3.4708999999999999"/>
  </r>
  <r>
    <x v="8"/>
    <x v="1"/>
    <d v="2018-04-23T00:00:00"/>
    <n v="378.5"/>
    <n v="1020.75"/>
    <n v="371.8"/>
    <n v="461.5"/>
    <n v="31.04"/>
    <n v="3.4521000000000002"/>
  </r>
  <r>
    <x v="8"/>
    <x v="1"/>
    <d v="2018-04-20T00:00:00"/>
    <n v="376.5"/>
    <n v="1028.75"/>
    <n v="374.1"/>
    <n v="463.25"/>
    <n v="31.3"/>
    <n v="3.4123999999999999"/>
  </r>
  <r>
    <x v="8"/>
    <x v="1"/>
    <d v="2018-04-19T00:00:00"/>
    <n v="382"/>
    <n v="1037.25"/>
    <n v="373.3"/>
    <n v="476.75"/>
    <n v="31.41"/>
    <n v="3.3875000000000002"/>
  </r>
  <r>
    <x v="8"/>
    <x v="1"/>
    <d v="2018-04-18T00:00:00"/>
    <n v="383"/>
    <n v="1041.75"/>
    <n v="376.6"/>
    <n v="475.25"/>
    <n v="31.43"/>
    <n v="3.3801999999999999"/>
  </r>
  <r>
    <x v="8"/>
    <x v="1"/>
    <d v="2018-04-17T00:00:00"/>
    <n v="380.25"/>
    <n v="1046"/>
    <n v="381.1"/>
    <n v="466.25"/>
    <n v="31.19"/>
    <n v="3.4070999999999998"/>
  </r>
  <r>
    <x v="8"/>
    <x v="1"/>
    <d v="2018-04-16T00:00:00"/>
    <n v="382.5"/>
    <n v="1042"/>
    <n v="377.8"/>
    <n v="462.25"/>
    <n v="31.18"/>
    <n v="3.4190999999999998"/>
  </r>
  <r>
    <x v="8"/>
    <x v="1"/>
    <d v="2018-04-13T00:00:00"/>
    <n v="386.25"/>
    <n v="1054.25"/>
    <n v="382.8"/>
    <n v="472.5"/>
    <n v="31.48"/>
    <n v="3.4220000000000002"/>
  </r>
  <r>
    <x v="8"/>
    <x v="1"/>
    <d v="2018-04-12T00:00:00"/>
    <n v="388.75"/>
    <n v="1060.75"/>
    <n v="383.4"/>
    <n v="481"/>
    <n v="31.63"/>
    <n v="3.4123999999999999"/>
  </r>
  <r>
    <x v="8"/>
    <x v="1"/>
    <d v="2018-04-11T00:00:00"/>
    <n v="387"/>
    <n v="1047.75"/>
    <n v="380.2"/>
    <n v="487.25"/>
    <n v="31.53"/>
    <n v="3.3734000000000002"/>
  </r>
  <r>
    <x v="8"/>
    <x v="1"/>
    <d v="2018-04-10T00:00:00"/>
    <n v="389.25"/>
    <n v="1050"/>
    <n v="383.9"/>
    <n v="492"/>
    <n v="31.85"/>
    <n v="3.4087000000000001"/>
  </r>
  <r>
    <x v="8"/>
    <x v="1"/>
    <d v="2018-04-09T00:00:00"/>
    <n v="390.75"/>
    <n v="1047"/>
    <n v="389.6"/>
    <n v="490.75"/>
    <n v="31.52"/>
    <n v="3.4186999999999999"/>
  </r>
  <r>
    <x v="8"/>
    <x v="1"/>
    <d v="2018-04-06T00:00:00"/>
    <n v="388.5"/>
    <n v="1033.75"/>
    <n v="386.3"/>
    <n v="472.25"/>
    <n v="31.53"/>
    <n v="3.3689"/>
  </r>
  <r>
    <x v="8"/>
    <x v="1"/>
    <d v="2018-04-05T00:00:00"/>
    <n v="389.5"/>
    <n v="1031.25"/>
    <n v="383.6"/>
    <n v="464.75"/>
    <n v="31.78"/>
    <n v="3.3439000000000001"/>
  </r>
  <r>
    <x v="8"/>
    <x v="1"/>
    <d v="2018-04-04T00:00:00"/>
    <n v="381"/>
    <n v="1015.25"/>
    <n v="381.8"/>
    <n v="455.75"/>
    <n v="31.68"/>
    <n v="3.3290000000000002"/>
  </r>
  <r>
    <x v="8"/>
    <x v="1"/>
    <d v="2018-04-03T00:00:00"/>
    <n v="388.5"/>
    <n v="1038"/>
    <n v="380"/>
    <n v="457.5"/>
    <n v="32.340000000000003"/>
    <n v="3.3412000000000002"/>
  </r>
  <r>
    <x v="8"/>
    <x v="1"/>
    <d v="2018-04-02T00:00:00"/>
    <n v="387.25"/>
    <n v="1035.5"/>
    <n v="377.3"/>
    <n v="446.25"/>
    <n v="32.04"/>
    <n v="3.3098999999999998"/>
  </r>
  <r>
    <x v="8"/>
    <x v="2"/>
    <d v="2018-03-30T00:00:00"/>
    <m/>
    <m/>
    <m/>
    <m/>
    <m/>
    <n v="3.3046000000000002"/>
  </r>
  <r>
    <x v="8"/>
    <x v="2"/>
    <d v="2018-03-29T00:00:00"/>
    <n v="387.75"/>
    <n v="1044.75"/>
    <n v="384"/>
    <n v="451"/>
    <n v="31.87"/>
    <n v="3.3054000000000001"/>
  </r>
  <r>
    <x v="8"/>
    <x v="2"/>
    <d v="2018-03-28T00:00:00"/>
    <n v="373.5"/>
    <n v="1018"/>
    <n v="371.3"/>
    <n v="445.5"/>
    <n v="31.62"/>
    <n v="3.3195000000000001"/>
  </r>
  <r>
    <x v="8"/>
    <x v="2"/>
    <d v="2018-03-27T00:00:00"/>
    <n v="374"/>
    <n v="1019.5"/>
    <n v="372.4"/>
    <n v="449"/>
    <n v="31.58"/>
    <n v="3.3277999999999999"/>
  </r>
  <r>
    <x v="8"/>
    <x v="2"/>
    <d v="2018-03-26T00:00:00"/>
    <n v="374"/>
    <n v="1025.5"/>
    <n v="375"/>
    <n v="454.25"/>
    <n v="31.46"/>
    <n v="3.3113000000000001"/>
  </r>
  <r>
    <x v="8"/>
    <x v="2"/>
    <d v="2018-03-23T00:00:00"/>
    <n v="377.25"/>
    <n v="1028.25"/>
    <n v="377.9"/>
    <n v="460.25"/>
    <n v="31.42"/>
    <n v="3.3119000000000001"/>
  </r>
  <r>
    <x v="8"/>
    <x v="2"/>
    <d v="2018-03-22T00:00:00"/>
    <n v="376"/>
    <n v="1029.75"/>
    <n v="368"/>
    <n v="455.75"/>
    <n v="31.88"/>
    <n v="3.3151999999999999"/>
  </r>
  <r>
    <x v="8"/>
    <x v="2"/>
    <d v="2018-03-21T00:00:00"/>
    <n v="375"/>
    <n v="1029.75"/>
    <n v="364.5"/>
    <n v="453.5"/>
    <n v="32.369999999999997"/>
    <n v="3.2717000000000001"/>
  </r>
  <r>
    <x v="8"/>
    <x v="2"/>
    <d v="2018-03-20T00:00:00"/>
    <n v="374.5"/>
    <n v="1028.25"/>
    <n v="361.7"/>
    <n v="453"/>
    <n v="31.74"/>
    <n v="3.3113999999999999"/>
  </r>
  <r>
    <x v="8"/>
    <x v="2"/>
    <d v="2018-03-19T00:00:00"/>
    <n v="375"/>
    <n v="1022.5"/>
    <n v="358.6"/>
    <n v="450.75"/>
    <n v="32.06"/>
    <n v="3.2852999999999999"/>
  </r>
  <r>
    <x v="8"/>
    <x v="2"/>
    <d v="2018-03-16T00:00:00"/>
    <n v="382.75"/>
    <n v="1049.5"/>
    <n v="372.9"/>
    <n v="467.75"/>
    <n v="31.98"/>
    <n v="3.2806999999999999"/>
  </r>
  <r>
    <x v="8"/>
    <x v="2"/>
    <d v="2018-03-15T00:00:00"/>
    <n v="386.75"/>
    <n v="1040.75"/>
    <n v="371"/>
    <n v="478.75"/>
    <n v="32.06"/>
    <n v="3.2848999999999999"/>
  </r>
  <r>
    <x v="8"/>
    <x v="2"/>
    <d v="2018-03-14T00:00:00"/>
    <n v="383.5"/>
    <n v="1028.5"/>
    <n v="368.3"/>
    <n v="495.75"/>
    <n v="31.78"/>
    <n v="3.2597999999999998"/>
  </r>
  <r>
    <x v="8"/>
    <x v="2"/>
    <d v="2018-03-13T00:00:00"/>
    <n v="385.5"/>
    <n v="1040.5"/>
    <n v="372.3"/>
    <n v="485.5"/>
    <n v="32.020000000000003"/>
    <n v="3.2602000000000002"/>
  </r>
  <r>
    <x v="8"/>
    <x v="2"/>
    <d v="2018-03-12T00:00:00"/>
    <n v="384.25"/>
    <n v="1033.25"/>
    <n v="369.8"/>
    <n v="489.75"/>
    <n v="31.56"/>
    <n v="3.2610000000000001"/>
  </r>
  <r>
    <x v="8"/>
    <x v="2"/>
    <d v="2018-03-09T00:00:00"/>
    <n v="383"/>
    <n v="1029.25"/>
    <n v="371.7"/>
    <n v="489"/>
    <n v="31.42"/>
    <n v="3.2547999999999999"/>
  </r>
  <r>
    <x v="8"/>
    <x v="2"/>
    <d v="2018-03-08T00:00:00"/>
    <n v="385.75"/>
    <n v="1053.75"/>
    <n v="380.6"/>
    <n v="494.75"/>
    <n v="31.67"/>
    <n v="3.2664"/>
  </r>
  <r>
    <x v="8"/>
    <x v="2"/>
    <d v="2018-03-07T00:00:00"/>
    <n v="379.25"/>
    <n v="1055"/>
    <n v="380.2"/>
    <n v="493"/>
    <n v="31.93"/>
    <n v="3.2448999999999999"/>
  </r>
  <r>
    <x v="8"/>
    <x v="2"/>
    <d v="2018-03-06T00:00:00"/>
    <n v="379.75"/>
    <n v="1064.5"/>
    <n v="384.5"/>
    <n v="502"/>
    <n v="32.299999999999997"/>
    <n v="3.2111999999999998"/>
  </r>
  <r>
    <x v="8"/>
    <x v="2"/>
    <d v="2018-03-05T00:00:00"/>
    <n v="378.25"/>
    <n v="1066.75"/>
    <n v="389.3"/>
    <n v="502.25"/>
    <n v="32.01"/>
    <n v="3.2425000000000002"/>
  </r>
  <r>
    <x v="8"/>
    <x v="2"/>
    <d v="2018-03-02T00:00:00"/>
    <n v="377.25"/>
    <n v="1060.75"/>
    <n v="390.2"/>
    <n v="492"/>
    <n v="32.06"/>
    <n v="3.2523"/>
  </r>
  <r>
    <x v="8"/>
    <x v="2"/>
    <d v="2018-03-01T00:00:00"/>
    <n v="378.75"/>
    <n v="1057.5"/>
    <n v="394"/>
    <n v="505.5"/>
    <n v="32.119999999999997"/>
    <n v="3.2511000000000001"/>
  </r>
  <r>
    <x v="8"/>
    <x v="3"/>
    <d v="2018-02-28T00:00:00"/>
    <n v="374.5"/>
    <n v="1045"/>
    <n v="394.2"/>
    <n v="484.5"/>
    <n v="31.96"/>
    <n v="3.2458"/>
  </r>
  <r>
    <x v="8"/>
    <x v="3"/>
    <d v="2018-02-27T00:00:00"/>
    <n v="370.5"/>
    <n v="1038"/>
    <n v="386.5"/>
    <n v="463.25"/>
    <n v="32.19"/>
    <n v="3.2511999999999999"/>
  </r>
  <r>
    <x v="8"/>
    <x v="3"/>
    <d v="2018-02-26T00:00:00"/>
    <n v="368.5"/>
    <n v="1034.25"/>
    <n v="377.2"/>
    <n v="459.5"/>
    <n v="32.619999999999997"/>
    <n v="3.2252999999999998"/>
  </r>
  <r>
    <x v="8"/>
    <x v="3"/>
    <d v="2018-02-23T00:00:00"/>
    <n v="366.25"/>
    <n v="1036.25"/>
    <n v="375.5"/>
    <n v="452.25"/>
    <n v="32.36"/>
    <n v="3.2374000000000001"/>
  </r>
  <r>
    <x v="8"/>
    <x v="3"/>
    <d v="2018-02-22T00:00:00"/>
    <n v="366.75"/>
    <n v="1032"/>
    <n v="376.9"/>
    <n v="451.25"/>
    <n v="32.04"/>
    <n v="3.2496999999999998"/>
  </r>
  <r>
    <x v="8"/>
    <x v="3"/>
    <d v="2018-02-21T00:00:00"/>
    <n v="365.75"/>
    <n v="1034.25"/>
    <n v="378"/>
    <n v="447.25"/>
    <n v="32.07"/>
    <n v="3.2682000000000002"/>
  </r>
  <r>
    <x v="8"/>
    <x v="3"/>
    <d v="2018-02-20T00:00:00"/>
    <n v="365.5"/>
    <n v="1026.5"/>
    <n v="376.5"/>
    <n v="449.25"/>
    <n v="31.86"/>
    <n v="3.2553999999999998"/>
  </r>
  <r>
    <x v="8"/>
    <x v="3"/>
    <d v="2018-02-19T00:00:00"/>
    <m/>
    <m/>
    <m/>
    <m/>
    <m/>
    <n v="3.2339000000000002"/>
  </r>
  <r>
    <x v="8"/>
    <x v="3"/>
    <d v="2018-02-16T00:00:00"/>
    <n v="367.5"/>
    <n v="1021.5"/>
    <n v="373.3"/>
    <n v="457.75"/>
    <n v="31.54"/>
    <n v="3.2309999999999999"/>
  </r>
  <r>
    <x v="8"/>
    <x v="3"/>
    <d v="2018-02-15T00:00:00"/>
    <n v="367.75"/>
    <n v="1024.25"/>
    <n v="373.7"/>
    <n v="461.75"/>
    <n v="31.7"/>
    <n v="3.2273999999999998"/>
  </r>
  <r>
    <x v="8"/>
    <x v="3"/>
    <d v="2018-02-14T00:00:00"/>
    <n v="367.25"/>
    <n v="1017.25"/>
    <n v="369.9"/>
    <n v="455.75"/>
    <n v="31.8"/>
    <n v="3.2172000000000001"/>
  </r>
  <r>
    <x v="8"/>
    <x v="3"/>
    <d v="2018-02-13T00:00:00"/>
    <n v="366.75"/>
    <n v="1011.75"/>
    <n v="365.2"/>
    <n v="460.75"/>
    <n v="31.57"/>
    <n v="3.2947000000000002"/>
  </r>
  <r>
    <x v="8"/>
    <x v="3"/>
    <d v="2018-02-12T00:00:00"/>
    <n v="367"/>
    <n v="1001.75"/>
    <n v="357.8"/>
    <n v="464"/>
    <n v="31.85"/>
    <n v="3.2949000000000002"/>
  </r>
  <r>
    <x v="8"/>
    <x v="3"/>
    <d v="2018-02-09T00:00:00"/>
    <n v="362"/>
    <n v="983"/>
    <n v="343.8"/>
    <n v="449"/>
    <n v="31.96"/>
    <n v="3.2938999999999998"/>
  </r>
  <r>
    <x v="8"/>
    <x v="3"/>
    <d v="2018-02-08T00:00:00"/>
    <n v="365.75"/>
    <n v="987.75"/>
    <n v="341.7"/>
    <n v="456.25"/>
    <n v="32.21"/>
    <n v="3.2856999999999998"/>
  </r>
  <r>
    <x v="8"/>
    <x v="3"/>
    <d v="2018-02-07T00:00:00"/>
    <n v="365.25"/>
    <n v="983"/>
    <n v="335.4"/>
    <n v="460.5"/>
    <n v="32.56"/>
    <n v="3.2713000000000001"/>
  </r>
  <r>
    <x v="8"/>
    <x v="3"/>
    <d v="2018-02-06T00:00:00"/>
    <n v="363.5"/>
    <n v="986.25"/>
    <n v="331.7"/>
    <n v="446.25"/>
    <n v="33.159999999999997"/>
    <n v="3.2347000000000001"/>
  </r>
  <r>
    <x v="8"/>
    <x v="3"/>
    <d v="2018-02-05T00:00:00"/>
    <n v="358.75"/>
    <n v="969.75"/>
    <n v="327"/>
    <n v="440.25"/>
    <n v="32.5"/>
    <n v="3.2624"/>
  </r>
  <r>
    <x v="8"/>
    <x v="3"/>
    <d v="2018-02-02T00:00:00"/>
    <n v="361.5"/>
    <n v="978.75"/>
    <n v="331.4"/>
    <n v="446.75"/>
    <n v="32.51"/>
    <n v="3.218"/>
  </r>
  <r>
    <x v="8"/>
    <x v="3"/>
    <d v="2018-02-01T00:00:00"/>
    <n v="361.75"/>
    <n v="985"/>
    <n v="334"/>
    <n v="451"/>
    <n v="32.9"/>
    <n v="3.1667999999999998"/>
  </r>
  <r>
    <x v="8"/>
    <x v="4"/>
    <d v="2018-01-31T00:00:00"/>
    <n v="361.5"/>
    <n v="995.75"/>
    <n v="337.8"/>
    <n v="451.75"/>
    <n v="33.07"/>
    <n v="3.1858"/>
  </r>
  <r>
    <x v="8"/>
    <x v="4"/>
    <d v="2018-01-30T00:00:00"/>
    <n v="361.5"/>
    <n v="1000.25"/>
    <n v="340.5"/>
    <n v="457.25"/>
    <n v="33.08"/>
    <n v="3.1810999999999998"/>
  </r>
  <r>
    <x v="8"/>
    <x v="4"/>
    <d v="2018-01-29T00:00:00"/>
    <n v="358.75"/>
    <n v="991.5"/>
    <n v="337.4"/>
    <n v="449.25"/>
    <n v="32.869999999999997"/>
    <n v="3.1549"/>
  </r>
  <r>
    <x v="8"/>
    <x v="4"/>
    <d v="2018-01-26T00:00:00"/>
    <n v="356.5"/>
    <n v="985.5"/>
    <n v="335.7"/>
    <n v="441"/>
    <n v="32.79"/>
    <n v="3.1509"/>
  </r>
  <r>
    <x v="8"/>
    <x v="4"/>
    <d v="2018-01-25T00:00:00"/>
    <n v="355.25"/>
    <n v="992.25"/>
    <n v="340.4"/>
    <n v="434.5"/>
    <n v="32.5"/>
    <n v="3.1469999999999998"/>
  </r>
  <r>
    <x v="8"/>
    <x v="4"/>
    <d v="2018-01-24T00:00:00"/>
    <n v="356.5"/>
    <n v="992.25"/>
    <n v="342"/>
    <n v="433"/>
    <n v="32.68"/>
    <n v="3.1463999999999999"/>
  </r>
  <r>
    <x v="8"/>
    <x v="4"/>
    <d v="2018-01-23T00:00:00"/>
    <n v="351.25"/>
    <n v="986.25"/>
    <n v="339.6"/>
    <n v="421.5"/>
    <n v="32.520000000000003"/>
    <n v="3.2368999999999999"/>
  </r>
  <r>
    <x v="8"/>
    <x v="4"/>
    <d v="2018-01-22T00:00:00"/>
    <n v="352"/>
    <n v="984.25"/>
    <n v="338.6"/>
    <n v="425.75"/>
    <n v="32.159999999999997"/>
    <n v="3.202"/>
  </r>
  <r>
    <x v="8"/>
    <x v="4"/>
    <d v="2018-01-19T00:00:00"/>
    <n v="352.5"/>
    <n v="977.25"/>
    <n v="331.6"/>
    <n v="422.75"/>
    <n v="32.28"/>
    <n v="3.1960999999999999"/>
  </r>
  <r>
    <x v="8"/>
    <x v="4"/>
    <d v="2018-01-18T00:00:00"/>
    <n v="351.5"/>
    <n v="973"/>
    <n v="328.4"/>
    <n v="425.25"/>
    <n v="32.229999999999997"/>
    <n v="3.2063999999999999"/>
  </r>
  <r>
    <x v="8"/>
    <x v="4"/>
    <d v="2018-01-17T00:00:00"/>
    <n v="353"/>
    <n v="968.75"/>
    <n v="324.3"/>
    <n v="421.5"/>
    <n v="32.51"/>
    <n v="3.2237"/>
  </r>
  <r>
    <x v="8"/>
    <x v="4"/>
    <d v="2018-01-16T00:00:00"/>
    <n v="348.25"/>
    <n v="968"/>
    <n v="322.8"/>
    <n v="416.5"/>
    <n v="32.79"/>
    <n v="3.2242000000000002"/>
  </r>
  <r>
    <x v="8"/>
    <x v="4"/>
    <d v="2018-01-15T00:00:00"/>
    <m/>
    <m/>
    <m/>
    <m/>
    <m/>
    <n v="3.2162000000000002"/>
  </r>
  <r>
    <x v="8"/>
    <x v="4"/>
    <d v="2018-01-12T00:00:00"/>
    <n v="346.25"/>
    <n v="944"/>
    <n v="309.8"/>
    <n v="420.5"/>
    <n v="32.93"/>
    <n v="3.2063000000000001"/>
  </r>
  <r>
    <x v="8"/>
    <x v="4"/>
    <d v="2018-01-11T00:00:00"/>
    <n v="348.75"/>
    <n v="940.5"/>
    <n v="309.60000000000002"/>
    <n v="433.25"/>
    <n v="32.97"/>
    <n v="3.2153999999999998"/>
  </r>
  <r>
    <x v="8"/>
    <x v="4"/>
    <d v="2018-01-10T00:00:00"/>
    <n v="349"/>
    <n v="947"/>
    <n v="312.89999999999998"/>
    <n v="434.25"/>
    <n v="33.29"/>
    <n v="3.2280000000000002"/>
  </r>
  <r>
    <x v="8"/>
    <x v="4"/>
    <d v="2018-01-09T00:00:00"/>
    <n v="349"/>
    <n v="955.75"/>
    <n v="314.5"/>
    <n v="432.25"/>
    <n v="33.549999999999997"/>
    <n v="3.2482000000000002"/>
  </r>
  <r>
    <x v="8"/>
    <x v="4"/>
    <d v="2018-01-08T00:00:00"/>
    <n v="347.25"/>
    <n v="958.25"/>
    <n v="317.5"/>
    <n v="427.75"/>
    <n v="33.43"/>
    <n v="3.2406000000000001"/>
  </r>
  <r>
    <x v="8"/>
    <x v="4"/>
    <d v="2018-01-05T00:00:00"/>
    <n v="351.25"/>
    <n v="961.5"/>
    <n v="317.89999999999998"/>
    <n v="430.75"/>
    <n v="33.65"/>
    <n v="3.2288000000000001"/>
  </r>
  <r>
    <x v="8"/>
    <x v="4"/>
    <d v="2018-01-04T00:00:00"/>
    <n v="351"/>
    <n v="959.25"/>
    <n v="315.8"/>
    <n v="434"/>
    <n v="33.74"/>
    <n v="3.2343999999999999"/>
  </r>
  <r>
    <x v="8"/>
    <x v="4"/>
    <d v="2018-01-03T00:00:00"/>
    <n v="353"/>
    <n v="959.75"/>
    <n v="314.39999999999998"/>
    <n v="436"/>
    <n v="33.76"/>
    <n v="3.2368999999999999"/>
  </r>
  <r>
    <x v="8"/>
    <x v="4"/>
    <d v="2018-01-02T00:00:00"/>
    <n v="353.25"/>
    <n v="955"/>
    <n v="313.5"/>
    <n v="433.5"/>
    <n v="33.380000000000003"/>
    <n v="3.2587999999999999"/>
  </r>
  <r>
    <x v="8"/>
    <x v="4"/>
    <d v="2018-01-01T00:00:00"/>
    <m/>
    <m/>
    <m/>
    <m/>
    <m/>
    <n v="3.3121"/>
  </r>
  <r>
    <x v="9"/>
    <x v="5"/>
    <d v="2017-12-29T00:00:00"/>
    <n v="350.75"/>
    <n v="951.75"/>
    <n v="312.60000000000002"/>
    <n v="427"/>
    <n v="33.08"/>
    <n v="3.3121"/>
  </r>
  <r>
    <x v="9"/>
    <x v="5"/>
    <d v="2017-12-28T00:00:00"/>
    <n v="352"/>
    <n v="945.75"/>
    <n v="311.8"/>
    <n v="427.75"/>
    <n v="32.5"/>
    <n v="3.3121"/>
  </r>
  <r>
    <x v="9"/>
    <x v="5"/>
    <d v="2017-12-27T00:00:00"/>
    <n v="353.75"/>
    <n v="955.5"/>
    <n v="314.2"/>
    <n v="428"/>
    <n v="33.07"/>
    <n v="3.3149000000000002"/>
  </r>
  <r>
    <x v="9"/>
    <x v="5"/>
    <d v="2017-12-26T00:00:00"/>
    <n v="352.75"/>
    <n v="959.25"/>
    <n v="315.2"/>
    <n v="422.25"/>
    <n v="33.200000000000003"/>
    <n v="3.3109999999999999"/>
  </r>
  <r>
    <x v="9"/>
    <x v="5"/>
    <d v="2017-12-25T00:00:00"/>
    <m/>
    <m/>
    <m/>
    <m/>
    <m/>
    <n v="3.3369"/>
  </r>
  <r>
    <x v="9"/>
    <x v="5"/>
    <d v="2017-12-22T00:00:00"/>
    <n v="352"/>
    <n v="949.5"/>
    <n v="312.8"/>
    <n v="424.75"/>
    <n v="32.74"/>
    <n v="3.3369"/>
  </r>
  <r>
    <x v="9"/>
    <x v="5"/>
    <d v="2017-12-21T00:00:00"/>
    <n v="351.25"/>
    <n v="948.75"/>
    <n v="314.2"/>
    <n v="427"/>
    <n v="32.67"/>
    <n v="3.3083"/>
  </r>
  <r>
    <x v="9"/>
    <x v="5"/>
    <d v="2017-12-20T00:00:00"/>
    <n v="349.25"/>
    <n v="954"/>
    <n v="315.7"/>
    <n v="423.5"/>
    <n v="32.96"/>
    <n v="3.2976999999999999"/>
  </r>
  <r>
    <x v="9"/>
    <x v="5"/>
    <d v="2017-12-19T00:00:00"/>
    <n v="347.5"/>
    <n v="956"/>
    <n v="315.2"/>
    <n v="419.5"/>
    <n v="33.22"/>
    <n v="3.2898999999999998"/>
  </r>
  <r>
    <x v="9"/>
    <x v="5"/>
    <d v="2017-12-18T00:00:00"/>
    <n v="347"/>
    <n v="961.5"/>
    <n v="318.5"/>
    <n v="420.5"/>
    <n v="33.020000000000003"/>
    <n v="3.2921999999999998"/>
  </r>
  <r>
    <x v="9"/>
    <x v="5"/>
    <d v="2017-12-15T00:00:00"/>
    <n v="347.5"/>
    <n v="967.25"/>
    <n v="320.60000000000002"/>
    <n v="418.25"/>
    <n v="33.159999999999997"/>
    <n v="3.2946"/>
  </r>
  <r>
    <x v="9"/>
    <x v="5"/>
    <d v="2017-12-14T00:00:00"/>
    <n v="336.25"/>
    <n v="967.75"/>
    <n v="321.2"/>
    <n v="395"/>
    <n v="33.020000000000003"/>
    <n v="3.3418000000000001"/>
  </r>
  <r>
    <x v="9"/>
    <x v="5"/>
    <d v="2017-12-13T00:00:00"/>
    <n v="336.75"/>
    <n v="979.25"/>
    <n v="325.10000000000002"/>
    <n v="392.25"/>
    <n v="33.11"/>
    <n v="3.3098999999999998"/>
  </r>
  <r>
    <x v="9"/>
    <x v="5"/>
    <d v="2017-12-12T00:00:00"/>
    <n v="335.75"/>
    <n v="975.75"/>
    <n v="322.89999999999998"/>
    <n v="387.25"/>
    <n v="33.36"/>
    <n v="3.3064"/>
  </r>
  <r>
    <x v="9"/>
    <x v="5"/>
    <d v="2017-12-11T00:00:00"/>
    <n v="336.5"/>
    <n v="982.5"/>
    <n v="326"/>
    <n v="387.75"/>
    <n v="33.4"/>
    <n v="3.3047"/>
  </r>
  <r>
    <x v="9"/>
    <x v="5"/>
    <d v="2017-12-08T00:00:00"/>
    <n v="340"/>
    <n v="989.75"/>
    <n v="330"/>
    <n v="392"/>
    <n v="33.54"/>
    <n v="3.2917999999999998"/>
  </r>
  <r>
    <x v="9"/>
    <x v="5"/>
    <d v="2017-12-07T00:00:00"/>
    <n v="338.75"/>
    <n v="992"/>
    <n v="333.5"/>
    <n v="394.25"/>
    <n v="33.25"/>
    <n v="3.2906"/>
  </r>
  <r>
    <x v="9"/>
    <x v="5"/>
    <d v="2017-12-06T00:00:00"/>
    <n v="339.25"/>
    <n v="1002.75"/>
    <n v="340.4"/>
    <n v="398.5"/>
    <n v="33.090000000000003"/>
    <n v="3.2355999999999998"/>
  </r>
  <r>
    <x v="9"/>
    <x v="5"/>
    <d v="2017-12-05T00:00:00"/>
    <n v="339.75"/>
    <n v="1008.5"/>
    <n v="341.3"/>
    <n v="406"/>
    <n v="33.409999999999997"/>
    <n v="3.2414000000000001"/>
  </r>
  <r>
    <x v="9"/>
    <x v="5"/>
    <d v="2017-12-04T00:00:00"/>
    <n v="339.5"/>
    <n v="998.5"/>
    <n v="335.4"/>
    <n v="410.25"/>
    <n v="33.36"/>
    <n v="3.2441"/>
  </r>
  <r>
    <x v="9"/>
    <x v="5"/>
    <d v="2017-12-01T00:00:00"/>
    <n v="344.75"/>
    <n v="994.25"/>
    <n v="328.2"/>
    <n v="414.5"/>
    <n v="33.6"/>
    <n v="3.258"/>
  </r>
  <r>
    <x v="9"/>
    <x v="6"/>
    <d v="2017-11-30T00:00:00"/>
    <n v="341.75"/>
    <n v="985.75"/>
    <n v="324.5"/>
    <n v="409.25"/>
    <n v="33.75"/>
    <n v="3.2726000000000002"/>
  </r>
  <r>
    <x v="9"/>
    <x v="6"/>
    <d v="2017-11-29T00:00:00"/>
    <n v="339"/>
    <n v="992.5"/>
    <n v="325"/>
    <n v="416.5"/>
    <n v="33.950000000000003"/>
    <n v="3.246"/>
  </r>
  <r>
    <x v="9"/>
    <x v="6"/>
    <d v="2017-11-28T00:00:00"/>
    <n v="336.25"/>
    <n v="993"/>
    <n v="323.5"/>
    <n v="410.75"/>
    <n v="34"/>
    <n v="3.2126999999999999"/>
  </r>
  <r>
    <x v="9"/>
    <x v="6"/>
    <d v="2017-11-27T00:00:00"/>
    <n v="338.75"/>
    <n v="996"/>
    <n v="327.10000000000002"/>
    <n v="409.5"/>
    <n v="33.6"/>
    <n v="3.2277"/>
  </r>
  <r>
    <x v="9"/>
    <x v="6"/>
    <d v="2017-11-24T00:00:00"/>
    <n v="342.25"/>
    <n v="993.25"/>
    <n v="323.8"/>
    <n v="415.75"/>
    <n v="33.94"/>
    <n v="3.2328999999999999"/>
  </r>
  <r>
    <x v="9"/>
    <x v="6"/>
    <d v="2017-11-23T00:00:00"/>
    <m/>
    <m/>
    <m/>
    <m/>
    <m/>
    <n v="3.2218"/>
  </r>
  <r>
    <x v="9"/>
    <x v="6"/>
    <d v="2017-11-22T00:00:00"/>
    <n v="345.25"/>
    <n v="997.25"/>
    <n v="324.39999999999998"/>
    <n v="422.75"/>
    <n v="34.049999999999997"/>
    <n v="3.2242000000000002"/>
  </r>
  <r>
    <x v="9"/>
    <x v="6"/>
    <d v="2017-11-21T00:00:00"/>
    <n v="345"/>
    <n v="989"/>
    <n v="318.3"/>
    <n v="424.75"/>
    <n v="34.17"/>
    <n v="3.2587000000000002"/>
  </r>
  <r>
    <x v="9"/>
    <x v="6"/>
    <d v="2017-11-20T00:00:00"/>
    <n v="345"/>
    <n v="990"/>
    <n v="319.8"/>
    <n v="422"/>
    <n v="33.950000000000003"/>
    <n v="3.2572000000000001"/>
  </r>
  <r>
    <x v="9"/>
    <x v="6"/>
    <d v="2017-11-17T00:00:00"/>
    <n v="343"/>
    <n v="990.5"/>
    <n v="318.2"/>
    <n v="427.25"/>
    <n v="34.44"/>
    <n v="3.2572999999999999"/>
  </r>
  <r>
    <x v="9"/>
    <x v="6"/>
    <d v="2017-11-16T00:00:00"/>
    <n v="336.5"/>
    <n v="972"/>
    <n v="310.5"/>
    <n v="421.5"/>
    <n v="34.43"/>
    <n v="3.2738999999999998"/>
  </r>
  <r>
    <x v="9"/>
    <x v="6"/>
    <d v="2017-11-15T00:00:00"/>
    <n v="338.25"/>
    <n v="976.25"/>
    <n v="311.3"/>
    <n v="420"/>
    <n v="34.75"/>
    <n v="3.3132000000000001"/>
  </r>
  <r>
    <x v="9"/>
    <x v="6"/>
    <d v="2017-11-14T00:00:00"/>
    <n v="337.5"/>
    <n v="959"/>
    <n v="310.3"/>
    <n v="428"/>
    <n v="34.01"/>
    <n v="3.3127"/>
  </r>
  <r>
    <x v="9"/>
    <x v="6"/>
    <d v="2017-11-13T00:00:00"/>
    <n v="342.25"/>
    <n v="963.5"/>
    <n v="311.3"/>
    <n v="424.25"/>
    <n v="34.33"/>
    <n v="3.2793000000000001"/>
  </r>
  <r>
    <x v="9"/>
    <x v="6"/>
    <d v="2017-11-10T00:00:00"/>
    <n v="343.5"/>
    <n v="977.25"/>
    <n v="314.5"/>
    <n v="431.5"/>
    <n v="34.81"/>
    <n v="3.2778"/>
  </r>
  <r>
    <x v="9"/>
    <x v="6"/>
    <d v="2017-11-09T00:00:00"/>
    <n v="341.5"/>
    <n v="975.25"/>
    <n v="311.8"/>
    <n v="429"/>
    <n v="35.14"/>
    <n v="3.2519999999999998"/>
  </r>
  <r>
    <x v="9"/>
    <x v="6"/>
    <d v="2017-11-08T00:00:00"/>
    <n v="348.25"/>
    <n v="988"/>
    <n v="315.2"/>
    <n v="426.75"/>
    <n v="35.369999999999997"/>
    <n v="3.2547000000000001"/>
  </r>
  <r>
    <x v="9"/>
    <x v="6"/>
    <d v="2017-11-07T00:00:00"/>
    <n v="347.75"/>
    <n v="986"/>
    <n v="315.5"/>
    <n v="427.25"/>
    <n v="35.020000000000003"/>
    <n v="3.2713000000000001"/>
  </r>
  <r>
    <x v="9"/>
    <x v="6"/>
    <d v="2017-11-06T00:00:00"/>
    <n v="348"/>
    <n v="984"/>
    <n v="316.10000000000002"/>
    <n v="430.75"/>
    <n v="34.729999999999997"/>
    <n v="3.2494000000000001"/>
  </r>
  <r>
    <x v="9"/>
    <x v="6"/>
    <d v="2017-11-03T00:00:00"/>
    <n v="348.25"/>
    <n v="977"/>
    <n v="313.89999999999998"/>
    <n v="425.75"/>
    <n v="34.42"/>
    <n v="3.3142"/>
  </r>
  <r>
    <x v="9"/>
    <x v="6"/>
    <d v="2017-11-02T00:00:00"/>
    <n v="350.5"/>
    <n v="989"/>
    <n v="317.39999999999998"/>
    <n v="426"/>
    <n v="34.86"/>
    <n v="3.2669999999999999"/>
  </r>
  <r>
    <x v="9"/>
    <x v="6"/>
    <d v="2017-11-01T00:00:00"/>
    <n v="348.25"/>
    <n v="981"/>
    <n v="313.60000000000002"/>
    <n v="418"/>
    <n v="34.9"/>
    <n v="3.2673000000000001"/>
  </r>
  <r>
    <x v="9"/>
    <x v="7"/>
    <d v="2017-10-31T00:00:00"/>
    <n v="345.75"/>
    <n v="973.75"/>
    <n v="311.8"/>
    <n v="418.5"/>
    <n v="34.75"/>
    <n v="3.2724000000000002"/>
  </r>
  <r>
    <x v="9"/>
    <x v="7"/>
    <d v="2017-10-30T00:00:00"/>
    <n v="348.75"/>
    <n v="972.75"/>
    <n v="312.3"/>
    <n v="424.75"/>
    <n v="34.68"/>
    <n v="3.2888000000000002"/>
  </r>
  <r>
    <x v="9"/>
    <x v="7"/>
    <d v="2017-10-27T00:00:00"/>
    <n v="348.75"/>
    <n v="975.25"/>
    <n v="312.10000000000002"/>
    <n v="427.25"/>
    <n v="34.840000000000003"/>
    <n v="3.2360000000000002"/>
  </r>
  <r>
    <x v="9"/>
    <x v="7"/>
    <d v="2017-10-26T00:00:00"/>
    <n v="350.5"/>
    <n v="971.25"/>
    <n v="312.10000000000002"/>
    <n v="431.75"/>
    <n v="34.5"/>
    <n v="3.2902999999999998"/>
  </r>
  <r>
    <x v="9"/>
    <x v="7"/>
    <d v="2017-10-25T00:00:00"/>
    <n v="351"/>
    <n v="975.5"/>
    <n v="315.39999999999998"/>
    <n v="435.5"/>
    <n v="34.26"/>
    <n v="3.2328999999999999"/>
  </r>
  <r>
    <x v="9"/>
    <x v="7"/>
    <d v="2017-10-24T00:00:00"/>
    <n v="352.75"/>
    <n v="975.5"/>
    <n v="314.2"/>
    <n v="438"/>
    <n v="34.340000000000003"/>
    <n v="3.2431999999999999"/>
  </r>
  <r>
    <x v="9"/>
    <x v="7"/>
    <d v="2017-10-23T00:00:00"/>
    <n v="351.25"/>
    <n v="980.75"/>
    <n v="315.89999999999998"/>
    <n v="436.75"/>
    <n v="34.630000000000003"/>
    <n v="3.2376"/>
  </r>
  <r>
    <x v="9"/>
    <x v="7"/>
    <d v="2017-10-20T00:00:00"/>
    <n v="344.5"/>
    <n v="978.75"/>
    <n v="317.10000000000002"/>
    <n v="426"/>
    <n v="34.159999999999997"/>
    <n v="3.1922999999999999"/>
  </r>
  <r>
    <x v="9"/>
    <x v="7"/>
    <d v="2017-10-19T00:00:00"/>
    <n v="349"/>
    <n v="986.5"/>
    <n v="321.39999999999998"/>
    <n v="432.75"/>
    <n v="33.83"/>
    <n v="3.1663000000000001"/>
  </r>
  <r>
    <x v="9"/>
    <x v="7"/>
    <d v="2017-10-18T00:00:00"/>
    <n v="348.5"/>
    <n v="984.25"/>
    <n v="321.8"/>
    <n v="430"/>
    <n v="33.409999999999997"/>
    <n v="3.1705999999999999"/>
  </r>
  <r>
    <x v="9"/>
    <x v="7"/>
    <d v="2017-10-17T00:00:00"/>
    <n v="350"/>
    <n v="984.75"/>
    <n v="321.60000000000002"/>
    <n v="434.75"/>
    <n v="33.590000000000003"/>
    <n v="3.1575000000000002"/>
  </r>
  <r>
    <x v="9"/>
    <x v="7"/>
    <d v="2017-10-16T00:00:00"/>
    <n v="350.5"/>
    <n v="991"/>
    <n v="324.5"/>
    <n v="436.5"/>
    <n v="33.590000000000003"/>
    <n v="3.1707000000000001"/>
  </r>
  <r>
    <x v="9"/>
    <x v="7"/>
    <d v="2017-10-13T00:00:00"/>
    <n v="352.75"/>
    <n v="1000.25"/>
    <n v="324.5"/>
    <n v="439.5"/>
    <n v="33.49"/>
    <n v="3.1446999999999998"/>
  </r>
  <r>
    <x v="9"/>
    <x v="7"/>
    <d v="2017-10-12T00:00:00"/>
    <n v="349"/>
    <n v="992"/>
    <n v="322.7"/>
    <n v="430.5"/>
    <n v="33.07"/>
    <n v="3.1695000000000002"/>
  </r>
  <r>
    <x v="9"/>
    <x v="7"/>
    <d v="2017-10-11T00:00:00"/>
    <n v="346"/>
    <n v="965.25"/>
    <n v="311.2"/>
    <n v="433.25"/>
    <n v="32.909999999999997"/>
    <n v="3.1722000000000001"/>
  </r>
  <r>
    <x v="9"/>
    <x v="7"/>
    <d v="2017-10-10T00:00:00"/>
    <n v="349.25"/>
    <n v="966"/>
    <n v="312.5"/>
    <n v="435.25"/>
    <n v="32.86"/>
    <n v="3.1791"/>
  </r>
  <r>
    <x v="9"/>
    <x v="7"/>
    <d v="2017-10-09T00:00:00"/>
    <n v="349.5"/>
    <n v="966.75"/>
    <n v="311.5"/>
    <n v="436"/>
    <n v="33.020000000000003"/>
    <n v="3.1882000000000001"/>
  </r>
  <r>
    <x v="9"/>
    <x v="7"/>
    <d v="2017-10-06T00:00:00"/>
    <n v="350"/>
    <n v="972.25"/>
    <n v="315"/>
    <n v="443.5"/>
    <n v="32.71"/>
    <n v="3.1558000000000002"/>
  </r>
  <r>
    <x v="9"/>
    <x v="7"/>
    <d v="2017-10-05T00:00:00"/>
    <n v="349.5"/>
    <n v="968.25"/>
    <n v="312.89999999999998"/>
    <n v="440.75"/>
    <n v="32.770000000000003"/>
    <n v="3.1539000000000001"/>
  </r>
  <r>
    <x v="9"/>
    <x v="7"/>
    <d v="2017-10-04T00:00:00"/>
    <n v="348.25"/>
    <n v="958.25"/>
    <n v="306.89999999999998"/>
    <n v="442"/>
    <n v="32.99"/>
    <n v="3.1349"/>
  </r>
  <r>
    <x v="9"/>
    <x v="7"/>
    <d v="2017-10-03T00:00:00"/>
    <n v="349.5"/>
    <n v="955.25"/>
    <n v="307.3"/>
    <n v="448"/>
    <n v="32.51"/>
    <n v="3.1425000000000001"/>
  </r>
  <r>
    <x v="9"/>
    <x v="7"/>
    <d v="2017-10-02T00:00:00"/>
    <n v="351.5"/>
    <n v="957.25"/>
    <n v="309.10000000000002"/>
    <n v="444.75"/>
    <n v="32.28"/>
    <n v="3.1537999999999999"/>
  </r>
  <r>
    <x v="9"/>
    <x v="8"/>
    <d v="2017-09-29T00:00:00"/>
    <n v="355.25"/>
    <n v="968.25"/>
    <n v="311.5"/>
    <n v="448.25"/>
    <n v="32.57"/>
    <n v="3.1614"/>
  </r>
  <r>
    <x v="9"/>
    <x v="8"/>
    <d v="2017-09-28T00:00:00"/>
    <n v="352.5"/>
    <n v="959.5"/>
    <n v="306.8"/>
    <n v="455"/>
    <n v="32.590000000000003"/>
    <n v="3.1821999999999999"/>
  </r>
  <r>
    <x v="9"/>
    <x v="8"/>
    <d v="2017-09-27T00:00:00"/>
    <n v="354"/>
    <n v="965.5"/>
    <n v="308.8"/>
    <n v="461.5"/>
    <n v="33.020000000000003"/>
    <n v="3.1928999999999998"/>
  </r>
  <r>
    <x v="9"/>
    <x v="8"/>
    <d v="2017-09-26T00:00:00"/>
    <n v="352.25"/>
    <n v="963.5"/>
    <n v="308.8"/>
    <n v="453.75"/>
    <n v="33.229999999999997"/>
    <n v="3.1661000000000001"/>
  </r>
  <r>
    <x v="9"/>
    <x v="8"/>
    <d v="2017-09-25T00:00:00"/>
    <n v="353.75"/>
    <n v="971.25"/>
    <n v="310.10000000000002"/>
    <n v="454"/>
    <n v="33.78"/>
    <n v="3.1593"/>
  </r>
  <r>
    <x v="9"/>
    <x v="8"/>
    <d v="2017-09-22T00:00:00"/>
    <n v="353.5"/>
    <n v="984.25"/>
    <n v="315"/>
    <n v="449.5"/>
    <n v="33.99"/>
    <n v="3.1242999999999999"/>
  </r>
  <r>
    <x v="9"/>
    <x v="8"/>
    <d v="2017-09-21T00:00:00"/>
    <n v="350.25"/>
    <n v="970.75"/>
    <n v="309"/>
    <n v="452.5"/>
    <n v="34.1"/>
    <n v="3.1368999999999998"/>
  </r>
  <r>
    <x v="9"/>
    <x v="8"/>
    <d v="2017-09-20T00:00:00"/>
    <n v="350"/>
    <n v="970"/>
    <n v="306.3"/>
    <n v="449.75"/>
    <n v="34.67"/>
    <n v="3.1320000000000001"/>
  </r>
  <r>
    <x v="9"/>
    <x v="8"/>
    <d v="2017-09-19T00:00:00"/>
    <n v="348.25"/>
    <n v="965.5"/>
    <n v="305"/>
    <n v="443"/>
    <n v="34.520000000000003"/>
    <n v="3.1345999999999998"/>
  </r>
  <r>
    <x v="9"/>
    <x v="8"/>
    <d v="2017-09-18T00:00:00"/>
    <n v="351.5"/>
    <n v="967.75"/>
    <n v="309"/>
    <n v="443.5"/>
    <n v="34.19"/>
    <n v="3.1360000000000001"/>
  </r>
  <r>
    <x v="9"/>
    <x v="8"/>
    <d v="2017-09-15T00:00:00"/>
    <n v="354.75"/>
    <n v="968.75"/>
    <n v="308"/>
    <n v="449"/>
    <n v="34.56"/>
    <n v="3.1078999999999999"/>
  </r>
  <r>
    <x v="9"/>
    <x v="8"/>
    <d v="2017-09-14T00:00:00"/>
    <n v="341.75"/>
    <n v="967.25"/>
    <n v="308.7"/>
    <n v="428.25"/>
    <n v="34.659999999999997"/>
    <n v="3.1179000000000001"/>
  </r>
  <r>
    <x v="9"/>
    <x v="8"/>
    <d v="2017-09-13T00:00:00"/>
    <n v="338.5"/>
    <n v="953"/>
    <n v="300.3"/>
    <n v="420.75"/>
    <n v="34.72"/>
    <n v="3.1349"/>
  </r>
  <r>
    <x v="9"/>
    <x v="8"/>
    <d v="2017-09-12T00:00:00"/>
    <n v="340"/>
    <n v="944.25"/>
    <n v="295.10000000000002"/>
    <n v="419.5"/>
    <n v="34.840000000000003"/>
    <n v="3.1244999999999998"/>
  </r>
  <r>
    <x v="9"/>
    <x v="8"/>
    <d v="2017-09-11T00:00:00"/>
    <n v="345.5"/>
    <n v="954.75"/>
    <n v="298.89999999999998"/>
    <n v="412.25"/>
    <n v="34.79"/>
    <n v="3.1023000000000001"/>
  </r>
  <r>
    <x v="9"/>
    <x v="8"/>
    <d v="2017-09-08T00:00:00"/>
    <n v="344.25"/>
    <n v="956.5"/>
    <n v="300.89999999999998"/>
    <n v="413.75"/>
    <n v="34.590000000000003"/>
    <n v="3.0865"/>
  </r>
  <r>
    <x v="9"/>
    <x v="8"/>
    <d v="2017-09-07T00:00:00"/>
    <n v="341.75"/>
    <n v="963.25"/>
    <n v="302.39999999999998"/>
    <n v="413.5"/>
    <n v="35.08"/>
    <n v="3.0985"/>
  </r>
  <r>
    <x v="9"/>
    <x v="8"/>
    <d v="2017-09-06T00:00:00"/>
    <n v="347"/>
    <n v="964.5"/>
    <n v="303.60000000000002"/>
    <n v="421.75"/>
    <n v="35.21"/>
    <n v="3.0996000000000001"/>
  </r>
  <r>
    <x v="9"/>
    <x v="8"/>
    <d v="2017-09-05T00:00:00"/>
    <n v="344.25"/>
    <n v="960.5"/>
    <n v="302.8"/>
    <n v="430.5"/>
    <n v="35.1"/>
    <n v="3.1162999999999998"/>
  </r>
  <r>
    <x v="9"/>
    <x v="8"/>
    <d v="2017-09-04T00:00:00"/>
    <m/>
    <m/>
    <m/>
    <m/>
    <m/>
    <n v="3.1412"/>
  </r>
  <r>
    <x v="9"/>
    <x v="8"/>
    <d v="2017-09-01T00:00:00"/>
    <n v="340"/>
    <n v="942"/>
    <n v="293.2"/>
    <n v="420.5"/>
    <n v="35.31"/>
    <n v="3.1408999999999998"/>
  </r>
  <r>
    <x v="9"/>
    <x v="9"/>
    <d v="2017-08-31T00:00:00"/>
    <n v="342.25"/>
    <n v="936.25"/>
    <n v="294.3"/>
    <n v="410.25"/>
    <n v="34.71"/>
    <n v="3.1474000000000002"/>
  </r>
  <r>
    <x v="9"/>
    <x v="9"/>
    <d v="2017-08-30T00:00:00"/>
    <n v="329.5"/>
    <n v="923"/>
    <n v="292.39999999999998"/>
    <n v="403.5"/>
    <n v="34.33"/>
    <n v="3.1596000000000002"/>
  </r>
  <r>
    <x v="9"/>
    <x v="9"/>
    <d v="2017-08-29T00:00:00"/>
    <n v="333.5"/>
    <n v="930.75"/>
    <n v="294.60000000000002"/>
    <n v="402.75"/>
    <n v="34.28"/>
    <n v="3.1644000000000001"/>
  </r>
  <r>
    <x v="9"/>
    <x v="9"/>
    <d v="2017-08-28T00:00:00"/>
    <n v="336"/>
    <n v="935.25"/>
    <n v="295.5"/>
    <n v="400"/>
    <n v="34.590000000000003"/>
    <n v="3.1663999999999999"/>
  </r>
  <r>
    <x v="9"/>
    <x v="9"/>
    <d v="2017-08-25T00:00:00"/>
    <n v="338.75"/>
    <n v="939"/>
    <n v="296.39999999999998"/>
    <n v="409.5"/>
    <n v="34.61"/>
    <n v="3.1595"/>
  </r>
  <r>
    <x v="9"/>
    <x v="9"/>
    <d v="2017-08-24T00:00:00"/>
    <n v="342"/>
    <n v="941.25"/>
    <n v="297.60000000000002"/>
    <n v="409"/>
    <n v="34.78"/>
    <n v="3.1473"/>
  </r>
  <r>
    <x v="9"/>
    <x v="9"/>
    <d v="2017-08-23T00:00:00"/>
    <n v="342"/>
    <n v="935"/>
    <n v="293.3"/>
    <n v="403.25"/>
    <n v="34.72"/>
    <n v="3.1404999999999998"/>
  </r>
  <r>
    <x v="9"/>
    <x v="9"/>
    <d v="2017-08-22T00:00:00"/>
    <n v="346"/>
    <n v="933.75"/>
    <n v="295.3"/>
    <n v="402.25"/>
    <n v="34.06"/>
    <n v="3.1602000000000001"/>
  </r>
  <r>
    <x v="9"/>
    <x v="9"/>
    <d v="2017-08-21T00:00:00"/>
    <n v="349"/>
    <n v="932.5"/>
    <n v="295.8"/>
    <n v="409.5"/>
    <n v="33.799999999999997"/>
    <n v="3.1642000000000001"/>
  </r>
  <r>
    <x v="9"/>
    <x v="9"/>
    <d v="2017-08-18T00:00:00"/>
    <n v="352"/>
    <n v="937.5"/>
    <n v="297.2"/>
    <n v="416"/>
    <n v="33.61"/>
    <n v="3.1461999999999999"/>
  </r>
  <r>
    <x v="9"/>
    <x v="9"/>
    <d v="2017-08-17T00:00:00"/>
    <n v="350.5"/>
    <n v="930.25"/>
    <n v="296.10000000000002"/>
    <n v="414"/>
    <n v="33.21"/>
    <n v="3.1741000000000001"/>
  </r>
  <r>
    <x v="9"/>
    <x v="9"/>
    <d v="2017-08-16T00:00:00"/>
    <n v="352.5"/>
    <n v="921.75"/>
    <n v="294.60000000000002"/>
    <n v="419.25"/>
    <n v="32.85"/>
    <n v="3.1518000000000002"/>
  </r>
  <r>
    <x v="9"/>
    <x v="9"/>
    <d v="2017-08-15T00:00:00"/>
    <n v="355.25"/>
    <n v="921.75"/>
    <n v="295.8"/>
    <n v="429.5"/>
    <n v="32.71"/>
    <n v="3.1692"/>
  </r>
  <r>
    <x v="9"/>
    <x v="9"/>
    <d v="2017-08-14T00:00:00"/>
    <n v="362.75"/>
    <n v="925.5"/>
    <n v="296.3"/>
    <n v="441"/>
    <n v="32.979999999999997"/>
    <n v="3.1884999999999999"/>
  </r>
  <r>
    <x v="9"/>
    <x v="9"/>
    <d v="2017-08-11T00:00:00"/>
    <n v="360.75"/>
    <n v="935.5"/>
    <n v="298.10000000000002"/>
    <n v="439.25"/>
    <n v="33.53"/>
    <n v="3.1934"/>
  </r>
  <r>
    <x v="9"/>
    <x v="9"/>
    <d v="2017-08-10T00:00:00"/>
    <n v="357.25"/>
    <n v="930.75"/>
    <n v="294.2"/>
    <n v="440.5"/>
    <n v="33.74"/>
    <n v="3.1753999999999998"/>
  </r>
  <r>
    <x v="9"/>
    <x v="9"/>
    <d v="2017-08-09T00:00:00"/>
    <n v="372.25"/>
    <n v="963"/>
    <n v="306.60000000000002"/>
    <n v="459.5"/>
    <n v="34.130000000000003"/>
    <n v="3.1556000000000002"/>
  </r>
  <r>
    <x v="9"/>
    <x v="9"/>
    <d v="2017-08-08T00:00:00"/>
    <n v="369.75"/>
    <n v="963"/>
    <n v="307.8"/>
    <n v="457"/>
    <n v="33.799999999999997"/>
    <n v="3.1265999999999998"/>
  </r>
  <r>
    <x v="9"/>
    <x v="9"/>
    <d v="2017-08-07T00:00:00"/>
    <n v="372.25"/>
    <n v="959.75"/>
    <n v="308"/>
    <n v="463.5"/>
    <n v="33.51"/>
    <n v="3.1261000000000001"/>
  </r>
  <r>
    <x v="9"/>
    <x v="9"/>
    <d v="2017-08-04T00:00:00"/>
    <n v="366.5"/>
    <n v="949.25"/>
    <n v="303.5"/>
    <n v="454.75"/>
    <n v="33.6"/>
    <n v="3.1305000000000001"/>
  </r>
  <r>
    <x v="9"/>
    <x v="9"/>
    <d v="2017-08-03T00:00:00"/>
    <n v="363.5"/>
    <n v="950.5"/>
    <n v="306.3"/>
    <n v="457.75"/>
    <n v="33.380000000000003"/>
    <n v="3.1122999999999998"/>
  </r>
  <r>
    <x v="9"/>
    <x v="9"/>
    <d v="2017-08-02T00:00:00"/>
    <n v="365"/>
    <n v="966.5"/>
    <n v="309"/>
    <n v="460.75"/>
    <n v="34.15"/>
    <n v="3.1131000000000002"/>
  </r>
  <r>
    <x v="9"/>
    <x v="9"/>
    <d v="2017-08-01T00:00:00"/>
    <n v="362.5"/>
    <n v="959.5"/>
    <n v="308.3"/>
    <n v="461.25"/>
    <n v="33.86"/>
    <n v="3.1254"/>
  </r>
  <r>
    <x v="9"/>
    <x v="10"/>
    <d v="2017-07-31T00:00:00"/>
    <n v="370.75"/>
    <n v="994.5"/>
    <n v="318.60000000000002"/>
    <n v="474.5"/>
    <n v="34.71"/>
    <n v="3.1259000000000001"/>
  </r>
  <r>
    <x v="9"/>
    <x v="10"/>
    <d v="2017-07-28T00:00:00"/>
    <n v="374.25"/>
    <n v="1000.75"/>
    <n v="321"/>
    <n v="481"/>
    <n v="34.61"/>
    <n v="3.1316000000000002"/>
  </r>
  <r>
    <x v="9"/>
    <x v="10"/>
    <d v="2017-07-27T00:00:00"/>
    <n v="374.25"/>
    <n v="994.75"/>
    <n v="322.3"/>
    <n v="479.75"/>
    <n v="33.85"/>
    <n v="3.1524000000000001"/>
  </r>
  <r>
    <x v="9"/>
    <x v="10"/>
    <d v="2017-07-26T00:00:00"/>
    <n v="372.75"/>
    <n v="988.75"/>
    <n v="319.8"/>
    <n v="477.75"/>
    <n v="33.729999999999997"/>
    <n v="3.1385000000000001"/>
  </r>
  <r>
    <x v="9"/>
    <x v="10"/>
    <d v="2017-07-25T00:00:00"/>
    <n v="368.75"/>
    <n v="981.5"/>
    <n v="318.3"/>
    <n v="474"/>
    <n v="33.5"/>
    <n v="3.1722000000000001"/>
  </r>
  <r>
    <x v="9"/>
    <x v="10"/>
    <d v="2017-07-24T00:00:00"/>
    <n v="377.25"/>
    <n v="997.5"/>
    <n v="325.89999999999998"/>
    <n v="488.75"/>
    <n v="33.61"/>
    <n v="3.1455000000000002"/>
  </r>
  <r>
    <x v="9"/>
    <x v="10"/>
    <d v="2017-07-21T00:00:00"/>
    <n v="379.75"/>
    <n v="1009"/>
    <n v="329.7"/>
    <n v="499.25"/>
    <n v="33.799999999999997"/>
    <n v="3.1415999999999999"/>
  </r>
  <r>
    <x v="9"/>
    <x v="10"/>
    <d v="2017-07-20T00:00:00"/>
    <n v="391"/>
    <n v="1013.25"/>
    <n v="330.5"/>
    <n v="505.75"/>
    <n v="33.97"/>
    <n v="3.1206"/>
  </r>
  <r>
    <x v="9"/>
    <x v="10"/>
    <d v="2017-07-19T00:00:00"/>
    <n v="382.5"/>
    <n v="999.75"/>
    <n v="326.60000000000002"/>
    <n v="503"/>
    <n v="33.46"/>
    <n v="3.1486000000000001"/>
  </r>
  <r>
    <x v="9"/>
    <x v="10"/>
    <d v="2017-07-18T00:00:00"/>
    <n v="377"/>
    <n v="989.5"/>
    <n v="323.5"/>
    <n v="503.75"/>
    <n v="33.17"/>
    <n v="3.1541999999999999"/>
  </r>
  <r>
    <x v="9"/>
    <x v="10"/>
    <d v="2017-07-17T00:00:00"/>
    <n v="375"/>
    <n v="985"/>
    <n v="321.8"/>
    <n v="506"/>
    <n v="33.01"/>
    <n v="3.1827999999999999"/>
  </r>
  <r>
    <x v="9"/>
    <x v="10"/>
    <d v="2017-07-14T00:00:00"/>
    <n v="365.25"/>
    <n v="985.25"/>
    <n v="322.3"/>
    <n v="494.75"/>
    <n v="33.06"/>
    <n v="3.1793999999999998"/>
  </r>
  <r>
    <x v="9"/>
    <x v="10"/>
    <d v="2017-07-13T00:00:00"/>
    <n v="361"/>
    <n v="972.5"/>
    <n v="316.8"/>
    <n v="495.5"/>
    <n v="33.01"/>
    <n v="3.2134"/>
  </r>
  <r>
    <x v="9"/>
    <x v="10"/>
    <d v="2017-07-12T00:00:00"/>
    <n v="376.25"/>
    <n v="1016.75"/>
    <n v="334.4"/>
    <n v="522.5"/>
    <n v="33.43"/>
    <n v="3.2071999999999998"/>
  </r>
  <r>
    <x v="9"/>
    <x v="10"/>
    <d v="2017-07-11T00:00:00"/>
    <n v="392.25"/>
    <n v="1025.25"/>
    <n v="336.8"/>
    <n v="535.5"/>
    <n v="33.729999999999997"/>
    <n v="3.2542"/>
  </r>
  <r>
    <x v="9"/>
    <x v="10"/>
    <d v="2017-07-10T00:00:00"/>
    <n v="391.75"/>
    <n v="1020.25"/>
    <n v="336.4"/>
    <n v="530.5"/>
    <n v="33.619999999999997"/>
    <n v="3.2547999999999999"/>
  </r>
  <r>
    <x v="9"/>
    <x v="10"/>
    <d v="2017-07-07T00:00:00"/>
    <n v="382.25"/>
    <n v="996"/>
    <n v="328.5"/>
    <n v="515.25"/>
    <n v="32.78"/>
    <n v="3.2803"/>
  </r>
  <r>
    <x v="9"/>
    <x v="10"/>
    <d v="2017-07-06T00:00:00"/>
    <n v="380.25"/>
    <n v="980.75"/>
    <n v="320"/>
    <n v="519"/>
    <n v="32.83"/>
    <n v="3.2959000000000001"/>
  </r>
  <r>
    <x v="9"/>
    <x v="10"/>
    <d v="2017-07-05T00:00:00"/>
    <n v="381.75"/>
    <n v="976.25"/>
    <n v="316.5"/>
    <n v="539.25"/>
    <n v="33.15"/>
    <n v="3.2883"/>
  </r>
  <r>
    <x v="9"/>
    <x v="10"/>
    <d v="2017-07-04T00:00:00"/>
    <m/>
    <m/>
    <m/>
    <m/>
    <m/>
    <n v="3.3090000000000002"/>
  </r>
  <r>
    <x v="9"/>
    <x v="10"/>
    <d v="2017-07-03T00:00:00"/>
    <n v="378"/>
    <n v="964.75"/>
    <n v="311.89999999999998"/>
    <n v="536.75"/>
    <n v="33.130000000000003"/>
    <n v="3.3003"/>
  </r>
  <r>
    <x v="9"/>
    <x v="11"/>
    <d v="2017-06-30T00:00:00"/>
    <n v="370.5"/>
    <n v="942.25"/>
    <n v="304.39999999999998"/>
    <n v="511"/>
    <n v="32.93"/>
    <n v="3.3062999999999998"/>
  </r>
  <r>
    <x v="9"/>
    <x v="11"/>
    <d v="2017-06-29T00:00:00"/>
    <n v="359.75"/>
    <n v="915.5"/>
    <n v="294.39999999999998"/>
    <n v="480.25"/>
    <n v="32.42"/>
    <n v="3.3033000000000001"/>
  </r>
  <r>
    <x v="9"/>
    <x v="11"/>
    <d v="2017-06-28T00:00:00"/>
    <n v="356.75"/>
    <n v="914"/>
    <n v="294.60000000000002"/>
    <n v="457.25"/>
    <n v="32.119999999999997"/>
    <n v="3.2795000000000001"/>
  </r>
  <r>
    <x v="9"/>
    <x v="11"/>
    <d v="2017-06-27T00:00:00"/>
    <n v="359.25"/>
    <n v="911.25"/>
    <n v="294"/>
    <n v="453.25"/>
    <n v="32.08"/>
    <n v="3.3125"/>
  </r>
  <r>
    <x v="9"/>
    <x v="11"/>
    <d v="2017-06-26T00:00:00"/>
    <n v="359"/>
    <n v="906.75"/>
    <n v="294.10000000000002"/>
    <n v="450"/>
    <n v="31.52"/>
    <n v="3.2961"/>
  </r>
  <r>
    <x v="9"/>
    <x v="11"/>
    <d v="2017-06-23T00:00:00"/>
    <n v="357.75"/>
    <n v="904.5"/>
    <n v="293.60000000000002"/>
    <n v="459.75"/>
    <n v="31.61"/>
    <n v="3.3426999999999998"/>
  </r>
  <r>
    <x v="9"/>
    <x v="11"/>
    <d v="2017-06-22T00:00:00"/>
    <n v="362.75"/>
    <n v="904"/>
    <n v="293.8"/>
    <n v="461.25"/>
    <n v="31.55"/>
    <n v="3.3414999999999999"/>
  </r>
  <r>
    <x v="9"/>
    <x v="11"/>
    <d v="2017-06-21T00:00:00"/>
    <n v="368.75"/>
    <n v="918.75"/>
    <n v="297.89999999999998"/>
    <n v="464.5"/>
    <n v="31.85"/>
    <n v="3.3359999999999999"/>
  </r>
  <r>
    <x v="9"/>
    <x v="11"/>
    <d v="2017-06-20T00:00:00"/>
    <n v="370"/>
    <n v="927.75"/>
    <n v="300.89999999999998"/>
    <n v="472.5"/>
    <n v="32.020000000000003"/>
    <n v="3.3264"/>
  </r>
  <r>
    <x v="9"/>
    <x v="11"/>
    <d v="2017-06-19T00:00:00"/>
    <n v="375.25"/>
    <n v="937.75"/>
    <n v="301.5"/>
    <n v="467"/>
    <n v="32.82"/>
    <n v="3.2824"/>
  </r>
  <r>
    <x v="9"/>
    <x v="11"/>
    <d v="2017-06-16T00:00:00"/>
    <n v="384"/>
    <n v="939"/>
    <n v="300.89999999999998"/>
    <n v="465.25"/>
    <n v="33.11"/>
    <n v="3.2925"/>
  </r>
  <r>
    <x v="9"/>
    <x v="11"/>
    <d v="2017-06-15T00:00:00"/>
    <n v="379.5"/>
    <n v="934.75"/>
    <n v="300.60000000000002"/>
    <n v="453.75"/>
    <n v="32.74"/>
    <n v="3.274"/>
  </r>
  <r>
    <x v="9"/>
    <x v="11"/>
    <d v="2017-06-14T00:00:00"/>
    <n v="377"/>
    <n v="931.75"/>
    <n v="301.8"/>
    <n v="443"/>
    <n v="32.090000000000003"/>
    <n v="3.2738999999999998"/>
  </r>
  <r>
    <x v="9"/>
    <x v="11"/>
    <d v="2017-06-13T00:00:00"/>
    <n v="381"/>
    <n v="932.5"/>
    <n v="301.5"/>
    <n v="445"/>
    <n v="32.090000000000003"/>
    <n v="3.3144999999999998"/>
  </r>
  <r>
    <x v="9"/>
    <x v="11"/>
    <d v="2017-06-12T00:00:00"/>
    <n v="377.25"/>
    <n v="931.25"/>
    <n v="301.8"/>
    <n v="434"/>
    <n v="31.94"/>
    <n v="3.3178999999999998"/>
  </r>
  <r>
    <x v="9"/>
    <x v="11"/>
    <d v="2017-06-09T00:00:00"/>
    <n v="387.75"/>
    <n v="941.5"/>
    <n v="305.89999999999998"/>
    <n v="445.75"/>
    <n v="32.29"/>
    <n v="3.2959000000000001"/>
  </r>
  <r>
    <x v="9"/>
    <x v="11"/>
    <d v="2017-06-08T00:00:00"/>
    <n v="385.75"/>
    <n v="938"/>
    <n v="306.10000000000002"/>
    <n v="449.25"/>
    <n v="31.85"/>
    <n v="3.2606999999999999"/>
  </r>
  <r>
    <x v="9"/>
    <x v="11"/>
    <d v="2017-06-07T00:00:00"/>
    <n v="384.75"/>
    <n v="930.75"/>
    <n v="304.89999999999998"/>
    <n v="444.75"/>
    <n v="31.36"/>
    <n v="3.2685"/>
  </r>
  <r>
    <x v="9"/>
    <x v="11"/>
    <d v="2017-06-06T00:00:00"/>
    <n v="377.25"/>
    <n v="923.5"/>
    <n v="301.10000000000002"/>
    <n v="435.75"/>
    <n v="31.39"/>
    <n v="3.2772000000000001"/>
  </r>
  <r>
    <x v="9"/>
    <x v="11"/>
    <d v="2017-06-05T00:00:00"/>
    <n v="373"/>
    <n v="922"/>
    <n v="300.60000000000002"/>
    <n v="429.5"/>
    <n v="31.31"/>
    <n v="3.2967"/>
  </r>
  <r>
    <x v="9"/>
    <x v="11"/>
    <d v="2017-06-02T00:00:00"/>
    <n v="372.75"/>
    <n v="921.25"/>
    <n v="301.89999999999998"/>
    <n v="429.5"/>
    <n v="31.01"/>
    <n v="3.2471999999999999"/>
  </r>
  <r>
    <x v="9"/>
    <x v="11"/>
    <d v="2017-06-01T00:00:00"/>
    <n v="370.5"/>
    <n v="912.25"/>
    <n v="297.5"/>
    <n v="429"/>
    <n v="31.25"/>
    <n v="3.2494999999999998"/>
  </r>
  <r>
    <x v="9"/>
    <x v="0"/>
    <d v="2017-05-31T00:00:00"/>
    <n v="372"/>
    <n v="916"/>
    <n v="298.10000000000002"/>
    <n v="429.25"/>
    <n v="31.34"/>
    <n v="3.2262"/>
  </r>
  <r>
    <x v="9"/>
    <x v="0"/>
    <d v="2017-05-30T00:00:00"/>
    <n v="367"/>
    <n v="912.75"/>
    <n v="297.60000000000002"/>
    <n v="429.5"/>
    <n v="31.42"/>
    <n v="3.2572000000000001"/>
  </r>
  <r>
    <x v="9"/>
    <x v="0"/>
    <d v="2017-05-29T00:00:00"/>
    <m/>
    <m/>
    <m/>
    <m/>
    <m/>
    <n v="3.2559999999999998"/>
  </r>
  <r>
    <x v="9"/>
    <x v="0"/>
    <d v="2017-05-26T00:00:00"/>
    <n v="374.25"/>
    <n v="926.5"/>
    <n v="301.8"/>
    <n v="438.25"/>
    <n v="31.6"/>
    <n v="3.2597999999999998"/>
  </r>
  <r>
    <x v="9"/>
    <x v="0"/>
    <d v="2017-05-25T00:00:00"/>
    <n v="369.25"/>
    <n v="939.5"/>
    <n v="304.7"/>
    <n v="430.75"/>
    <n v="32.04"/>
    <n v="3.2728999999999999"/>
  </r>
  <r>
    <x v="9"/>
    <x v="0"/>
    <d v="2017-05-24T00:00:00"/>
    <n v="371.25"/>
    <n v="948.25"/>
    <n v="306.39999999999998"/>
    <n v="432.5"/>
    <n v="32.28"/>
    <n v="3.2774000000000001"/>
  </r>
  <r>
    <x v="9"/>
    <x v="0"/>
    <d v="2017-05-23T00:00:00"/>
    <n v="369.5"/>
    <n v="948.25"/>
    <n v="306.3"/>
    <n v="429.5"/>
    <n v="32.340000000000003"/>
    <n v="3.27"/>
  </r>
  <r>
    <x v="9"/>
    <x v="0"/>
    <d v="2017-05-22T00:00:00"/>
    <n v="375"/>
    <n v="956.5"/>
    <n v="307.8"/>
    <n v="434.25"/>
    <n v="32.94"/>
    <n v="3.2652999999999999"/>
  </r>
  <r>
    <x v="9"/>
    <x v="0"/>
    <d v="2017-05-19T00:00:00"/>
    <n v="372.5"/>
    <n v="953"/>
    <n v="307"/>
    <n v="435.25"/>
    <n v="33.04"/>
    <n v="3.2526999999999999"/>
  </r>
  <r>
    <x v="9"/>
    <x v="0"/>
    <d v="2017-05-18T00:00:00"/>
    <n v="366"/>
    <n v="944.75"/>
    <n v="307.5"/>
    <n v="425.75"/>
    <n v="32.44"/>
    <n v="3.3664999999999998"/>
  </r>
  <r>
    <x v="9"/>
    <x v="0"/>
    <d v="2017-05-17T00:00:00"/>
    <n v="371.5"/>
    <n v="975.75"/>
    <n v="315.3"/>
    <n v="427"/>
    <n v="33.15"/>
    <n v="3.1377999999999999"/>
  </r>
  <r>
    <x v="9"/>
    <x v="0"/>
    <d v="2017-05-16T00:00:00"/>
    <n v="367.75"/>
    <n v="976.25"/>
    <n v="317"/>
    <n v="424.25"/>
    <n v="33.01"/>
    <n v="3.0960999999999999"/>
  </r>
  <r>
    <x v="9"/>
    <x v="0"/>
    <d v="2017-05-15T00:00:00"/>
    <n v="367.75"/>
    <n v="965.25"/>
    <n v="312.5"/>
    <n v="423.25"/>
    <n v="33.020000000000003"/>
    <n v="3.1105"/>
  </r>
  <r>
    <x v="9"/>
    <x v="0"/>
    <d v="2017-05-12T00:00:00"/>
    <n v="361.75"/>
    <n v="954"/>
    <n v="309.7"/>
    <n v="425"/>
    <n v="32.630000000000003"/>
    <n v="3.1208999999999998"/>
  </r>
  <r>
    <x v="9"/>
    <x v="0"/>
    <d v="2017-05-11T00:00:00"/>
    <n v="360.5"/>
    <n v="956"/>
    <n v="311.10000000000002"/>
    <n v="426"/>
    <n v="32.270000000000003"/>
    <n v="3.1398999999999999"/>
  </r>
  <r>
    <x v="9"/>
    <x v="0"/>
    <d v="2017-05-10T00:00:00"/>
    <n v="365.25"/>
    <n v="961.75"/>
    <n v="313.8"/>
    <n v="424"/>
    <n v="32.07"/>
    <n v="3.1665999999999999"/>
  </r>
  <r>
    <x v="9"/>
    <x v="0"/>
    <d v="2017-05-09T00:00:00"/>
    <n v="358.25"/>
    <n v="965.25"/>
    <n v="314.2"/>
    <n v="421.75"/>
    <n v="32.65"/>
    <n v="3.1896"/>
  </r>
  <r>
    <x v="9"/>
    <x v="0"/>
    <d v="2017-05-08T00:00:00"/>
    <n v="356.75"/>
    <n v="956.25"/>
    <n v="309.5"/>
    <n v="418"/>
    <n v="32.729999999999997"/>
    <n v="3.1970000000000001"/>
  </r>
  <r>
    <x v="9"/>
    <x v="0"/>
    <d v="2017-05-05T00:00:00"/>
    <n v="361.75"/>
    <n v="963"/>
    <n v="312.3"/>
    <n v="427.5"/>
    <n v="32.71"/>
    <n v="3.1762000000000001"/>
  </r>
  <r>
    <x v="9"/>
    <x v="0"/>
    <d v="2017-05-04T00:00:00"/>
    <n v="358"/>
    <n v="965.25"/>
    <n v="314.10000000000002"/>
    <n v="426"/>
    <n v="32.33"/>
    <n v="3.1880000000000002"/>
  </r>
  <r>
    <x v="9"/>
    <x v="0"/>
    <d v="2017-05-03T00:00:00"/>
    <n v="366.25"/>
    <n v="965.5"/>
    <n v="314.60000000000002"/>
    <n v="443"/>
    <n v="32.32"/>
    <n v="3.1644000000000001"/>
  </r>
  <r>
    <x v="9"/>
    <x v="0"/>
    <d v="2017-05-02T00:00:00"/>
    <n v="364"/>
    <n v="958"/>
    <n v="310.8"/>
    <n v="441.5"/>
    <n v="32.35"/>
    <n v="3.1514000000000002"/>
  </r>
  <r>
    <x v="9"/>
    <x v="0"/>
    <d v="2017-05-01T00:00:00"/>
    <n v="369.25"/>
    <n v="959"/>
    <n v="314.3"/>
    <n v="442.75"/>
    <n v="31.89"/>
    <n v="3.1755"/>
  </r>
  <r>
    <x v="9"/>
    <x v="1"/>
    <d v="2017-04-28T00:00:00"/>
    <n v="358"/>
    <n v="945.25"/>
    <n v="311.7"/>
    <n v="418.5"/>
    <n v="31.45"/>
    <n v="3.1758000000000002"/>
  </r>
  <r>
    <x v="9"/>
    <x v="1"/>
    <d v="2017-04-27T00:00:00"/>
    <n v="362"/>
    <n v="945.75"/>
    <n v="310.5"/>
    <n v="413.5"/>
    <n v="31.7"/>
    <n v="3.1831999999999998"/>
  </r>
  <r>
    <x v="9"/>
    <x v="1"/>
    <d v="2017-04-26T00:00:00"/>
    <n v="359"/>
    <n v="945.75"/>
    <n v="309.60000000000002"/>
    <n v="407.75"/>
    <n v="31.91"/>
    <n v="3.1709999999999998"/>
  </r>
  <r>
    <x v="9"/>
    <x v="1"/>
    <d v="2017-04-25T00:00:00"/>
    <n v="365"/>
    <n v="954.5"/>
    <n v="313.5"/>
    <n v="408.75"/>
    <n v="31.58"/>
    <n v="3.1459000000000001"/>
  </r>
  <r>
    <x v="9"/>
    <x v="1"/>
    <d v="2017-04-24T00:00:00"/>
    <n v="359.25"/>
    <n v="961.25"/>
    <n v="316.39999999999998"/>
    <n v="402.5"/>
    <n v="31.69"/>
    <n v="3.1271"/>
  </r>
  <r>
    <x v="9"/>
    <x v="1"/>
    <d v="2017-04-21T00:00:00"/>
    <n v="357"/>
    <n v="951"/>
    <n v="309.60000000000002"/>
    <n v="405"/>
    <n v="31.94"/>
    <n v="3.1475"/>
  </r>
  <r>
    <x v="9"/>
    <x v="1"/>
    <d v="2017-04-20T00:00:00"/>
    <n v="357.75"/>
    <n v="946.75"/>
    <n v="307.89999999999998"/>
    <n v="406.25"/>
    <n v="31.92"/>
    <n v="3.1482999999999999"/>
  </r>
  <r>
    <x v="9"/>
    <x v="1"/>
    <d v="2017-04-19T00:00:00"/>
    <n v="361.75"/>
    <n v="950.25"/>
    <n v="310.8"/>
    <n v="419"/>
    <n v="31.58"/>
    <n v="3.1514000000000002"/>
  </r>
  <r>
    <x v="9"/>
    <x v="1"/>
    <d v="2017-04-18T00:00:00"/>
    <n v="361.75"/>
    <n v="946"/>
    <n v="312.2"/>
    <n v="422.5"/>
    <n v="31.14"/>
    <n v="3.1072000000000002"/>
  </r>
  <r>
    <x v="9"/>
    <x v="1"/>
    <d v="2017-04-17T00:00:00"/>
    <n v="366.5"/>
    <n v="953.25"/>
    <n v="313.39999999999998"/>
    <n v="421"/>
    <n v="31.8"/>
    <n v="3.0979000000000001"/>
  </r>
  <r>
    <x v="9"/>
    <x v="1"/>
    <d v="2017-04-14T00:00:00"/>
    <m/>
    <m/>
    <m/>
    <m/>
    <m/>
    <n v="3.1440000000000001"/>
  </r>
  <r>
    <x v="9"/>
    <x v="1"/>
    <d v="2017-04-13T00:00:00"/>
    <n v="371"/>
    <n v="955.5"/>
    <n v="317.5"/>
    <n v="429.75"/>
    <n v="31.19"/>
    <n v="3.1436999999999999"/>
  </r>
  <r>
    <x v="9"/>
    <x v="1"/>
    <d v="2017-04-12T00:00:00"/>
    <n v="369"/>
    <n v="947.75"/>
    <n v="312.7"/>
    <n v="433.25"/>
    <n v="31.24"/>
    <n v="3.1251000000000002"/>
  </r>
  <r>
    <x v="9"/>
    <x v="1"/>
    <d v="2017-04-11T00:00:00"/>
    <n v="366.5"/>
    <n v="939.25"/>
    <n v="309.3"/>
    <n v="433.25"/>
    <n v="31.07"/>
    <n v="3.1360000000000001"/>
  </r>
  <r>
    <x v="9"/>
    <x v="1"/>
    <d v="2017-04-10T00:00:00"/>
    <n v="367"/>
    <n v="941.75"/>
    <n v="309.10000000000002"/>
    <n v="428.75"/>
    <n v="31.35"/>
    <n v="3.1311"/>
  </r>
  <r>
    <x v="9"/>
    <x v="1"/>
    <d v="2017-04-07T00:00:00"/>
    <n v="359.5"/>
    <n v="942"/>
    <n v="307.39999999999998"/>
    <n v="424"/>
    <n v="31.62"/>
    <n v="3.1457000000000002"/>
  </r>
  <r>
    <x v="9"/>
    <x v="1"/>
    <d v="2017-04-06T00:00:00"/>
    <n v="360.75"/>
    <n v="941.5"/>
    <n v="308.7"/>
    <n v="423.25"/>
    <n v="31.37"/>
    <n v="3.1419999999999999"/>
  </r>
  <r>
    <x v="9"/>
    <x v="1"/>
    <d v="2017-04-05T00:00:00"/>
    <n v="364.75"/>
    <n v="944.25"/>
    <n v="309.8"/>
    <n v="429.75"/>
    <n v="31.83"/>
    <n v="3.1192000000000002"/>
  </r>
  <r>
    <x v="9"/>
    <x v="1"/>
    <d v="2017-04-04T00:00:00"/>
    <n v="363"/>
    <n v="937.75"/>
    <n v="308.10000000000002"/>
    <n v="427"/>
    <n v="31.43"/>
    <n v="3.0926999999999998"/>
  </r>
  <r>
    <x v="9"/>
    <x v="1"/>
    <d v="2017-04-03T00:00:00"/>
    <n v="367.75"/>
    <n v="938.25"/>
    <n v="307.60000000000002"/>
    <n v="427.75"/>
    <n v="31.42"/>
    <n v="3.1137999999999999"/>
  </r>
  <r>
    <x v="9"/>
    <x v="2"/>
    <d v="2017-03-31T00:00:00"/>
    <n v="364.25"/>
    <n v="946"/>
    <n v="308.39999999999998"/>
    <n v="426.5"/>
    <n v="31.78"/>
    <n v="3.1230000000000002"/>
  </r>
  <r>
    <x v="9"/>
    <x v="2"/>
    <d v="2017-03-30T00:00:00"/>
    <n v="357.5"/>
    <n v="963"/>
    <n v="314.89999999999998"/>
    <n v="421"/>
    <n v="32.01"/>
    <n v="3.1482999999999999"/>
  </r>
  <r>
    <x v="9"/>
    <x v="2"/>
    <d v="2017-03-29T00:00:00"/>
    <n v="358.5"/>
    <n v="969"/>
    <n v="315.8"/>
    <n v="425.5"/>
    <n v="32.21"/>
    <n v="3.1193"/>
  </r>
  <r>
    <x v="9"/>
    <x v="2"/>
    <d v="2017-03-28T00:00:00"/>
    <n v="357.75"/>
    <n v="972"/>
    <n v="315.3"/>
    <n v="424.5"/>
    <n v="32.47"/>
    <n v="3.1398000000000001"/>
  </r>
  <r>
    <x v="9"/>
    <x v="2"/>
    <d v="2017-03-27T00:00:00"/>
    <n v="355.75"/>
    <n v="971.5"/>
    <n v="315.3"/>
    <n v="420.75"/>
    <n v="32.29"/>
    <n v="3.1255999999999999"/>
  </r>
  <r>
    <x v="9"/>
    <x v="2"/>
    <d v="2017-03-24T00:00:00"/>
    <n v="356.25"/>
    <n v="975.75"/>
    <n v="318.2"/>
    <n v="424.75"/>
    <n v="32.229999999999997"/>
    <n v="3.1073"/>
  </r>
  <r>
    <x v="9"/>
    <x v="2"/>
    <d v="2017-03-23T00:00:00"/>
    <n v="356.75"/>
    <n v="991"/>
    <n v="320.7"/>
    <n v="421"/>
    <n v="33.22"/>
    <n v="3.1383000000000001"/>
  </r>
  <r>
    <x v="9"/>
    <x v="2"/>
    <d v="2017-03-22T00:00:00"/>
    <n v="358.75"/>
    <n v="999.75"/>
    <n v="323.5"/>
    <n v="422.25"/>
    <n v="33.520000000000003"/>
    <n v="3.0870000000000002"/>
  </r>
  <r>
    <x v="9"/>
    <x v="2"/>
    <d v="2017-03-21T00:00:00"/>
    <n v="361.25"/>
    <n v="1001.5"/>
    <n v="325.8"/>
    <n v="426.5"/>
    <n v="33.14"/>
    <n v="3.0878000000000001"/>
  </r>
  <r>
    <x v="9"/>
    <x v="2"/>
    <d v="2017-03-20T00:00:00"/>
    <n v="363.5"/>
    <n v="999.5"/>
    <n v="326.60000000000002"/>
    <n v="430.25"/>
    <n v="32.74"/>
    <n v="3.0720000000000001"/>
  </r>
  <r>
    <x v="9"/>
    <x v="2"/>
    <d v="2017-03-17T00:00:00"/>
    <n v="367.5"/>
    <n v="1000"/>
    <n v="328.9"/>
    <n v="436.25"/>
    <n v="32.299999999999997"/>
    <n v="3.0911"/>
  </r>
  <r>
    <x v="9"/>
    <x v="2"/>
    <d v="2017-03-16T00:00:00"/>
    <n v="366"/>
    <n v="1001.5"/>
    <n v="329.3"/>
    <n v="436"/>
    <n v="32.26"/>
    <n v="3.1179999999999999"/>
  </r>
  <r>
    <x v="9"/>
    <x v="2"/>
    <d v="2017-03-15T00:00:00"/>
    <n v="363.5"/>
    <n v="998"/>
    <n v="327.60000000000002"/>
    <n v="436"/>
    <n v="32.22"/>
    <n v="3.1032999999999999"/>
  </r>
  <r>
    <x v="9"/>
    <x v="2"/>
    <d v="2017-03-14T00:00:00"/>
    <n v="353.75"/>
    <n v="987.25"/>
    <n v="323.3"/>
    <n v="412"/>
    <n v="31.85"/>
    <n v="3.1682999999999999"/>
  </r>
  <r>
    <x v="9"/>
    <x v="2"/>
    <d v="2017-03-13T00:00:00"/>
    <n v="354.5"/>
    <n v="996.25"/>
    <n v="326.89999999999998"/>
    <n v="412.25"/>
    <n v="31.87"/>
    <n v="3.1522999999999999"/>
  </r>
  <r>
    <x v="9"/>
    <x v="2"/>
    <d v="2017-03-10T00:00:00"/>
    <n v="358"/>
    <n v="996.25"/>
    <n v="324.60000000000002"/>
    <n v="422.75"/>
    <n v="32.44"/>
    <n v="3.1379999999999999"/>
  </r>
  <r>
    <x v="9"/>
    <x v="2"/>
    <d v="2017-03-09T00:00:00"/>
    <n v="359.75"/>
    <n v="1000.25"/>
    <n v="324.10000000000002"/>
    <n v="426"/>
    <n v="32.869999999999997"/>
    <n v="3.1928999999999998"/>
  </r>
  <r>
    <x v="9"/>
    <x v="2"/>
    <d v="2017-03-08T00:00:00"/>
    <n v="365.25"/>
    <n v="1011"/>
    <n v="326.5"/>
    <n v="427.5"/>
    <n v="33.29"/>
    <n v="3.1623999999999999"/>
  </r>
  <r>
    <x v="9"/>
    <x v="2"/>
    <d v="2017-03-07T00:00:00"/>
    <n v="369.5"/>
    <n v="1014.75"/>
    <n v="326.89999999999998"/>
    <n v="436"/>
    <n v="33.47"/>
    <n v="3.1187"/>
  </r>
  <r>
    <x v="9"/>
    <x v="2"/>
    <d v="2017-03-06T00:00:00"/>
    <n v="372.75"/>
    <n v="1026.75"/>
    <n v="329.2"/>
    <n v="438.25"/>
    <n v="34.020000000000003"/>
    <n v="3.1383000000000001"/>
  </r>
  <r>
    <x v="9"/>
    <x v="2"/>
    <d v="2017-03-03T00:00:00"/>
    <n v="374.75"/>
    <n v="1027"/>
    <n v="328.8"/>
    <n v="433.75"/>
    <n v="34.130000000000003"/>
    <n v="3.1143000000000001"/>
  </r>
  <r>
    <x v="9"/>
    <x v="2"/>
    <d v="2017-03-02T00:00:00"/>
    <n v="372.75"/>
    <n v="1026.75"/>
    <n v="330.8"/>
    <n v="432"/>
    <n v="33.880000000000003"/>
    <n v="3.1560000000000001"/>
  </r>
  <r>
    <x v="9"/>
    <x v="2"/>
    <d v="2017-03-01T00:00:00"/>
    <n v="375.75"/>
    <n v="1041.25"/>
    <n v="335.1"/>
    <n v="435.5"/>
    <n v="34.49"/>
    <n v="3.089"/>
  </r>
  <r>
    <x v="9"/>
    <x v="3"/>
    <d v="2017-02-28T00:00:00"/>
    <n v="366.75"/>
    <n v="1025"/>
    <n v="332.6"/>
    <n v="424.75"/>
    <n v="33.69"/>
    <n v="3.1086"/>
  </r>
  <r>
    <x v="9"/>
    <x v="3"/>
    <d v="2017-02-27T00:00:00"/>
    <n v="360.25"/>
    <n v="1011"/>
    <n v="331.1"/>
    <n v="418.75"/>
    <n v="32.35"/>
    <n v="3.1084999999999998"/>
  </r>
  <r>
    <x v="9"/>
    <x v="3"/>
    <d v="2017-02-24T00:00:00"/>
    <n v="364"/>
    <n v="1013.5"/>
    <n v="331.3"/>
    <n v="431.25"/>
    <n v="32.39"/>
    <n v="3.11"/>
  </r>
  <r>
    <x v="9"/>
    <x v="3"/>
    <d v="2017-02-23T00:00:00"/>
    <n v="365.5"/>
    <n v="1011.5"/>
    <n v="330.8"/>
    <n v="438"/>
    <n v="32.32"/>
    <n v="3.0590000000000002"/>
  </r>
  <r>
    <x v="9"/>
    <x v="3"/>
    <d v="2017-02-22T00:00:00"/>
    <n v="371"/>
    <n v="1022.75"/>
    <n v="335"/>
    <n v="441.25"/>
    <n v="32.72"/>
    <n v="3.0630000000000002"/>
  </r>
  <r>
    <x v="9"/>
    <x v="3"/>
    <d v="2017-02-21T00:00:00"/>
    <n v="369.25"/>
    <n v="1026.25"/>
    <n v="337.4"/>
    <n v="436"/>
    <n v="32.67"/>
    <n v="3.0949"/>
  </r>
  <r>
    <x v="9"/>
    <x v="3"/>
    <d v="2017-02-20T00:00:00"/>
    <m/>
    <m/>
    <m/>
    <m/>
    <m/>
    <n v="3.0859999999999999"/>
  </r>
  <r>
    <x v="9"/>
    <x v="3"/>
    <d v="2017-02-17T00:00:00"/>
    <n v="368.25"/>
    <n v="1032.5"/>
    <n v="339.6"/>
    <n v="441"/>
    <n v="32.89"/>
    <n v="3.1034999999999999"/>
  </r>
  <r>
    <x v="9"/>
    <x v="3"/>
    <d v="2017-02-16T00:00:00"/>
    <n v="373.5"/>
    <n v="1043.75"/>
    <n v="342"/>
    <n v="447.75"/>
    <n v="33.520000000000003"/>
    <n v="3.0889000000000002"/>
  </r>
  <r>
    <x v="9"/>
    <x v="3"/>
    <d v="2017-02-15T00:00:00"/>
    <n v="378.75"/>
    <n v="1061.25"/>
    <n v="346.9"/>
    <n v="454.75"/>
    <n v="33.94"/>
    <n v="3.0565000000000002"/>
  </r>
  <r>
    <x v="9"/>
    <x v="3"/>
    <d v="2017-02-14T00:00:00"/>
    <n v="374.25"/>
    <n v="1045"/>
    <n v="339.5"/>
    <n v="449.5"/>
    <n v="34.14"/>
    <n v="3.0840000000000001"/>
  </r>
  <r>
    <x v="9"/>
    <x v="3"/>
    <d v="2017-02-13T00:00:00"/>
    <n v="375.5"/>
    <n v="1054.25"/>
    <n v="343.2"/>
    <n v="452.25"/>
    <n v="34.17"/>
    <n v="3.1110000000000002"/>
  </r>
  <r>
    <x v="9"/>
    <x v="3"/>
    <d v="2017-02-10T00:00:00"/>
    <n v="374.5"/>
    <n v="1059"/>
    <n v="342.1"/>
    <n v="449"/>
    <n v="34.61"/>
    <n v="3.1145"/>
  </r>
  <r>
    <x v="9"/>
    <x v="3"/>
    <d v="2017-02-09T00:00:00"/>
    <n v="369.5"/>
    <n v="1050.5"/>
    <n v="338.4"/>
    <n v="443.5"/>
    <n v="34.67"/>
    <n v="3.1299000000000001"/>
  </r>
  <r>
    <x v="9"/>
    <x v="3"/>
    <d v="2017-02-08T00:00:00"/>
    <n v="370.75"/>
    <n v="1058.75"/>
    <n v="341.2"/>
    <n v="432.5"/>
    <n v="34.69"/>
    <n v="3.117"/>
  </r>
  <r>
    <x v="9"/>
    <x v="3"/>
    <d v="2017-02-07T00:00:00"/>
    <n v="368.5"/>
    <n v="1042.75"/>
    <n v="335.9"/>
    <n v="430.75"/>
    <n v="34.299999999999997"/>
    <n v="3.12"/>
  </r>
  <r>
    <x v="9"/>
    <x v="3"/>
    <d v="2017-02-06T00:00:00"/>
    <n v="363.75"/>
    <n v="1036"/>
    <n v="332.8"/>
    <n v="422.5"/>
    <n v="34.44"/>
    <n v="3.1154999999999999"/>
  </r>
  <r>
    <x v="9"/>
    <x v="3"/>
    <d v="2017-02-03T00:00:00"/>
    <n v="365.25"/>
    <n v="1027"/>
    <n v="331.6"/>
    <n v="430.25"/>
    <n v="33.86"/>
    <n v="3.1173999999999999"/>
  </r>
  <r>
    <x v="9"/>
    <x v="3"/>
    <d v="2017-02-02T00:00:00"/>
    <n v="367.5"/>
    <n v="1037.25"/>
    <n v="333.8"/>
    <n v="434.5"/>
    <n v="34.590000000000003"/>
    <n v="3.1234999999999999"/>
  </r>
  <r>
    <x v="9"/>
    <x v="3"/>
    <d v="2017-02-01T00:00:00"/>
    <n v="368.25"/>
    <n v="1036.75"/>
    <n v="336"/>
    <n v="433.75"/>
    <n v="34.31"/>
    <n v="3.1284999999999998"/>
  </r>
  <r>
    <x v="9"/>
    <x v="4"/>
    <d v="2017-01-31T00:00:00"/>
    <n v="359.75"/>
    <n v="1024.5"/>
    <n v="334.6"/>
    <n v="420.75"/>
    <n v="33.85"/>
    <n v="3.1507000000000001"/>
  </r>
  <r>
    <x v="9"/>
    <x v="4"/>
    <d v="2017-01-30T00:00:00"/>
    <n v="357.75"/>
    <n v="1022.75"/>
    <n v="334.4"/>
    <n v="414"/>
    <n v="33.61"/>
    <n v="3.1255000000000002"/>
  </r>
  <r>
    <x v="9"/>
    <x v="4"/>
    <d v="2017-01-27T00:00:00"/>
    <n v="362.5"/>
    <n v="1049.25"/>
    <n v="343"/>
    <n v="420.5"/>
    <n v="34.270000000000003"/>
    <n v="3.14"/>
  </r>
  <r>
    <x v="9"/>
    <x v="4"/>
    <d v="2017-01-26T00:00:00"/>
    <n v="363.75"/>
    <n v="1049.5"/>
    <n v="342.4"/>
    <n v="427"/>
    <n v="34.47"/>
    <n v="3.1775000000000002"/>
  </r>
  <r>
    <x v="9"/>
    <x v="4"/>
    <d v="2017-01-25T00:00:00"/>
    <n v="366.25"/>
    <n v="1055.25"/>
    <n v="343.3"/>
    <n v="424.5"/>
    <n v="34.869999999999997"/>
    <n v="3.1697000000000002"/>
  </r>
  <r>
    <x v="9"/>
    <x v="4"/>
    <d v="2017-01-24T00:00:00"/>
    <n v="363.25"/>
    <n v="1058.5"/>
    <n v="343"/>
    <n v="426.75"/>
    <n v="35.28"/>
    <n v="3.1697000000000002"/>
  </r>
  <r>
    <x v="9"/>
    <x v="4"/>
    <d v="2017-01-23T00:00:00"/>
    <n v="369.5"/>
    <n v="1057.75"/>
    <n v="343.5"/>
    <n v="433.25"/>
    <n v="35.130000000000003"/>
    <n v="3.1627999999999998"/>
  </r>
  <r>
    <x v="9"/>
    <x v="4"/>
    <d v="2017-01-20T00:00:00"/>
    <n v="369.75"/>
    <n v="1067.5"/>
    <n v="348.7"/>
    <n v="428.25"/>
    <n v="35.15"/>
    <n v="3.1684999999999999"/>
  </r>
  <r>
    <x v="9"/>
    <x v="4"/>
    <d v="2017-01-19T00:00:00"/>
    <n v="366.25"/>
    <n v="1070.25"/>
    <n v="348.2"/>
    <n v="423.5"/>
    <n v="35.44"/>
    <n v="3.1960000000000002"/>
  </r>
  <r>
    <x v="9"/>
    <x v="4"/>
    <d v="2017-01-18T00:00:00"/>
    <n v="365"/>
    <n v="1075"/>
    <n v="351.1"/>
    <n v="431"/>
    <n v="35.58"/>
    <n v="3.2307000000000001"/>
  </r>
  <r>
    <x v="9"/>
    <x v="4"/>
    <d v="2017-01-17T00:00:00"/>
    <n v="365.5"/>
    <n v="1069.25"/>
    <n v="348.8"/>
    <n v="433.5"/>
    <n v="35.56"/>
    <n v="3.2113"/>
  </r>
  <r>
    <x v="9"/>
    <x v="4"/>
    <d v="2017-01-16T00:00:00"/>
    <m/>
    <m/>
    <m/>
    <m/>
    <m/>
    <n v="3.2414999999999998"/>
  </r>
  <r>
    <x v="9"/>
    <x v="4"/>
    <d v="2017-01-13T00:00:00"/>
    <n v="358.5"/>
    <n v="1042.5"/>
    <n v="332.5"/>
    <n v="426"/>
    <n v="35.369999999999997"/>
    <n v="3.2204999999999999"/>
  </r>
  <r>
    <x v="9"/>
    <x v="4"/>
    <d v="2017-01-12T00:00:00"/>
    <n v="358.25"/>
    <n v="1032"/>
    <n v="324.2"/>
    <n v="426.25"/>
    <n v="35.85"/>
    <n v="3.1878000000000002"/>
  </r>
  <r>
    <x v="9"/>
    <x v="4"/>
    <d v="2017-01-11T00:00:00"/>
    <n v="357.25"/>
    <n v="1003"/>
    <n v="310.7"/>
    <n v="418.75"/>
    <n v="35.79"/>
    <n v="3.1964999999999999"/>
  </r>
  <r>
    <x v="9"/>
    <x v="4"/>
    <d v="2017-01-10T00:00:00"/>
    <n v="358.25"/>
    <n v="1005.5"/>
    <n v="313.39999999999998"/>
    <n v="426.75"/>
    <n v="35.43"/>
    <n v="3.1955"/>
  </r>
  <r>
    <x v="9"/>
    <x v="4"/>
    <d v="2017-01-09T00:00:00"/>
    <n v="360"/>
    <n v="996.5"/>
    <n v="309.8"/>
    <n v="427.25"/>
    <n v="35.270000000000003"/>
    <n v="3.1966999999999999"/>
  </r>
  <r>
    <x v="9"/>
    <x v="4"/>
    <d v="2017-01-06T00:00:00"/>
    <n v="358"/>
    <n v="986"/>
    <n v="307.5"/>
    <n v="423.25"/>
    <n v="34.770000000000003"/>
    <n v="3.2239"/>
  </r>
  <r>
    <x v="9"/>
    <x v="4"/>
    <d v="2017-01-05T00:00:00"/>
    <n v="361.25"/>
    <n v="1003.5"/>
    <n v="314.39999999999998"/>
    <n v="426.25"/>
    <n v="35"/>
    <n v="3.1987999999999999"/>
  </r>
  <r>
    <x v="9"/>
    <x v="4"/>
    <d v="2017-01-04T00:00:00"/>
    <n v="359.75"/>
    <n v="1006.25"/>
    <n v="315.3"/>
    <n v="418.5"/>
    <n v="34.979999999999997"/>
    <n v="3.2160000000000002"/>
  </r>
  <r>
    <x v="9"/>
    <x v="4"/>
    <d v="2017-01-03T00:00:00"/>
    <n v="355.75"/>
    <n v="986.75"/>
    <n v="308.3"/>
    <n v="406.5"/>
    <n v="34.57"/>
    <n v="3.2644000000000002"/>
  </r>
  <r>
    <x v="9"/>
    <x v="4"/>
    <d v="2017-01-02T00:00:00"/>
    <m/>
    <m/>
    <m/>
    <m/>
    <m/>
    <n v="3.2850999999999999"/>
  </r>
  <r>
    <x v="10"/>
    <x v="5"/>
    <d v="2016-12-30T00:00:00"/>
    <n v="352"/>
    <n v="996.5"/>
    <n v="312.89999999999998"/>
    <n v="408"/>
    <n v="34.42"/>
    <n v="3.2532000000000001"/>
  </r>
  <r>
    <x v="10"/>
    <x v="5"/>
    <d v="2016-12-29T00:00:00"/>
    <n v="349.75"/>
    <n v="1003.25"/>
    <n v="314.8"/>
    <n v="404.75"/>
    <n v="34.520000000000003"/>
    <n v="3.2532000000000001"/>
  </r>
  <r>
    <x v="10"/>
    <x v="5"/>
    <d v="2016-12-28T00:00:00"/>
    <n v="348.25"/>
    <n v="1006.75"/>
    <n v="316.2"/>
    <n v="401.5"/>
    <n v="34.86"/>
    <n v="3.2839999999999998"/>
  </r>
  <r>
    <x v="10"/>
    <x v="5"/>
    <d v="2016-12-27T00:00:00"/>
    <n v="355"/>
    <n v="1014.75"/>
    <n v="317.8"/>
    <n v="409.5"/>
    <n v="35.119999999999997"/>
    <n v="3.2696999999999998"/>
  </r>
  <r>
    <x v="10"/>
    <x v="5"/>
    <d v="2016-12-26T00:00:00"/>
    <m/>
    <m/>
    <m/>
    <m/>
    <m/>
    <n v="3.2759999999999998"/>
  </r>
  <r>
    <x v="10"/>
    <x v="5"/>
    <d v="2016-12-23T00:00:00"/>
    <n v="345.75"/>
    <n v="989"/>
    <n v="308"/>
    <n v="393.5"/>
    <n v="34.6"/>
    <n v="3.2705000000000002"/>
  </r>
  <r>
    <x v="10"/>
    <x v="5"/>
    <d v="2016-12-22T00:00:00"/>
    <n v="347.25"/>
    <n v="994.5"/>
    <n v="309.3"/>
    <n v="397"/>
    <n v="34.79"/>
    <n v="3.2865000000000002"/>
  </r>
  <r>
    <x v="10"/>
    <x v="5"/>
    <d v="2016-12-21T00:00:00"/>
    <n v="347.25"/>
    <n v="1006.75"/>
    <n v="309.5"/>
    <n v="399.5"/>
    <n v="36.04"/>
    <n v="3.3264999999999998"/>
  </r>
  <r>
    <x v="10"/>
    <x v="5"/>
    <d v="2016-12-20T00:00:00"/>
    <n v="350.25"/>
    <n v="1005.25"/>
    <n v="308.8"/>
    <n v="403.25"/>
    <n v="36.06"/>
    <n v="3.3536000000000001"/>
  </r>
  <r>
    <x v="10"/>
    <x v="5"/>
    <d v="2016-12-19T00:00:00"/>
    <n v="353.25"/>
    <n v="1021.5"/>
    <n v="312.2"/>
    <n v="405"/>
    <n v="36.56"/>
    <n v="3.3645"/>
  </r>
  <r>
    <x v="10"/>
    <x v="5"/>
    <d v="2016-12-16T00:00:00"/>
    <n v="356.25"/>
    <n v="1036.75"/>
    <n v="317.10000000000002"/>
    <n v="409.25"/>
    <n v="36.74"/>
    <n v="3.3915000000000002"/>
  </r>
  <r>
    <x v="10"/>
    <x v="5"/>
    <d v="2016-12-15T00:00:00"/>
    <n v="356.5"/>
    <n v="1029"/>
    <n v="314"/>
    <n v="409.25"/>
    <n v="36.74"/>
    <n v="3.3690000000000002"/>
  </r>
  <r>
    <x v="10"/>
    <x v="5"/>
    <d v="2016-12-14T00:00:00"/>
    <n v="351.75"/>
    <n v="1023.75"/>
    <n v="311.10000000000002"/>
    <n v="391.5"/>
    <n v="36.729999999999997"/>
    <n v="3.3690000000000002"/>
  </r>
  <r>
    <x v="10"/>
    <x v="5"/>
    <d v="2016-12-13T00:00:00"/>
    <n v="356.25"/>
    <n v="1028"/>
    <n v="313.5"/>
    <n v="398"/>
    <n v="36.57"/>
    <n v="3.3344999999999998"/>
  </r>
  <r>
    <x v="10"/>
    <x v="5"/>
    <d v="2016-12-12T00:00:00"/>
    <n v="354.5"/>
    <n v="1031"/>
    <n v="314.8"/>
    <n v="401.25"/>
    <n v="36.76"/>
    <n v="3.3380000000000001"/>
  </r>
  <r>
    <x v="10"/>
    <x v="5"/>
    <d v="2016-12-09T00:00:00"/>
    <n v="352.5"/>
    <n v="1037.5"/>
    <n v="317.39999999999998"/>
    <n v="400.25"/>
    <n v="36.74"/>
    <n v="3.3769999999999998"/>
  </r>
  <r>
    <x v="10"/>
    <x v="5"/>
    <d v="2016-12-08T00:00:00"/>
    <n v="346.5"/>
    <n v="1027"/>
    <n v="312.39999999999998"/>
    <n v="390.75"/>
    <n v="37.049999999999997"/>
    <n v="3.375"/>
  </r>
  <r>
    <x v="10"/>
    <x v="5"/>
    <d v="2016-12-07T00:00:00"/>
    <n v="350.5"/>
    <n v="1049"/>
    <n v="319.2"/>
    <n v="386.25"/>
    <n v="37.72"/>
    <n v="3.3824999999999998"/>
  </r>
  <r>
    <x v="10"/>
    <x v="5"/>
    <d v="2016-12-06T00:00:00"/>
    <n v="351"/>
    <n v="1047.75"/>
    <n v="320.2"/>
    <n v="389.5"/>
    <n v="37.619999999999997"/>
    <n v="3.4075000000000002"/>
  </r>
  <r>
    <x v="10"/>
    <x v="5"/>
    <d v="2016-12-05T00:00:00"/>
    <n v="349.5"/>
    <n v="1043.5"/>
    <n v="317.7"/>
    <n v="389.25"/>
    <n v="37.49"/>
    <n v="3.4201000000000001"/>
  </r>
  <r>
    <x v="10"/>
    <x v="5"/>
    <d v="2016-12-02T00:00:00"/>
    <n v="337.5"/>
    <n v="1027.5"/>
    <n v="310.7"/>
    <n v="387.5"/>
    <n v="37.51"/>
    <n v="3.4750000000000001"/>
  </r>
  <r>
    <x v="10"/>
    <x v="5"/>
    <d v="2016-12-01T00:00:00"/>
    <n v="331.75"/>
    <n v="1029.75"/>
    <n v="310.89999999999998"/>
    <n v="371.5"/>
    <n v="37.64"/>
    <n v="3.4702999999999999"/>
  </r>
  <r>
    <x v="10"/>
    <x v="6"/>
    <d v="2016-11-30T00:00:00"/>
    <n v="336.75"/>
    <n v="1032.25"/>
    <n v="316.39999999999998"/>
    <n v="380.5"/>
    <n v="36.79"/>
    <n v="3.3826999999999998"/>
  </r>
  <r>
    <x v="10"/>
    <x v="6"/>
    <d v="2016-11-29T00:00:00"/>
    <n v="336.75"/>
    <n v="1042.5"/>
    <n v="321.7"/>
    <n v="384"/>
    <n v="36.36"/>
    <n v="3.3975"/>
  </r>
  <r>
    <x v="10"/>
    <x v="6"/>
    <d v="2016-11-28T00:00:00"/>
    <n v="348.5"/>
    <n v="1056"/>
    <n v="325.89999999999998"/>
    <n v="389.5"/>
    <n v="36.71"/>
    <n v="3.3843999999999999"/>
  </r>
  <r>
    <x v="10"/>
    <x v="6"/>
    <d v="2016-11-25T00:00:00"/>
    <n v="349.25"/>
    <n v="1046"/>
    <n v="320.8"/>
    <n v="395.75"/>
    <n v="36.659999999999997"/>
    <n v="3.4207999999999998"/>
  </r>
  <r>
    <x v="10"/>
    <x v="6"/>
    <d v="2016-11-24T00:00:00"/>
    <m/>
    <m/>
    <m/>
    <m/>
    <m/>
    <n v="3.3904999999999998"/>
  </r>
  <r>
    <x v="10"/>
    <x v="6"/>
    <d v="2016-11-23T00:00:00"/>
    <n v="350.75"/>
    <n v="1034.25"/>
    <n v="316.39999999999998"/>
    <n v="401.5"/>
    <n v="36.85"/>
    <n v="3.3929999999999998"/>
  </r>
  <r>
    <x v="10"/>
    <x v="6"/>
    <d v="2016-11-22T00:00:00"/>
    <n v="351"/>
    <n v="1030"/>
    <n v="324.89999999999998"/>
    <n v="407.25"/>
    <n v="34.479999999999997"/>
    <n v="3.3540000000000001"/>
  </r>
  <r>
    <x v="10"/>
    <x v="6"/>
    <d v="2016-11-21T00:00:00"/>
    <n v="349.75"/>
    <n v="1020.25"/>
    <n v="319.7"/>
    <n v="410.25"/>
    <n v="34.64"/>
    <n v="3.3511000000000002"/>
  </r>
  <r>
    <x v="10"/>
    <x v="6"/>
    <d v="2016-11-18T00:00:00"/>
    <n v="345.5"/>
    <n v="993.75"/>
    <n v="310.39999999999998"/>
    <n v="408"/>
    <n v="34.049999999999997"/>
    <n v="3.3824999999999998"/>
  </r>
  <r>
    <x v="10"/>
    <x v="6"/>
    <d v="2016-11-17T00:00:00"/>
    <n v="342"/>
    <n v="989.5"/>
    <n v="311.5"/>
    <n v="403"/>
    <n v="33.700000000000003"/>
    <n v="3.4178000000000002"/>
  </r>
  <r>
    <x v="10"/>
    <x v="6"/>
    <d v="2016-11-16T00:00:00"/>
    <n v="338.5"/>
    <n v="985.75"/>
    <n v="308.39999999999998"/>
    <n v="397"/>
    <n v="34.1"/>
    <n v="3.419"/>
  </r>
  <r>
    <x v="10"/>
    <x v="6"/>
    <d v="2016-11-15T00:00:00"/>
    <n v="341.5"/>
    <n v="989.5"/>
    <n v="310.10000000000002"/>
    <n v="399"/>
    <n v="34.21"/>
    <n v="3.4388999999999998"/>
  </r>
  <r>
    <x v="10"/>
    <x v="6"/>
    <d v="2016-11-14T00:00:00"/>
    <n v="337.25"/>
    <n v="971"/>
    <n v="309.89999999999998"/>
    <n v="394"/>
    <n v="33.950000000000003"/>
    <n v="3.4316"/>
  </r>
  <r>
    <x v="10"/>
    <x v="6"/>
    <d v="2016-11-11T00:00:00"/>
    <n v="340.25"/>
    <n v="978.5"/>
    <n v="307.8"/>
    <n v="403"/>
    <n v="34.44"/>
    <n v="3.39"/>
  </r>
  <r>
    <x v="10"/>
    <x v="6"/>
    <d v="2016-11-10T00:00:00"/>
    <n v="343.5"/>
    <n v="989"/>
    <n v="311.39999999999998"/>
    <n v="404.75"/>
    <n v="34.770000000000003"/>
    <n v="3.3849"/>
  </r>
  <r>
    <x v="10"/>
    <x v="6"/>
    <d v="2016-11-09T00:00:00"/>
    <n v="340.75"/>
    <n v="982"/>
    <n v="311.39999999999998"/>
    <n v="406.75"/>
    <n v="34.31"/>
    <n v="3.2157"/>
  </r>
  <r>
    <x v="10"/>
    <x v="6"/>
    <d v="2016-11-08T00:00:00"/>
    <n v="354.25"/>
    <n v="1001.75"/>
    <n v="315.7"/>
    <n v="415.25"/>
    <n v="35.31"/>
    <n v="3.1680000000000001"/>
  </r>
  <r>
    <x v="10"/>
    <x v="6"/>
    <d v="2016-11-07T00:00:00"/>
    <n v="346.25"/>
    <n v="989.25"/>
    <n v="311.89999999999998"/>
    <n v="410"/>
    <n v="34.79"/>
    <n v="3.2004999999999999"/>
  </r>
  <r>
    <x v="10"/>
    <x v="6"/>
    <d v="2016-11-04T00:00:00"/>
    <n v="348.75"/>
    <n v="981.5"/>
    <n v="309"/>
    <n v="414.25"/>
    <n v="34.71"/>
    <n v="3.2322000000000002"/>
  </r>
  <r>
    <x v="10"/>
    <x v="6"/>
    <d v="2016-11-03T00:00:00"/>
    <n v="348"/>
    <n v="979.75"/>
    <n v="306.39999999999998"/>
    <n v="412"/>
    <n v="35.1"/>
    <n v="3.2410000000000001"/>
  </r>
  <r>
    <x v="10"/>
    <x v="6"/>
    <d v="2016-11-02T00:00:00"/>
    <n v="346.25"/>
    <n v="976.75"/>
    <n v="306.7"/>
    <n v="417.75"/>
    <n v="34.979999999999997"/>
    <n v="3.2343999999999999"/>
  </r>
  <r>
    <x v="10"/>
    <x v="6"/>
    <d v="2016-11-01T00:00:00"/>
    <n v="349"/>
    <n v="984.25"/>
    <n v="309.5"/>
    <n v="414.25"/>
    <n v="34.85"/>
    <n v="3.2355"/>
  </r>
  <r>
    <x v="10"/>
    <x v="7"/>
    <d v="2016-10-31T00:00:00"/>
    <n v="354.75"/>
    <n v="1002.25"/>
    <n v="316.10000000000002"/>
    <n v="416.25"/>
    <n v="35.17"/>
    <n v="3.1878000000000002"/>
  </r>
  <r>
    <x v="10"/>
    <x v="7"/>
    <d v="2016-10-28T00:00:00"/>
    <n v="355"/>
    <n v="1001.25"/>
    <n v="317.5"/>
    <n v="408.5"/>
    <n v="35.409999999999997"/>
    <n v="3.2050000000000001"/>
  </r>
  <r>
    <x v="10"/>
    <x v="7"/>
    <d v="2016-10-27T00:00:00"/>
    <n v="357.5"/>
    <n v="1014.25"/>
    <n v="327.60000000000002"/>
    <n v="414.5"/>
    <n v="35.11"/>
    <n v="3.1686000000000001"/>
  </r>
  <r>
    <x v="10"/>
    <x v="7"/>
    <d v="2016-10-26T00:00:00"/>
    <n v="354"/>
    <n v="1010"/>
    <n v="319.10000000000002"/>
    <n v="411.5"/>
    <n v="35.72"/>
    <n v="3.1394000000000002"/>
  </r>
  <r>
    <x v="10"/>
    <x v="7"/>
    <d v="2016-10-25T00:00:00"/>
    <n v="349.25"/>
    <n v="990.75"/>
    <n v="308.2"/>
    <n v="404.25"/>
    <n v="35.799999999999997"/>
    <n v="3.1135999999999999"/>
  </r>
  <r>
    <x v="10"/>
    <x v="7"/>
    <d v="2016-10-24T00:00:00"/>
    <n v="348.25"/>
    <n v="992"/>
    <n v="307.3"/>
    <n v="402.5"/>
    <n v="35.99"/>
    <n v="3.1231"/>
  </r>
  <r>
    <x v="10"/>
    <x v="7"/>
    <d v="2016-10-21T00:00:00"/>
    <n v="352.5"/>
    <n v="983"/>
    <n v="306.5"/>
    <n v="414.5"/>
    <n v="35.119999999999997"/>
    <n v="3.1496"/>
  </r>
  <r>
    <x v="10"/>
    <x v="7"/>
    <d v="2016-10-20T00:00:00"/>
    <n v="351"/>
    <n v="975.5"/>
    <n v="304.60000000000002"/>
    <n v="417"/>
    <n v="35.049999999999997"/>
    <n v="3.1417999999999999"/>
  </r>
  <r>
    <x v="10"/>
    <x v="7"/>
    <d v="2016-10-19T00:00:00"/>
    <n v="357.5"/>
    <n v="981.5"/>
    <n v="306.39999999999998"/>
    <n v="420.25"/>
    <n v="35.4"/>
    <n v="3.1682000000000001"/>
  </r>
  <r>
    <x v="10"/>
    <x v="7"/>
    <d v="2016-10-18T00:00:00"/>
    <n v="353.75"/>
    <n v="972.5"/>
    <n v="303.39999999999998"/>
    <n v="420"/>
    <n v="35.07"/>
    <n v="3.1873"/>
  </r>
  <r>
    <x v="10"/>
    <x v="7"/>
    <d v="2016-10-17T00:00:00"/>
    <n v="354"/>
    <n v="978.25"/>
    <n v="303.5"/>
    <n v="423.75"/>
    <n v="35.44"/>
    <n v="3.2006999999999999"/>
  </r>
  <r>
    <x v="10"/>
    <x v="7"/>
    <d v="2016-10-14T00:00:00"/>
    <n v="354.25"/>
    <n v="962.5"/>
    <n v="299.8"/>
    <n v="421"/>
    <n v="34.15"/>
    <n v="3.2035999999999998"/>
  </r>
  <r>
    <x v="10"/>
    <x v="7"/>
    <d v="2016-10-13T00:00:00"/>
    <n v="349.5"/>
    <n v="956.25"/>
    <n v="299.8"/>
    <n v="416"/>
    <n v="33.159999999999997"/>
    <n v="3.177"/>
  </r>
  <r>
    <x v="10"/>
    <x v="7"/>
    <d v="2016-10-12T00:00:00"/>
    <n v="337"/>
    <n v="945.5"/>
    <n v="294.5"/>
    <n v="396.75"/>
    <n v="33.14"/>
    <n v="3.2010000000000001"/>
  </r>
  <r>
    <x v="10"/>
    <x v="7"/>
    <d v="2016-10-11T00:00:00"/>
    <n v="345.5"/>
    <n v="954.25"/>
    <n v="297.60000000000002"/>
    <n v="407.25"/>
    <n v="33.159999999999997"/>
    <n v="3.1945999999999999"/>
  </r>
  <r>
    <x v="10"/>
    <x v="7"/>
    <d v="2016-10-10T00:00:00"/>
    <n v="343.25"/>
    <n v="954.5"/>
    <n v="296.3"/>
    <n v="403.75"/>
    <n v="33.619999999999997"/>
    <n v="3.2050000000000001"/>
  </r>
  <r>
    <x v="10"/>
    <x v="7"/>
    <d v="2016-10-07T00:00:00"/>
    <n v="339.75"/>
    <n v="956.75"/>
    <n v="298.60000000000002"/>
    <n v="394.75"/>
    <n v="33.11"/>
    <n v="3.2189999999999999"/>
  </r>
  <r>
    <x v="10"/>
    <x v="7"/>
    <d v="2016-10-06T00:00:00"/>
    <n v="340.5"/>
    <n v="958.5"/>
    <n v="301.5"/>
    <n v="395.75"/>
    <n v="33.1"/>
    <n v="3.2294999999999998"/>
  </r>
  <r>
    <x v="10"/>
    <x v="7"/>
    <d v="2016-10-05T00:00:00"/>
    <n v="347.75"/>
    <n v="956.75"/>
    <n v="303.8"/>
    <n v="405"/>
    <n v="32.659999999999997"/>
    <n v="3.2191000000000001"/>
  </r>
  <r>
    <x v="10"/>
    <x v="7"/>
    <d v="2016-10-04T00:00:00"/>
    <n v="348.25"/>
    <n v="963.5"/>
    <n v="304.5"/>
    <n v="395.5"/>
    <n v="32.89"/>
    <n v="3.2563"/>
  </r>
  <r>
    <x v="10"/>
    <x v="7"/>
    <d v="2016-10-03T00:00:00"/>
    <n v="346"/>
    <n v="973"/>
    <n v="305.89999999999998"/>
    <n v="395.5"/>
    <n v="33.049999999999997"/>
    <n v="3.2090000000000001"/>
  </r>
  <r>
    <x v="10"/>
    <x v="8"/>
    <d v="2016-09-30T00:00:00"/>
    <n v="336.75"/>
    <n v="954"/>
    <n v="297.89999999999998"/>
    <n v="402"/>
    <n v="33.24"/>
    <n v="3.2589000000000001"/>
  </r>
  <r>
    <x v="10"/>
    <x v="8"/>
    <d v="2016-09-29T00:00:00"/>
    <n v="329.25"/>
    <n v="950.25"/>
    <n v="297.89999999999998"/>
    <n v="399"/>
    <n v="33.090000000000003"/>
    <n v="3.258"/>
  </r>
  <r>
    <x v="10"/>
    <x v="8"/>
    <d v="2016-09-28T00:00:00"/>
    <n v="329.25"/>
    <n v="945.5"/>
    <n v="299.7"/>
    <n v="403.25"/>
    <n v="32.64"/>
    <n v="3.2157"/>
  </r>
  <r>
    <x v="10"/>
    <x v="8"/>
    <d v="2016-09-27T00:00:00"/>
    <n v="331.75"/>
    <n v="952.5"/>
    <n v="299.3"/>
    <n v="404"/>
    <n v="33.119999999999997"/>
    <n v="3.2334999999999998"/>
  </r>
  <r>
    <x v="10"/>
    <x v="8"/>
    <d v="2016-09-26T00:00:00"/>
    <n v="329"/>
    <n v="945.25"/>
    <n v="297.60000000000002"/>
    <n v="396"/>
    <n v="33.119999999999997"/>
    <n v="3.2391999999999999"/>
  </r>
  <r>
    <x v="10"/>
    <x v="8"/>
    <d v="2016-09-23T00:00:00"/>
    <n v="336.5"/>
    <n v="955"/>
    <n v="303.3"/>
    <n v="404.75"/>
    <n v="33.31"/>
    <n v="3.2437999999999998"/>
  </r>
  <r>
    <x v="10"/>
    <x v="8"/>
    <d v="2016-09-22T00:00:00"/>
    <n v="336.75"/>
    <n v="976.5"/>
    <n v="307.89999999999998"/>
    <n v="405.5"/>
    <n v="33.96"/>
    <n v="3.2199"/>
  </r>
  <r>
    <x v="10"/>
    <x v="8"/>
    <d v="2016-09-21T00:00:00"/>
    <n v="340"/>
    <n v="975.5"/>
    <n v="308.7"/>
    <n v="407.75"/>
    <n v="33.4"/>
    <n v="3.2056"/>
  </r>
  <r>
    <x v="10"/>
    <x v="8"/>
    <d v="2016-09-20T00:00:00"/>
    <n v="340.5"/>
    <n v="989.75"/>
    <n v="313.10000000000002"/>
    <n v="406"/>
    <n v="33.83"/>
    <n v="3.2576000000000001"/>
  </r>
  <r>
    <x v="10"/>
    <x v="8"/>
    <d v="2016-09-19T00:00:00"/>
    <n v="337.25"/>
    <n v="972.5"/>
    <n v="311.89999999999998"/>
    <n v="404"/>
    <n v="32.83"/>
    <n v="3.2725"/>
  </r>
  <r>
    <x v="10"/>
    <x v="8"/>
    <d v="2016-09-16T00:00:00"/>
    <n v="337"/>
    <n v="966"/>
    <n v="313.7"/>
    <n v="403.25"/>
    <n v="31.98"/>
    <n v="3.2614999999999998"/>
  </r>
  <r>
    <x v="10"/>
    <x v="8"/>
    <d v="2016-09-15T00:00:00"/>
    <n v="330"/>
    <n v="950.5"/>
    <n v="308.60000000000002"/>
    <n v="399.5"/>
    <n v="32.04"/>
    <n v="3.3018999999999998"/>
  </r>
  <r>
    <x v="10"/>
    <x v="8"/>
    <d v="2016-09-14T00:00:00"/>
    <n v="322.25"/>
    <n v="972"/>
    <n v="315.7"/>
    <n v="376.75"/>
    <n v="31.5"/>
    <n v="3.3420000000000001"/>
  </r>
  <r>
    <x v="10"/>
    <x v="8"/>
    <d v="2016-09-13T00:00:00"/>
    <n v="319.25"/>
    <n v="968.25"/>
    <n v="310.39999999999998"/>
    <n v="374.75"/>
    <n v="31.55"/>
    <n v="3.3130999999999999"/>
  </r>
  <r>
    <x v="10"/>
    <x v="8"/>
    <d v="2016-09-12T00:00:00"/>
    <n v="329.25"/>
    <n v="984.5"/>
    <n v="318.3"/>
    <n v="383.25"/>
    <n v="32.31"/>
    <n v="3.2452000000000001"/>
  </r>
  <r>
    <x v="10"/>
    <x v="8"/>
    <d v="2016-09-09T00:00:00"/>
    <n v="330"/>
    <n v="997.25"/>
    <n v="323.3"/>
    <n v="376"/>
    <n v="33.03"/>
    <n v="3.2719999999999998"/>
  </r>
  <r>
    <x v="10"/>
    <x v="8"/>
    <d v="2016-09-08T00:00:00"/>
    <n v="327"/>
    <n v="992"/>
    <n v="325.10000000000002"/>
    <n v="377"/>
    <n v="32.94"/>
    <n v="3.2134"/>
  </r>
  <r>
    <x v="10"/>
    <x v="8"/>
    <d v="2016-09-07T00:00:00"/>
    <n v="321"/>
    <n v="991.75"/>
    <n v="323.8"/>
    <n v="375.25"/>
    <n v="32.81"/>
    <n v="3.1915"/>
  </r>
  <r>
    <x v="10"/>
    <x v="8"/>
    <d v="2016-09-06T00:00:00"/>
    <n v="316.75"/>
    <n v="974.25"/>
    <n v="317.10000000000002"/>
    <n v="371"/>
    <n v="32.76"/>
    <n v="3.194"/>
  </r>
  <r>
    <x v="10"/>
    <x v="8"/>
    <d v="2016-09-05T00:00:00"/>
    <m/>
    <m/>
    <m/>
    <m/>
    <m/>
    <n v="3.282"/>
  </r>
  <r>
    <x v="10"/>
    <x v="8"/>
    <d v="2016-09-02T00:00:00"/>
    <n v="316.5"/>
    <n v="968.5"/>
    <n v="313.7"/>
    <n v="373.25"/>
    <n v="32.659999999999997"/>
    <n v="3.2555000000000001"/>
  </r>
  <r>
    <x v="10"/>
    <x v="8"/>
    <d v="2016-09-01T00:00:00"/>
    <n v="311"/>
    <n v="959"/>
    <n v="313.10000000000002"/>
    <n v="368.25"/>
    <n v="32.200000000000003"/>
    <n v="3.2578"/>
  </r>
  <r>
    <x v="10"/>
    <x v="9"/>
    <d v="2016-08-31T00:00:00"/>
    <n v="301.5"/>
    <n v="960"/>
    <n v="312.2"/>
    <n v="361"/>
    <n v="32.47"/>
    <n v="3.2265999999999999"/>
  </r>
  <r>
    <x v="10"/>
    <x v="9"/>
    <d v="2016-08-30T00:00:00"/>
    <n v="304"/>
    <n v="965.5"/>
    <n v="313.8"/>
    <n v="363.25"/>
    <n v="32.729999999999997"/>
    <n v="3.2410000000000001"/>
  </r>
  <r>
    <x v="10"/>
    <x v="9"/>
    <d v="2016-08-29T00:00:00"/>
    <n v="311.75"/>
    <n v="983.25"/>
    <n v="319.5"/>
    <n v="370.5"/>
    <n v="32.81"/>
    <n v="3.2292999999999998"/>
  </r>
  <r>
    <x v="10"/>
    <x v="9"/>
    <d v="2016-08-26T00:00:00"/>
    <n v="316.25"/>
    <n v="990.75"/>
    <n v="321.2"/>
    <n v="383.5"/>
    <n v="32.950000000000003"/>
    <n v="3.2641"/>
  </r>
  <r>
    <x v="10"/>
    <x v="9"/>
    <d v="2016-08-25T00:00:00"/>
    <n v="323.5"/>
    <n v="998.25"/>
    <n v="324.3"/>
    <n v="401.25"/>
    <n v="32.909999999999997"/>
    <n v="3.2361"/>
  </r>
  <r>
    <x v="10"/>
    <x v="9"/>
    <d v="2016-08-24T00:00:00"/>
    <n v="327.5"/>
    <n v="1030.75"/>
    <n v="331.5"/>
    <n v="404"/>
    <n v="33.57"/>
    <n v="3.2246000000000001"/>
  </r>
  <r>
    <x v="10"/>
    <x v="9"/>
    <d v="2016-08-23T00:00:00"/>
    <n v="328.5"/>
    <n v="1034.25"/>
    <n v="332.4"/>
    <n v="407.75"/>
    <n v="33.89"/>
    <n v="3.2324999999999999"/>
  </r>
  <r>
    <x v="10"/>
    <x v="9"/>
    <d v="2016-08-22T00:00:00"/>
    <n v="333.25"/>
    <n v="1035.25"/>
    <n v="334.2"/>
    <n v="415.25"/>
    <n v="33.89"/>
    <n v="3.2004999999999999"/>
  </r>
  <r>
    <x v="10"/>
    <x v="9"/>
    <d v="2016-08-19T00:00:00"/>
    <n v="334.25"/>
    <n v="1027"/>
    <n v="330"/>
    <n v="427"/>
    <n v="34.14"/>
    <n v="3.2025000000000001"/>
  </r>
  <r>
    <x v="10"/>
    <x v="9"/>
    <d v="2016-08-18T00:00:00"/>
    <n v="332"/>
    <n v="1032.25"/>
    <n v="334.4"/>
    <n v="427"/>
    <n v="34.19"/>
    <n v="3.2383000000000002"/>
  </r>
  <r>
    <x v="10"/>
    <x v="9"/>
    <d v="2016-08-17T00:00:00"/>
    <n v="330.25"/>
    <n v="1030.5"/>
    <n v="336.7"/>
    <n v="426"/>
    <n v="34.01"/>
    <n v="3.2031999999999998"/>
  </r>
  <r>
    <x v="10"/>
    <x v="9"/>
    <d v="2016-08-16T00:00:00"/>
    <n v="327.5"/>
    <n v="1019.5"/>
    <n v="336.7"/>
    <n v="423.5"/>
    <n v="33.380000000000003"/>
    <n v="3.2014"/>
  </r>
  <r>
    <x v="10"/>
    <x v="9"/>
    <d v="2016-08-15T00:00:00"/>
    <n v="326.5"/>
    <n v="1023.75"/>
    <n v="339.6"/>
    <n v="422"/>
    <n v="33.21"/>
    <n v="3.1856"/>
  </r>
  <r>
    <x v="10"/>
    <x v="9"/>
    <d v="2016-08-12T00:00:00"/>
    <n v="322.25"/>
    <n v="1003.25"/>
    <n v="332.9"/>
    <n v="422.5"/>
    <n v="31.9"/>
    <n v="3.1917"/>
  </r>
  <r>
    <x v="10"/>
    <x v="9"/>
    <d v="2016-08-11T00:00:00"/>
    <n v="321"/>
    <n v="1022.25"/>
    <n v="333.9"/>
    <n v="416.25"/>
    <n v="31.71"/>
    <n v="3.1446999999999998"/>
  </r>
  <r>
    <x v="10"/>
    <x v="9"/>
    <d v="2016-08-10T00:00:00"/>
    <n v="322.5"/>
    <n v="1017"/>
    <n v="336.2"/>
    <n v="421.75"/>
    <n v="31.5"/>
    <n v="3.1265999999999998"/>
  </r>
  <r>
    <x v="10"/>
    <x v="9"/>
    <d v="2016-08-09T00:00:00"/>
    <n v="322.25"/>
    <n v="1022"/>
    <n v="339.2"/>
    <n v="417"/>
    <n v="31.17"/>
    <n v="3.1448"/>
  </r>
  <r>
    <x v="10"/>
    <x v="9"/>
    <d v="2016-08-08T00:00:00"/>
    <n v="325.25"/>
    <n v="1018.75"/>
    <n v="337.9"/>
    <n v="417"/>
    <n v="30.93"/>
    <n v="3.1741000000000001"/>
  </r>
  <r>
    <x v="10"/>
    <x v="9"/>
    <d v="2016-08-05T00:00:00"/>
    <n v="324.25"/>
    <n v="1003.75"/>
    <n v="335.8"/>
    <n v="416"/>
    <n v="30.52"/>
    <n v="3.1644999999999999"/>
  </r>
  <r>
    <x v="10"/>
    <x v="9"/>
    <d v="2016-08-04T00:00:00"/>
    <n v="320.75"/>
    <n v="990.5"/>
    <n v="329.7"/>
    <n v="403.25"/>
    <n v="30.54"/>
    <n v="3.1934999999999998"/>
  </r>
  <r>
    <x v="10"/>
    <x v="9"/>
    <d v="2016-08-03T00:00:00"/>
    <n v="325"/>
    <n v="990.5"/>
    <n v="330.5"/>
    <n v="410.25"/>
    <n v="30.3"/>
    <n v="3.2366999999999999"/>
  </r>
  <r>
    <x v="10"/>
    <x v="9"/>
    <d v="2016-08-02T00:00:00"/>
    <n v="324.25"/>
    <n v="985.25"/>
    <n v="328.4"/>
    <n v="401.25"/>
    <n v="30.06"/>
    <n v="3.2568000000000001"/>
  </r>
  <r>
    <x v="10"/>
    <x v="9"/>
    <d v="2016-08-01T00:00:00"/>
    <n v="325.75"/>
    <n v="996"/>
    <n v="334"/>
    <n v="406"/>
    <n v="29.75"/>
    <n v="3.2644000000000002"/>
  </r>
  <r>
    <x v="10"/>
    <x v="10"/>
    <d v="2016-07-29T00:00:00"/>
    <n v="334.5"/>
    <n v="1032.5"/>
    <n v="350"/>
    <n v="407.75"/>
    <n v="30.35"/>
    <n v="3.2471000000000001"/>
  </r>
  <r>
    <x v="10"/>
    <x v="10"/>
    <d v="2016-07-28T00:00:00"/>
    <n v="331.25"/>
    <n v="1003.5"/>
    <n v="341.5"/>
    <n v="410.25"/>
    <n v="29.49"/>
    <n v="3.2884000000000002"/>
  </r>
  <r>
    <x v="10"/>
    <x v="10"/>
    <d v="2016-07-27T00:00:00"/>
    <n v="335.75"/>
    <n v="1010.5"/>
    <n v="344.8"/>
    <n v="414.75"/>
    <n v="29.53"/>
    <n v="3.2633000000000001"/>
  </r>
  <r>
    <x v="10"/>
    <x v="10"/>
    <d v="2016-07-26T00:00:00"/>
    <n v="332.5"/>
    <n v="993.5"/>
    <n v="341.4"/>
    <n v="415"/>
    <n v="29.56"/>
    <n v="3.2761999999999998"/>
  </r>
  <r>
    <x v="10"/>
    <x v="10"/>
    <d v="2016-07-25T00:00:00"/>
    <n v="334.75"/>
    <n v="983.75"/>
    <n v="338.9"/>
    <n v="429"/>
    <n v="29.46"/>
    <n v="3.2845"/>
  </r>
  <r>
    <x v="10"/>
    <x v="10"/>
    <d v="2016-07-22T00:00:00"/>
    <n v="335"/>
    <n v="1006.5"/>
    <n v="346.7"/>
    <n v="425.25"/>
    <n v="30.21"/>
    <n v="3.2563"/>
  </r>
  <r>
    <x v="10"/>
    <x v="10"/>
    <d v="2016-07-21T00:00:00"/>
    <n v="334.25"/>
    <n v="1032.5"/>
    <n v="352.5"/>
    <n v="417.75"/>
    <n v="31.06"/>
    <n v="3.2709999999999999"/>
  </r>
  <r>
    <x v="10"/>
    <x v="10"/>
    <d v="2016-07-20T00:00:00"/>
    <n v="337.5"/>
    <n v="1027"/>
    <n v="352.4"/>
    <n v="413"/>
    <n v="30.71"/>
    <n v="3.2587999999999999"/>
  </r>
  <r>
    <x v="10"/>
    <x v="10"/>
    <d v="2016-07-19T00:00:00"/>
    <n v="341.75"/>
    <n v="1044"/>
    <n v="359.7"/>
    <n v="418"/>
    <n v="30.66"/>
    <n v="3.2488000000000001"/>
  </r>
  <r>
    <x v="10"/>
    <x v="10"/>
    <d v="2016-07-18T00:00:00"/>
    <n v="357"/>
    <n v="1078.25"/>
    <n v="373"/>
    <n v="429.5"/>
    <n v="30.94"/>
    <n v="3.2522000000000002"/>
  </r>
  <r>
    <x v="10"/>
    <x v="10"/>
    <d v="2016-07-15T00:00:00"/>
    <n v="352.25"/>
    <n v="1072.5"/>
    <n v="369.4"/>
    <n v="424.75"/>
    <n v="30.89"/>
    <n v="3.2808000000000002"/>
  </r>
  <r>
    <x v="10"/>
    <x v="10"/>
    <d v="2016-07-14T00:00:00"/>
    <n v="362.25"/>
    <n v="1111.5"/>
    <n v="381.3"/>
    <n v="421.75"/>
    <n v="31.12"/>
    <n v="3.2501000000000002"/>
  </r>
  <r>
    <x v="10"/>
    <x v="10"/>
    <d v="2016-07-13T00:00:00"/>
    <n v="365.75"/>
    <n v="1128"/>
    <n v="388.5"/>
    <n v="426.25"/>
    <n v="30.65"/>
    <n v="3.2629999999999999"/>
  </r>
  <r>
    <x v="10"/>
    <x v="10"/>
    <d v="2016-07-12T00:00:00"/>
    <n v="349.75"/>
    <n v="1107.25"/>
    <n v="378.3"/>
    <n v="424"/>
    <n v="30.71"/>
    <n v="3.2945000000000002"/>
  </r>
  <r>
    <x v="10"/>
    <x v="10"/>
    <d v="2016-07-11T00:00:00"/>
    <n v="343.75"/>
    <n v="1082.75"/>
    <n v="373.7"/>
    <n v="416.25"/>
    <n v="30.25"/>
    <n v="3.3085"/>
  </r>
  <r>
    <x v="10"/>
    <x v="10"/>
    <d v="2016-07-08T00:00:00"/>
    <n v="349.75"/>
    <n v="1089.75"/>
    <n v="378.7"/>
    <n v="420.75"/>
    <n v="30.27"/>
    <n v="3.2995000000000001"/>
  </r>
  <r>
    <x v="10"/>
    <x v="10"/>
    <d v="2016-07-07T00:00:00"/>
    <n v="335.5"/>
    <n v="1054.25"/>
    <n v="370"/>
    <n v="412"/>
    <n v="29.73"/>
    <n v="3.3668"/>
  </r>
  <r>
    <x v="10"/>
    <x v="10"/>
    <d v="2016-07-06T00:00:00"/>
    <n v="335.75"/>
    <n v="1106.25"/>
    <n v="386"/>
    <n v="415.75"/>
    <n v="30.25"/>
    <n v="3.3296000000000001"/>
  </r>
  <r>
    <x v="10"/>
    <x v="10"/>
    <d v="2016-07-05T00:00:00"/>
    <n v="344"/>
    <n v="1117"/>
    <n v="385.4"/>
    <n v="419.5"/>
    <n v="30.82"/>
    <n v="3.3018999999999998"/>
  </r>
  <r>
    <x v="10"/>
    <x v="10"/>
    <d v="2016-07-04T00:00:00"/>
    <m/>
    <m/>
    <m/>
    <m/>
    <m/>
    <n v="3.2692000000000001"/>
  </r>
  <r>
    <x v="10"/>
    <x v="10"/>
    <d v="2016-07-01T00:00:00"/>
    <n v="353"/>
    <n v="1168.75"/>
    <n v="404.8"/>
    <n v="416.25"/>
    <n v="31.03"/>
    <n v="3.2347999999999999"/>
  </r>
  <r>
    <x v="10"/>
    <x v="11"/>
    <d v="2016-06-30T00:00:00"/>
    <n v="358.75"/>
    <n v="1175"/>
    <n v="405.3"/>
    <n v="431.25"/>
    <n v="31.38"/>
    <n v="3.2126000000000001"/>
  </r>
  <r>
    <x v="10"/>
    <x v="11"/>
    <d v="2016-06-29T00:00:00"/>
    <n v="372.75"/>
    <n v="1144.5"/>
    <n v="397.1"/>
    <n v="429.5"/>
    <n v="30.82"/>
    <n v="3.2214999999999998"/>
  </r>
  <r>
    <x v="10"/>
    <x v="11"/>
    <d v="2016-06-28T00:00:00"/>
    <n v="385.25"/>
    <n v="1150.5"/>
    <n v="392.4"/>
    <n v="443.75"/>
    <n v="31.11"/>
    <n v="3.3016000000000001"/>
  </r>
  <r>
    <x v="10"/>
    <x v="11"/>
    <d v="2016-06-27T00:00:00"/>
    <n v="385.25"/>
    <n v="1133"/>
    <n v="384"/>
    <n v="446.75"/>
    <n v="31.26"/>
    <n v="3.3915999999999999"/>
  </r>
  <r>
    <x v="10"/>
    <x v="11"/>
    <d v="2016-06-24T00:00:00"/>
    <n v="384.5"/>
    <n v="1103"/>
    <n v="375.6"/>
    <n v="454.75"/>
    <n v="30.99"/>
    <n v="3.3725000000000001"/>
  </r>
  <r>
    <x v="10"/>
    <x v="11"/>
    <d v="2016-06-23T00:00:00"/>
    <n v="387.25"/>
    <n v="1124.5"/>
    <n v="383.2"/>
    <n v="454.25"/>
    <n v="31.75"/>
    <n v="3.3376000000000001"/>
  </r>
  <r>
    <x v="10"/>
    <x v="11"/>
    <d v="2016-06-22T00:00:00"/>
    <n v="393"/>
    <n v="1137.5"/>
    <n v="391"/>
    <n v="458.75"/>
    <n v="31.55"/>
    <n v="3.3755999999999999"/>
  </r>
  <r>
    <x v="10"/>
    <x v="11"/>
    <d v="2016-06-21T00:00:00"/>
    <n v="396.25"/>
    <n v="1133.25"/>
    <n v="393.3"/>
    <n v="458.5"/>
    <n v="31.36"/>
    <n v="3.4152999999999998"/>
  </r>
  <r>
    <x v="10"/>
    <x v="11"/>
    <d v="2016-06-20T00:00:00"/>
    <n v="421.25"/>
    <n v="1143.5"/>
    <n v="402.7"/>
    <n v="473"/>
    <n v="31.64"/>
    <n v="3.3934000000000002"/>
  </r>
  <r>
    <x v="10"/>
    <x v="11"/>
    <d v="2016-06-17T00:00:00"/>
    <n v="437.75"/>
    <n v="1159.5"/>
    <n v="407.4"/>
    <n v="481.25"/>
    <n v="31.93"/>
    <n v="3.4157999999999999"/>
  </r>
  <r>
    <x v="10"/>
    <x v="11"/>
    <d v="2016-06-16T00:00:00"/>
    <n v="425.25"/>
    <n v="1134.5"/>
    <n v="397.7"/>
    <n v="472.5"/>
    <n v="31.16"/>
    <n v="3.4655999999999998"/>
  </r>
  <r>
    <x v="10"/>
    <x v="11"/>
    <d v="2016-06-15T00:00:00"/>
    <n v="429"/>
    <n v="1156"/>
    <n v="407.2"/>
    <n v="477.5"/>
    <n v="31.96"/>
    <n v="3.4725999999999999"/>
  </r>
  <r>
    <x v="10"/>
    <x v="11"/>
    <d v="2016-06-14T00:00:00"/>
    <n v="436.5"/>
    <n v="1169.5"/>
    <n v="408.6"/>
    <n v="485"/>
    <n v="32.520000000000003"/>
    <n v="3.4802"/>
  </r>
  <r>
    <x v="10"/>
    <x v="11"/>
    <d v="2016-06-13T00:00:00"/>
    <n v="430"/>
    <n v="1169"/>
    <n v="408.4"/>
    <n v="491.25"/>
    <n v="32.51"/>
    <n v="3.4817"/>
  </r>
  <r>
    <x v="10"/>
    <x v="11"/>
    <d v="2016-06-10T00:00:00"/>
    <n v="423"/>
    <n v="1178.25"/>
    <n v="414"/>
    <n v="495"/>
    <n v="32.76"/>
    <n v="3.4175"/>
  </r>
  <r>
    <x v="10"/>
    <x v="11"/>
    <d v="2016-06-09T00:00:00"/>
    <n v="426.5"/>
    <n v="1176"/>
    <n v="413.5"/>
    <n v="510.25"/>
    <n v="33.03"/>
    <n v="3.3995000000000002"/>
  </r>
  <r>
    <x v="10"/>
    <x v="11"/>
    <d v="2016-06-08T00:00:00"/>
    <n v="431.25"/>
    <n v="1177.75"/>
    <n v="417.1"/>
    <n v="519.5"/>
    <n v="32.89"/>
    <n v="3.3614999999999999"/>
  </r>
  <r>
    <x v="10"/>
    <x v="11"/>
    <d v="2016-06-07T00:00:00"/>
    <n v="427.75"/>
    <n v="1141.25"/>
    <n v="407.8"/>
    <n v="509"/>
    <n v="32.29"/>
    <n v="3.4409999999999998"/>
  </r>
  <r>
    <x v="10"/>
    <x v="11"/>
    <d v="2016-06-06T00:00:00"/>
    <n v="427.25"/>
    <n v="1138.25"/>
    <n v="411.7"/>
    <n v="507.5"/>
    <n v="32.51"/>
    <n v="3.4885000000000002"/>
  </r>
  <r>
    <x v="10"/>
    <x v="11"/>
    <d v="2016-06-03T00:00:00"/>
    <n v="418.25"/>
    <n v="1132"/>
    <n v="414.3"/>
    <n v="497.25"/>
    <n v="32.26"/>
    <n v="3.5236999999999998"/>
  </r>
  <r>
    <x v="10"/>
    <x v="11"/>
    <d v="2016-06-02T00:00:00"/>
    <n v="415.25"/>
    <n v="1144.25"/>
    <n v="418.3"/>
    <n v="485.5"/>
    <n v="32.26"/>
    <n v="3.5916000000000001"/>
  </r>
  <r>
    <x v="10"/>
    <x v="11"/>
    <d v="2016-06-01T00:00:00"/>
    <n v="413.75"/>
    <n v="1099.75"/>
    <n v="399.1"/>
    <n v="473.75"/>
    <n v="32.19"/>
    <n v="3.5996000000000001"/>
  </r>
  <r>
    <x v="10"/>
    <x v="0"/>
    <d v="2016-05-31T00:00:00"/>
    <n v="404.75"/>
    <n v="1078.5"/>
    <n v="396.6"/>
    <n v="464.5"/>
    <n v="31.82"/>
    <n v="3.6105"/>
  </r>
  <r>
    <x v="10"/>
    <x v="0"/>
    <d v="2016-05-30T00:00:00"/>
    <m/>
    <m/>
    <m/>
    <m/>
    <m/>
    <n v="3.57"/>
  </r>
  <r>
    <x v="10"/>
    <x v="0"/>
    <d v="2016-05-27T00:00:00"/>
    <n v="412.75"/>
    <n v="1086.5"/>
    <n v="402.6"/>
    <n v="481.5"/>
    <n v="31.48"/>
    <n v="3.6105"/>
  </r>
  <r>
    <x v="10"/>
    <x v="0"/>
    <d v="2016-05-26T00:00:00"/>
    <n v="408.25"/>
    <n v="1079.75"/>
    <n v="409.6"/>
    <n v="481.25"/>
    <n v="31.04"/>
    <n v="3.581"/>
  </r>
  <r>
    <x v="10"/>
    <x v="0"/>
    <d v="2016-05-25T00:00:00"/>
    <n v="404.75"/>
    <n v="1085.5"/>
    <n v="407.2"/>
    <n v="466"/>
    <n v="31.34"/>
    <n v="3.5832999999999999"/>
  </r>
  <r>
    <x v="10"/>
    <x v="0"/>
    <d v="2016-05-24T00:00:00"/>
    <n v="397.5"/>
    <n v="1054.75"/>
    <n v="388.9"/>
    <n v="464"/>
    <n v="30.89"/>
    <n v="3.5703"/>
  </r>
  <r>
    <x v="10"/>
    <x v="0"/>
    <d v="2016-05-23T00:00:00"/>
    <n v="397.75"/>
    <n v="1058.5"/>
    <n v="387.7"/>
    <n v="462"/>
    <n v="31.15"/>
    <n v="3.5722"/>
  </r>
  <r>
    <x v="10"/>
    <x v="0"/>
    <d v="2016-05-20T00:00:00"/>
    <n v="394.5"/>
    <n v="1074.25"/>
    <n v="392.7"/>
    <n v="467.75"/>
    <n v="31.27"/>
    <n v="3.5194999999999999"/>
  </r>
  <r>
    <x v="10"/>
    <x v="0"/>
    <d v="2016-05-19T00:00:00"/>
    <n v="390"/>
    <n v="1071.5"/>
    <n v="378.1"/>
    <n v="468.75"/>
    <n v="31.91"/>
    <n v="3.5630999999999999"/>
  </r>
  <r>
    <x v="10"/>
    <x v="0"/>
    <d v="2016-05-18T00:00:00"/>
    <n v="399.5"/>
    <n v="1075.25"/>
    <n v="372.7"/>
    <n v="480"/>
    <n v="32.450000000000003"/>
    <n v="3.5670000000000002"/>
  </r>
  <r>
    <x v="10"/>
    <x v="0"/>
    <d v="2016-05-17T00:00:00"/>
    <n v="397"/>
    <n v="1080.25"/>
    <n v="369.1"/>
    <n v="481.75"/>
    <n v="32.78"/>
    <n v="3.4872999999999998"/>
  </r>
  <r>
    <x v="10"/>
    <x v="0"/>
    <d v="2016-05-16T00:00:00"/>
    <n v="394"/>
    <n v="1064.5"/>
    <n v="361.2"/>
    <n v="474.75"/>
    <n v="32.79"/>
    <n v="3.4988000000000001"/>
  </r>
  <r>
    <x v="10"/>
    <x v="0"/>
    <d v="2016-05-13T00:00:00"/>
    <n v="382"/>
    <n v="1055"/>
    <n v="361"/>
    <n v="465"/>
    <n v="32.17"/>
    <n v="3.5325000000000002"/>
  </r>
  <r>
    <x v="10"/>
    <x v="0"/>
    <d v="2016-05-12T00:00:00"/>
    <n v="385.25"/>
    <n v="1064.5"/>
    <n v="366.8"/>
    <n v="458.5"/>
    <n v="32.299999999999997"/>
    <n v="3.4845000000000002"/>
  </r>
  <r>
    <x v="10"/>
    <x v="0"/>
    <d v="2016-05-11T00:00:00"/>
    <n v="374"/>
    <n v="1069.75"/>
    <n v="364.4"/>
    <n v="449.5"/>
    <n v="33.08"/>
    <n v="3.4512999999999998"/>
  </r>
  <r>
    <x v="10"/>
    <x v="0"/>
    <d v="2016-05-10T00:00:00"/>
    <n v="378.5"/>
    <n v="1076"/>
    <n v="360.4"/>
    <n v="451.5"/>
    <n v="33.130000000000003"/>
    <n v="3.4752999999999998"/>
  </r>
  <r>
    <x v="10"/>
    <x v="0"/>
    <d v="2016-05-09T00:00:00"/>
    <n v="367.75"/>
    <n v="1018.75"/>
    <n v="340.2"/>
    <n v="447"/>
    <n v="32.54"/>
    <n v="3.5152000000000001"/>
  </r>
  <r>
    <x v="10"/>
    <x v="0"/>
    <d v="2016-05-06T00:00:00"/>
    <n v="376"/>
    <n v="1026.25"/>
    <n v="341.2"/>
    <n v="453.25"/>
    <n v="32.81"/>
    <n v="3.5007999999999999"/>
  </r>
  <r>
    <x v="10"/>
    <x v="0"/>
    <d v="2016-05-05T00:00:00"/>
    <n v="371.75"/>
    <n v="1003.5"/>
    <n v="335"/>
    <n v="453"/>
    <n v="32.01"/>
    <n v="3.5343"/>
  </r>
  <r>
    <x v="10"/>
    <x v="0"/>
    <d v="2016-05-04T00:00:00"/>
    <n v="373.25"/>
    <n v="1024.5"/>
    <n v="343"/>
    <n v="460.5"/>
    <n v="32.200000000000003"/>
    <n v="3.5461999999999998"/>
  </r>
  <r>
    <x v="10"/>
    <x v="0"/>
    <d v="2016-05-03T00:00:00"/>
    <n v="378.25"/>
    <n v="1021.5"/>
    <n v="339.5"/>
    <n v="459.75"/>
    <n v="32.130000000000003"/>
    <n v="3.5583999999999998"/>
  </r>
  <r>
    <x v="10"/>
    <x v="0"/>
    <d v="2016-05-02T00:00:00"/>
    <n v="390.25"/>
    <n v="1035.5"/>
    <n v="345.3"/>
    <n v="477"/>
    <n v="32.19"/>
    <n v="3.5005999999999999"/>
  </r>
  <r>
    <x v="10"/>
    <x v="1"/>
    <d v="2016-04-29T00:00:00"/>
    <n v="390.25"/>
    <n v="1021"/>
    <n v="332.1"/>
    <n v="478"/>
    <n v="32.880000000000003"/>
    <n v="3.4352"/>
  </r>
  <r>
    <x v="10"/>
    <x v="1"/>
    <d v="2016-04-28T00:00:00"/>
    <n v="387"/>
    <n v="1018"/>
    <n v="330.6"/>
    <n v="475.5"/>
    <n v="33.049999999999997"/>
    <n v="3.4874999999999998"/>
  </r>
  <r>
    <x v="10"/>
    <x v="1"/>
    <d v="2016-04-27T00:00:00"/>
    <n v="380.75"/>
    <n v="1019"/>
    <n v="325.2"/>
    <n v="474.25"/>
    <n v="33.619999999999997"/>
    <n v="3.5261999999999998"/>
  </r>
  <r>
    <x v="10"/>
    <x v="1"/>
    <d v="2016-04-26T00:00:00"/>
    <n v="382.25"/>
    <n v="1017.75"/>
    <n v="323.3"/>
    <n v="479.75"/>
    <n v="33.94"/>
    <n v="3.5287999999999999"/>
  </r>
  <r>
    <x v="10"/>
    <x v="1"/>
    <d v="2016-04-25T00:00:00"/>
    <n v="377"/>
    <n v="999.75"/>
    <n v="316.39999999999998"/>
    <n v="471.25"/>
    <n v="33.9"/>
    <n v="3.5543"/>
  </r>
  <r>
    <x v="10"/>
    <x v="1"/>
    <d v="2016-04-22T00:00:00"/>
    <n v="371.75"/>
    <n v="987"/>
    <n v="311.7"/>
    <n v="467"/>
    <n v="33.99"/>
    <n v="3.5638000000000001"/>
  </r>
  <r>
    <x v="10"/>
    <x v="1"/>
    <d v="2016-04-21T00:00:00"/>
    <n v="384.5"/>
    <n v="1018.75"/>
    <n v="325.2"/>
    <n v="495.75"/>
    <n v="34.21"/>
    <n v="3.5371000000000001"/>
  </r>
  <r>
    <x v="10"/>
    <x v="1"/>
    <d v="2016-04-20T00:00:00"/>
    <n v="394.75"/>
    <n v="1009.75"/>
    <n v="318.89999999999998"/>
    <n v="504.25"/>
    <n v="34.64"/>
    <n v="3.5284"/>
  </r>
  <r>
    <x v="10"/>
    <x v="1"/>
    <d v="2016-04-19T00:00:00"/>
    <n v="384.5"/>
    <n v="985.5"/>
    <n v="305.10000000000002"/>
    <n v="486.25"/>
    <n v="34.78"/>
    <n v="3.5326"/>
  </r>
  <r>
    <x v="10"/>
    <x v="1"/>
    <d v="2016-04-18T00:00:00"/>
    <n v="381"/>
    <n v="954.25"/>
    <n v="293"/>
    <n v="472.75"/>
    <n v="33.950000000000003"/>
    <n v="3.6147"/>
  </r>
  <r>
    <x v="10"/>
    <x v="1"/>
    <d v="2016-04-15T00:00:00"/>
    <n v="378.5"/>
    <n v="956"/>
    <n v="295.89999999999998"/>
    <n v="459.75"/>
    <n v="33.380000000000003"/>
    <n v="3.5325000000000002"/>
  </r>
  <r>
    <x v="10"/>
    <x v="1"/>
    <d v="2016-04-14T00:00:00"/>
    <n v="374"/>
    <n v="948"/>
    <n v="290.10000000000002"/>
    <n v="459.75"/>
    <n v="33.69"/>
    <n v="3.4824000000000002"/>
  </r>
  <r>
    <x v="10"/>
    <x v="1"/>
    <d v="2016-04-13T00:00:00"/>
    <n v="373.5"/>
    <n v="955.75"/>
    <n v="292.7"/>
    <n v="461.5"/>
    <n v="33.96"/>
    <n v="3.4973999999999998"/>
  </r>
  <r>
    <x v="10"/>
    <x v="1"/>
    <d v="2016-04-12T00:00:00"/>
    <n v="362.75"/>
    <n v="936.25"/>
    <n v="285.10000000000002"/>
    <n v="452.5"/>
    <n v="33.69"/>
    <n v="3.492"/>
  </r>
  <r>
    <x v="10"/>
    <x v="1"/>
    <d v="2016-04-11T00:00:00"/>
    <n v="356.75"/>
    <n v="928.25"/>
    <n v="280.10000000000002"/>
    <n v="447.25"/>
    <n v="33.9"/>
    <n v="3.4912000000000001"/>
  </r>
  <r>
    <x v="10"/>
    <x v="1"/>
    <d v="2016-04-08T00:00:00"/>
    <n v="362.25"/>
    <n v="916.75"/>
    <n v="273.7"/>
    <n v="460.25"/>
    <n v="33.94"/>
    <n v="3.5886"/>
  </r>
  <r>
    <x v="10"/>
    <x v="1"/>
    <d v="2016-04-07T00:00:00"/>
    <n v="361.5"/>
    <n v="904.5"/>
    <n v="266.8"/>
    <n v="457"/>
    <n v="34.1"/>
    <n v="3.6890000000000001"/>
  </r>
  <r>
    <x v="10"/>
    <x v="1"/>
    <d v="2016-04-06T00:00:00"/>
    <n v="358"/>
    <n v="908"/>
    <n v="267.89999999999998"/>
    <n v="463"/>
    <n v="34.26"/>
    <n v="3.6398000000000001"/>
  </r>
  <r>
    <x v="10"/>
    <x v="1"/>
    <d v="2016-04-05T00:00:00"/>
    <n v="356.75"/>
    <n v="904.75"/>
    <n v="268.7"/>
    <n v="474"/>
    <n v="33.99"/>
    <n v="3.6795"/>
  </r>
  <r>
    <x v="10"/>
    <x v="1"/>
    <d v="2016-04-04T00:00:00"/>
    <n v="354.5"/>
    <n v="913.5"/>
    <n v="268.2"/>
    <n v="474.75"/>
    <n v="34.69"/>
    <n v="3.6227999999999998"/>
  </r>
  <r>
    <x v="10"/>
    <x v="1"/>
    <d v="2016-04-01T00:00:00"/>
    <n v="354"/>
    <n v="918.25"/>
    <n v="272.3"/>
    <n v="475.75"/>
    <n v="34.450000000000003"/>
    <n v="3.5525000000000002"/>
  </r>
  <r>
    <x v="10"/>
    <x v="2"/>
    <d v="2016-03-31T00:00:00"/>
    <n v="351.5"/>
    <n v="910.75"/>
    <n v="270.3"/>
    <n v="473.5"/>
    <n v="34.22"/>
    <n v="3.5924999999999998"/>
  </r>
  <r>
    <x v="10"/>
    <x v="2"/>
    <d v="2016-03-30T00:00:00"/>
    <n v="367"/>
    <n v="909"/>
    <n v="271.89999999999998"/>
    <n v="464"/>
    <n v="33.79"/>
    <n v="3.5988000000000002"/>
  </r>
  <r>
    <x v="10"/>
    <x v="2"/>
    <d v="2016-03-29T00:00:00"/>
    <n v="373"/>
    <n v="916"/>
    <n v="273.2"/>
    <n v="476.75"/>
    <n v="34.049999999999997"/>
    <n v="3.6379000000000001"/>
  </r>
  <r>
    <x v="10"/>
    <x v="2"/>
    <d v="2016-03-28T00:00:00"/>
    <n v="370.5"/>
    <n v="909"/>
    <n v="272.10000000000002"/>
    <n v="471"/>
    <n v="33.630000000000003"/>
    <n v="3.6269999999999998"/>
  </r>
  <r>
    <x v="10"/>
    <x v="2"/>
    <d v="2016-03-25T00:00:00"/>
    <m/>
    <m/>
    <m/>
    <m/>
    <m/>
    <n v="3.6829999999999998"/>
  </r>
  <r>
    <x v="10"/>
    <x v="2"/>
    <d v="2016-03-24T00:00:00"/>
    <n v="370"/>
    <n v="910.5"/>
    <n v="275.3"/>
    <n v="463"/>
    <n v="33.18"/>
    <n v="3.6756000000000002"/>
  </r>
  <r>
    <x v="10"/>
    <x v="2"/>
    <d v="2016-03-23T00:00:00"/>
    <n v="368.5"/>
    <n v="905.25"/>
    <n v="270.89999999999998"/>
    <n v="463"/>
    <n v="33.36"/>
    <n v="3.6840999999999999"/>
  </r>
  <r>
    <x v="10"/>
    <x v="2"/>
    <d v="2016-03-22T00:00:00"/>
    <n v="370"/>
    <n v="910.25"/>
    <n v="271"/>
    <n v="466.75"/>
    <n v="33.93"/>
    <n v="3.5806"/>
  </r>
  <r>
    <x v="10"/>
    <x v="2"/>
    <d v="2016-03-21T00:00:00"/>
    <n v="369.5"/>
    <n v="902"/>
    <n v="268.8"/>
    <n v="466.5"/>
    <n v="33.58"/>
    <n v="3.6164999999999998"/>
  </r>
  <r>
    <x v="10"/>
    <x v="2"/>
    <d v="2016-03-18T00:00:00"/>
    <n v="367"/>
    <n v="897.5"/>
    <n v="266.60000000000002"/>
    <n v="463"/>
    <n v="33.42"/>
    <n v="3.6225000000000001"/>
  </r>
  <r>
    <x v="10"/>
    <x v="2"/>
    <d v="2016-03-17T00:00:00"/>
    <n v="368.5"/>
    <n v="897.75"/>
    <n v="267"/>
    <n v="462.5"/>
    <n v="33.409999999999997"/>
    <n v="3.6257999999999999"/>
  </r>
  <r>
    <x v="10"/>
    <x v="2"/>
    <d v="2016-03-16T00:00:00"/>
    <n v="368.25"/>
    <n v="894.5"/>
    <n v="267.7"/>
    <n v="470.75"/>
    <n v="32.69"/>
    <n v="3.7414000000000001"/>
  </r>
  <r>
    <x v="10"/>
    <x v="2"/>
    <d v="2016-03-15T00:00:00"/>
    <n v="368.5"/>
    <n v="892"/>
    <n v="268.2"/>
    <n v="477.25"/>
    <n v="32.49"/>
    <n v="3.7641"/>
  </r>
  <r>
    <x v="10"/>
    <x v="2"/>
    <d v="2016-03-14T00:00:00"/>
    <n v="366.75"/>
    <n v="888"/>
    <n v="268.10000000000002"/>
    <n v="471.5"/>
    <n v="32.25"/>
    <n v="3.6604999999999999"/>
  </r>
  <r>
    <x v="10"/>
    <x v="2"/>
    <d v="2016-03-11T00:00:00"/>
    <n v="366"/>
    <n v="888"/>
    <n v="272"/>
    <n v="469.75"/>
    <n v="31.93"/>
    <n v="3.5811000000000002"/>
  </r>
  <r>
    <x v="10"/>
    <x v="2"/>
    <d v="2016-03-10T00:00:00"/>
    <n v="362.5"/>
    <n v="881.75"/>
    <n v="270.2"/>
    <n v="471.5"/>
    <n v="31.41"/>
    <n v="3.62"/>
  </r>
  <r>
    <x v="10"/>
    <x v="2"/>
    <d v="2016-03-09T00:00:00"/>
    <n v="359"/>
    <n v="880"/>
    <n v="269.60000000000002"/>
    <n v="463.75"/>
    <n v="31.52"/>
    <n v="3.6833999999999998"/>
  </r>
  <r>
    <x v="10"/>
    <x v="2"/>
    <d v="2016-03-08T00:00:00"/>
    <n v="358.75"/>
    <n v="877.5"/>
    <n v="270.8"/>
    <n v="461.25"/>
    <n v="30.92"/>
    <n v="3.7541000000000002"/>
  </r>
  <r>
    <x v="10"/>
    <x v="2"/>
    <d v="2016-03-07T00:00:00"/>
    <n v="355"/>
    <n v="873.5"/>
    <n v="268.5"/>
    <n v="457.75"/>
    <n v="30.95"/>
    <n v="3.7814999999999999"/>
  </r>
  <r>
    <x v="10"/>
    <x v="2"/>
    <d v="2016-03-04T00:00:00"/>
    <n v="354.5"/>
    <n v="870.5"/>
    <n v="267.7"/>
    <n v="454.75"/>
    <n v="30.73"/>
    <n v="3.7585999999999999"/>
  </r>
  <r>
    <x v="10"/>
    <x v="2"/>
    <d v="2016-03-03T00:00:00"/>
    <n v="353.75"/>
    <n v="856.25"/>
    <n v="262"/>
    <n v="453.25"/>
    <n v="30.41"/>
    <n v="3.7976000000000001"/>
  </r>
  <r>
    <x v="10"/>
    <x v="2"/>
    <d v="2016-03-02T00:00:00"/>
    <n v="354.5"/>
    <n v="854.25"/>
    <n v="261.2"/>
    <n v="442.75"/>
    <n v="30.17"/>
    <n v="3.8917000000000002"/>
  </r>
  <r>
    <x v="10"/>
    <x v="2"/>
    <d v="2016-03-01T00:00:00"/>
    <n v="353.75"/>
    <n v="850.75"/>
    <n v="258.10000000000002"/>
    <n v="438.5"/>
    <n v="30.32"/>
    <n v="3.9260000000000002"/>
  </r>
  <r>
    <x v="10"/>
    <x v="3"/>
    <d v="2016-02-29T00:00:00"/>
    <n v="353.5"/>
    <n v="853"/>
    <n v="259.3"/>
    <n v="445"/>
    <n v="30.64"/>
    <n v="4.0156000000000001"/>
  </r>
  <r>
    <x v="10"/>
    <x v="3"/>
    <d v="2016-02-26T00:00:00"/>
    <n v="354.5"/>
    <n v="855"/>
    <n v="257.2"/>
    <n v="443.25"/>
    <n v="31.03"/>
    <n v="3.9925000000000002"/>
  </r>
  <r>
    <x v="10"/>
    <x v="3"/>
    <d v="2016-02-25T00:00:00"/>
    <n v="355.5"/>
    <n v="859"/>
    <n v="260"/>
    <n v="445.25"/>
    <n v="30.65"/>
    <n v="3.9544999999999999"/>
  </r>
  <r>
    <x v="10"/>
    <x v="3"/>
    <d v="2016-02-24T00:00:00"/>
    <n v="359.75"/>
    <n v="867.5"/>
    <n v="262.89999999999998"/>
    <n v="442.75"/>
    <n v="30.92"/>
    <n v="3.9575999999999998"/>
  </r>
  <r>
    <x v="10"/>
    <x v="3"/>
    <d v="2016-02-23T00:00:00"/>
    <n v="362"/>
    <n v="869.25"/>
    <n v="263.2"/>
    <n v="448"/>
    <n v="30.75"/>
    <n v="3.9554"/>
  </r>
  <r>
    <x v="10"/>
    <x v="3"/>
    <d v="2016-02-22T00:00:00"/>
    <n v="367.5"/>
    <n v="881"/>
    <n v="264.89999999999998"/>
    <n v="458.5"/>
    <n v="31.49"/>
    <n v="3.9458000000000002"/>
  </r>
  <r>
    <x v="10"/>
    <x v="3"/>
    <d v="2016-02-19T00:00:00"/>
    <n v="365.5"/>
    <n v="878.25"/>
    <n v="264.5"/>
    <n v="461.75"/>
    <n v="31.39"/>
    <n v="4.0198999999999998"/>
  </r>
  <r>
    <x v="10"/>
    <x v="3"/>
    <d v="2016-02-18T00:00:00"/>
    <n v="365.5"/>
    <n v="879.75"/>
    <n v="263.5"/>
    <n v="462.25"/>
    <n v="31.83"/>
    <n v="4.0269000000000004"/>
  </r>
  <r>
    <x v="10"/>
    <x v="3"/>
    <d v="2016-02-17T00:00:00"/>
    <n v="367.25"/>
    <n v="882.5"/>
    <n v="263.60000000000002"/>
    <n v="468.5"/>
    <n v="31.99"/>
    <n v="3.9836"/>
  </r>
  <r>
    <x v="10"/>
    <x v="3"/>
    <d v="2016-02-16T00:00:00"/>
    <n v="363"/>
    <n v="879.75"/>
    <n v="264.8"/>
    <n v="464.25"/>
    <n v="31.61"/>
    <n v="4.0708000000000002"/>
  </r>
  <r>
    <x v="10"/>
    <x v="3"/>
    <d v="2016-02-15T00:00:00"/>
    <m/>
    <m/>
    <m/>
    <m/>
    <m/>
    <n v="4.0045000000000002"/>
  </r>
  <r>
    <x v="10"/>
    <x v="3"/>
    <d v="2016-02-12T00:00:00"/>
    <n v="358.75"/>
    <n v="872.75"/>
    <n v="262"/>
    <n v="457.5"/>
    <n v="31.8"/>
    <n v="4.0011999999999999"/>
  </r>
  <r>
    <x v="10"/>
    <x v="3"/>
    <d v="2016-02-11T00:00:00"/>
    <n v="360.25"/>
    <n v="873.5"/>
    <n v="263.7"/>
    <n v="458.25"/>
    <n v="31.59"/>
    <n v="3.9931000000000001"/>
  </r>
  <r>
    <x v="10"/>
    <x v="3"/>
    <d v="2016-02-10T00:00:00"/>
    <n v="360.25"/>
    <n v="862.25"/>
    <n v="261"/>
    <n v="461.25"/>
    <n v="31.01"/>
    <n v="3.927"/>
  </r>
  <r>
    <x v="10"/>
    <x v="3"/>
    <d v="2016-02-09T00:00:00"/>
    <n v="361"/>
    <n v="863.25"/>
    <n v="263.10000000000002"/>
    <n v="457.5"/>
    <n v="30.7"/>
    <n v="3.8841000000000001"/>
  </r>
  <r>
    <x v="10"/>
    <x v="3"/>
    <d v="2016-02-08T00:00:00"/>
    <n v="362.25"/>
    <n v="862.5"/>
    <n v="264.5"/>
    <n v="458.5"/>
    <n v="30.75"/>
    <n v="3.8938999999999999"/>
  </r>
  <r>
    <x v="10"/>
    <x v="3"/>
    <d v="2016-02-05T00:00:00"/>
    <n v="365.75"/>
    <n v="867.5"/>
    <n v="265"/>
    <n v="466.75"/>
    <n v="31.23"/>
    <n v="3.9020000000000001"/>
  </r>
  <r>
    <x v="10"/>
    <x v="3"/>
    <d v="2016-02-04T00:00:00"/>
    <n v="368.5"/>
    <n v="874.5"/>
    <n v="267.60000000000002"/>
    <n v="472.75"/>
    <n v="31.24"/>
    <n v="3.8881999999999999"/>
  </r>
  <r>
    <x v="10"/>
    <x v="3"/>
    <d v="2016-02-03T00:00:00"/>
    <n v="371"/>
    <n v="876.75"/>
    <n v="270.10000000000002"/>
    <n v="480"/>
    <n v="30.98"/>
    <n v="3.8938999999999999"/>
  </r>
  <r>
    <x v="10"/>
    <x v="3"/>
    <d v="2016-02-02T00:00:00"/>
    <n v="372.5"/>
    <n v="886.25"/>
    <n v="274.60000000000002"/>
    <n v="475.25"/>
    <n v="30.79"/>
    <n v="3.988"/>
  </r>
  <r>
    <x v="10"/>
    <x v="3"/>
    <d v="2016-02-01T00:00:00"/>
    <n v="371.25"/>
    <n v="880.75"/>
    <n v="271"/>
    <n v="475.25"/>
    <n v="30.76"/>
    <n v="3.9613999999999998"/>
  </r>
  <r>
    <x v="10"/>
    <x v="4"/>
    <d v="2016-01-29T00:00:00"/>
    <n v="372"/>
    <n v="882.25"/>
    <n v="272.39999999999998"/>
    <n v="479.25"/>
    <n v="30.88"/>
    <n v="3.9973000000000001"/>
  </r>
  <r>
    <x v="10"/>
    <x v="4"/>
    <d v="2016-01-28T00:00:00"/>
    <n v="365.5"/>
    <n v="867.75"/>
    <n v="266.89999999999998"/>
    <n v="472.25"/>
    <n v="30.69"/>
    <n v="4.0683999999999996"/>
  </r>
  <r>
    <x v="10"/>
    <x v="4"/>
    <d v="2016-01-27T00:00:00"/>
    <n v="369.25"/>
    <n v="883"/>
    <n v="272.5"/>
    <n v="476.5"/>
    <n v="30.87"/>
    <n v="4.1062000000000003"/>
  </r>
  <r>
    <x v="10"/>
    <x v="4"/>
    <d v="2016-01-26T00:00:00"/>
    <n v="369.25"/>
    <n v="876.5"/>
    <n v="269.89999999999998"/>
    <n v="484.75"/>
    <n v="30.74"/>
    <n v="4.0521000000000003"/>
  </r>
  <r>
    <x v="10"/>
    <x v="4"/>
    <d v="2016-01-25T00:00:00"/>
    <n v="369.75"/>
    <n v="880.5"/>
    <n v="272.5"/>
    <n v="481.5"/>
    <n v="30.44"/>
    <n v="4.0888"/>
  </r>
  <r>
    <x v="10"/>
    <x v="4"/>
    <d v="2016-01-22T00:00:00"/>
    <n v="370.25"/>
    <n v="876.5"/>
    <n v="268.5"/>
    <n v="475.5"/>
    <n v="30.5"/>
    <n v="4.093"/>
  </r>
  <r>
    <x v="10"/>
    <x v="4"/>
    <d v="2016-01-21T00:00:00"/>
    <n v="367"/>
    <n v="878.5"/>
    <n v="272.2"/>
    <n v="475"/>
    <n v="29.94"/>
    <n v="4.1559999999999997"/>
  </r>
  <r>
    <x v="10"/>
    <x v="4"/>
    <d v="2016-01-20T00:00:00"/>
    <n v="368.75"/>
    <n v="874"/>
    <n v="269.8"/>
    <n v="471.5"/>
    <n v="29.81"/>
    <n v="4.0956000000000001"/>
  </r>
  <r>
    <x v="10"/>
    <x v="4"/>
    <d v="2016-01-19T00:00:00"/>
    <n v="367.75"/>
    <n v="883.5"/>
    <n v="271.3"/>
    <n v="474.5"/>
    <n v="30.03"/>
    <n v="4.0610999999999997"/>
  </r>
  <r>
    <x v="10"/>
    <x v="4"/>
    <d v="2016-01-18T00:00:00"/>
    <m/>
    <m/>
    <m/>
    <m/>
    <m/>
    <n v="4.0541999999999998"/>
  </r>
  <r>
    <x v="10"/>
    <x v="4"/>
    <d v="2016-01-15T00:00:00"/>
    <n v="363.25"/>
    <n v="879"/>
    <n v="270.7"/>
    <n v="473.75"/>
    <n v="29.65"/>
    <n v="4.0464000000000002"/>
  </r>
  <r>
    <x v="10"/>
    <x v="4"/>
    <d v="2016-01-14T00:00:00"/>
    <n v="358"/>
    <n v="896"/>
    <n v="269.7"/>
    <n v="468.75"/>
    <n v="29.68"/>
    <n v="3.9981"/>
  </r>
  <r>
    <x v="10"/>
    <x v="4"/>
    <d v="2016-01-13T00:00:00"/>
    <n v="358"/>
    <n v="899"/>
    <n v="272.89999999999998"/>
    <n v="478"/>
    <n v="29.36"/>
    <n v="4.0143000000000004"/>
  </r>
  <r>
    <x v="10"/>
    <x v="4"/>
    <d v="2016-01-12T00:00:00"/>
    <n v="356.75"/>
    <n v="890.75"/>
    <n v="274.7"/>
    <n v="481.25"/>
    <n v="29.01"/>
    <n v="4.0274999999999999"/>
  </r>
  <r>
    <x v="10"/>
    <x v="4"/>
    <d v="2016-01-11T00:00:00"/>
    <n v="351.75"/>
    <n v="881"/>
    <n v="268.8"/>
    <n v="469"/>
    <n v="29.08"/>
    <n v="4.0522"/>
  </r>
  <r>
    <x v="10"/>
    <x v="4"/>
    <d v="2016-01-08T00:00:00"/>
    <n v="357"/>
    <n v="879.5"/>
    <n v="267.89999999999998"/>
    <n v="478.5"/>
    <n v="29.45"/>
    <n v="4.0229999999999997"/>
  </r>
  <r>
    <x v="10"/>
    <x v="4"/>
    <d v="2016-01-07T00:00:00"/>
    <n v="353"/>
    <n v="877"/>
    <n v="266.2"/>
    <n v="468.5"/>
    <n v="29.44"/>
    <n v="4.0433000000000003"/>
  </r>
  <r>
    <x v="10"/>
    <x v="4"/>
    <d v="2016-01-06T00:00:00"/>
    <n v="353.25"/>
    <n v="875.75"/>
    <n v="266.89999999999998"/>
    <n v="462.75"/>
    <n v="29.59"/>
    <n v="4.0228999999999999"/>
  </r>
  <r>
    <x v="10"/>
    <x v="4"/>
    <d v="2016-01-05T00:00:00"/>
    <n v="353"/>
    <n v="867.75"/>
    <n v="265.3"/>
    <n v="461.25"/>
    <n v="29.63"/>
    <n v="4.0061999999999998"/>
  </r>
  <r>
    <x v="10"/>
    <x v="4"/>
    <d v="2016-01-04T00:00:00"/>
    <n v="351.5"/>
    <n v="864.5"/>
    <n v="263.2"/>
    <n v="458.25"/>
    <n v="29.93"/>
    <n v="4.0387000000000004"/>
  </r>
  <r>
    <x v="10"/>
    <x v="4"/>
    <d v="2016-01-01T00:00:00"/>
    <m/>
    <m/>
    <m/>
    <m/>
    <m/>
    <n v="3.9592999999999998"/>
  </r>
  <r>
    <x v="11"/>
    <x v="5"/>
    <d v="2015-12-31T00:00:00"/>
    <n v="358.75"/>
    <n v="871.25"/>
    <n v="264.3"/>
    <n v="470"/>
    <n v="30.55"/>
    <n v="3.9592999999999998"/>
  </r>
  <r>
    <x v="11"/>
    <x v="5"/>
    <d v="2015-12-30T00:00:00"/>
    <n v="359"/>
    <n v="875.5"/>
    <n v="265.8"/>
    <n v="469.75"/>
    <n v="30.84"/>
    <n v="3.9592999999999998"/>
  </r>
  <r>
    <x v="11"/>
    <x v="5"/>
    <d v="2015-12-29T00:00:00"/>
    <n v="362.5"/>
    <n v="870"/>
    <n v="268.5"/>
    <n v="475.75"/>
    <n v="30.52"/>
    <n v="3.8639999999999999"/>
  </r>
  <r>
    <x v="11"/>
    <x v="5"/>
    <d v="2015-12-28T00:00:00"/>
    <n v="361"/>
    <n v="865"/>
    <n v="267.3"/>
    <n v="466.5"/>
    <n v="30.2"/>
    <n v="3.8571"/>
  </r>
  <r>
    <x v="11"/>
    <x v="5"/>
    <d v="2015-12-25T00:00:00"/>
    <m/>
    <m/>
    <m/>
    <m/>
    <m/>
    <n v="3.9447999999999999"/>
  </r>
  <r>
    <x v="11"/>
    <x v="5"/>
    <d v="2015-12-24T00:00:00"/>
    <n v="364.5"/>
    <n v="875.25"/>
    <n v="269"/>
    <n v="467.5"/>
    <n v="30.87"/>
    <n v="3.9514999999999998"/>
  </r>
  <r>
    <x v="11"/>
    <x v="5"/>
    <d v="2015-12-23T00:00:00"/>
    <n v="365.5"/>
    <n v="881.75"/>
    <n v="272.39999999999998"/>
    <n v="469.5"/>
    <n v="30.52"/>
    <n v="3.9403999999999999"/>
  </r>
  <r>
    <x v="11"/>
    <x v="5"/>
    <d v="2015-12-22T00:00:00"/>
    <n v="366.25"/>
    <n v="885.25"/>
    <n v="276.89999999999998"/>
    <n v="471.75"/>
    <n v="30.44"/>
    <n v="3.9883999999999999"/>
  </r>
  <r>
    <x v="11"/>
    <x v="5"/>
    <d v="2015-12-21T00:00:00"/>
    <n v="372"/>
    <n v="891.25"/>
    <n v="279"/>
    <n v="479"/>
    <n v="30.77"/>
    <n v="4.0118999999999998"/>
  </r>
  <r>
    <x v="11"/>
    <x v="5"/>
    <d v="2015-12-18T00:00:00"/>
    <n v="374.5"/>
    <n v="892.25"/>
    <n v="281"/>
    <n v="486.75"/>
    <n v="30.53"/>
    <n v="3.9809000000000001"/>
  </r>
  <r>
    <x v="11"/>
    <x v="5"/>
    <d v="2015-12-17T00:00:00"/>
    <n v="374.25"/>
    <n v="877"/>
    <n v="275.89999999999998"/>
    <n v="484"/>
    <n v="30.07"/>
    <n v="3.8780999999999999"/>
  </r>
  <r>
    <x v="11"/>
    <x v="5"/>
    <d v="2015-12-16T00:00:00"/>
    <n v="369.75"/>
    <n v="862.5"/>
    <n v="269.89999999999998"/>
    <n v="483.5"/>
    <n v="30.37"/>
    <n v="3.8833000000000002"/>
  </r>
  <r>
    <x v="11"/>
    <x v="5"/>
    <d v="2015-12-15T00:00:00"/>
    <n v="377.25"/>
    <n v="867.25"/>
    <n v="271.8"/>
    <n v="494.25"/>
    <n v="30.7"/>
    <n v="3.8715000000000002"/>
  </r>
  <r>
    <x v="11"/>
    <x v="5"/>
    <d v="2015-12-14T00:00:00"/>
    <n v="381.75"/>
    <n v="874.25"/>
    <n v="277.8"/>
    <n v="487.75"/>
    <n v="31.3"/>
    <n v="3.8763999999999998"/>
  </r>
  <r>
    <x v="11"/>
    <x v="5"/>
    <d v="2015-12-11T00:00:00"/>
    <n v="373"/>
    <n v="870.75"/>
    <n v="272.2"/>
    <n v="482.75"/>
    <n v="31.08"/>
    <n v="3.8715000000000002"/>
  </r>
  <r>
    <x v="11"/>
    <x v="5"/>
    <d v="2015-12-10T00:00:00"/>
    <n v="377.25"/>
    <n v="878.25"/>
    <n v="274.2"/>
    <n v="484.5"/>
    <n v="31.51"/>
    <n v="3.8111000000000002"/>
  </r>
  <r>
    <x v="11"/>
    <x v="5"/>
    <d v="2015-12-09T00:00:00"/>
    <n v="371.75"/>
    <n v="876.75"/>
    <n v="278.8"/>
    <n v="478"/>
    <n v="30.86"/>
    <n v="3.7486999999999999"/>
  </r>
  <r>
    <x v="11"/>
    <x v="5"/>
    <d v="2015-12-08T00:00:00"/>
    <n v="370"/>
    <n v="876.75"/>
    <n v="276.60000000000002"/>
    <n v="470.75"/>
    <n v="31.23"/>
    <n v="3.7947000000000002"/>
  </r>
  <r>
    <x v="11"/>
    <x v="5"/>
    <d v="2015-12-07T00:00:00"/>
    <n v="368.5"/>
    <n v="882.25"/>
    <n v="278.89999999999998"/>
    <n v="470.25"/>
    <n v="30.98"/>
    <n v="3.7665999999999999"/>
  </r>
  <r>
    <x v="11"/>
    <x v="5"/>
    <d v="2015-12-04T00:00:00"/>
    <n v="376.25"/>
    <n v="906"/>
    <n v="285.10000000000002"/>
    <n v="471.25"/>
    <n v="31.8"/>
    <n v="3.7505999999999999"/>
  </r>
  <r>
    <x v="11"/>
    <x v="5"/>
    <d v="2015-12-03T00:00:00"/>
    <n v="370.25"/>
    <n v="897.5"/>
    <n v="287.10000000000002"/>
    <n v="464.75"/>
    <n v="30.59"/>
    <n v="3.7581000000000002"/>
  </r>
  <r>
    <x v="11"/>
    <x v="5"/>
    <d v="2015-12-02T00:00:00"/>
    <n v="364"/>
    <n v="892.25"/>
    <n v="286.3"/>
    <n v="452.25"/>
    <n v="30.27"/>
    <n v="3.8336999999999999"/>
  </r>
  <r>
    <x v="11"/>
    <x v="5"/>
    <d v="2015-12-01T00:00:00"/>
    <n v="367"/>
    <n v="889.25"/>
    <n v="285.7"/>
    <n v="456.5"/>
    <n v="29.78"/>
    <n v="3.8559999999999999"/>
  </r>
  <r>
    <x v="11"/>
    <x v="6"/>
    <d v="2015-11-30T00:00:00"/>
    <n v="365"/>
    <n v="881"/>
    <n v="284.60000000000002"/>
    <n v="460"/>
    <n v="29.1"/>
    <n v="3.8675000000000002"/>
  </r>
  <r>
    <x v="11"/>
    <x v="6"/>
    <d v="2015-11-27T00:00:00"/>
    <n v="359.25"/>
    <n v="873"/>
    <n v="282.39999999999998"/>
    <n v="465.75"/>
    <n v="28.75"/>
    <n v="3.8449"/>
  </r>
  <r>
    <x v="11"/>
    <x v="6"/>
    <d v="2015-11-26T00:00:00"/>
    <m/>
    <m/>
    <m/>
    <m/>
    <m/>
    <n v="3.7418999999999998"/>
  </r>
  <r>
    <x v="11"/>
    <x v="6"/>
    <d v="2015-11-25T00:00:00"/>
    <n v="366"/>
    <n v="875.25"/>
    <n v="284.8"/>
    <n v="479.25"/>
    <n v="28.89"/>
    <n v="3.7410000000000001"/>
  </r>
  <r>
    <x v="11"/>
    <x v="6"/>
    <d v="2015-11-24T00:00:00"/>
    <n v="364.25"/>
    <n v="863.75"/>
    <n v="283.8"/>
    <n v="484.25"/>
    <n v="28.31"/>
    <n v="3.6985000000000001"/>
  </r>
  <r>
    <x v="11"/>
    <x v="6"/>
    <d v="2015-11-23T00:00:00"/>
    <n v="367.25"/>
    <n v="864.25"/>
    <n v="285.3"/>
    <n v="495"/>
    <n v="27.91"/>
    <n v="3.7315"/>
  </r>
  <r>
    <x v="11"/>
    <x v="6"/>
    <d v="2015-11-20T00:00:00"/>
    <n v="363.25"/>
    <n v="857.5"/>
    <n v="283"/>
    <n v="488.5"/>
    <n v="27.9"/>
    <n v="3.7037"/>
  </r>
  <r>
    <x v="11"/>
    <x v="6"/>
    <d v="2015-11-19T00:00:00"/>
    <n v="364.25"/>
    <n v="860"/>
    <n v="286.60000000000002"/>
    <n v="490.75"/>
    <n v="27.55"/>
    <n v="3.7166000000000001"/>
  </r>
  <r>
    <x v="11"/>
    <x v="6"/>
    <d v="2015-11-18T00:00:00"/>
    <n v="361.75"/>
    <n v="857.75"/>
    <n v="285.60000000000002"/>
    <n v="483.25"/>
    <n v="27.44"/>
    <n v="3.7652999999999999"/>
  </r>
  <r>
    <x v="11"/>
    <x v="6"/>
    <d v="2015-11-17T00:00:00"/>
    <n v="362"/>
    <n v="864"/>
    <n v="288.5"/>
    <n v="487.5"/>
    <n v="27.47"/>
    <n v="3.8090000000000002"/>
  </r>
  <r>
    <x v="11"/>
    <x v="6"/>
    <d v="2015-11-16T00:00:00"/>
    <n v="360"/>
    <n v="859.5"/>
    <n v="288.8"/>
    <n v="494"/>
    <n v="27.29"/>
    <n v="3.8191999999999999"/>
  </r>
  <r>
    <x v="11"/>
    <x v="6"/>
    <d v="2015-11-13T00:00:00"/>
    <n v="358.25"/>
    <n v="859"/>
    <n v="288.8"/>
    <n v="495.75"/>
    <n v="27.04"/>
    <n v="3.8441000000000001"/>
  </r>
  <r>
    <x v="11"/>
    <x v="6"/>
    <d v="2015-11-12T00:00:00"/>
    <n v="362"/>
    <n v="869.25"/>
    <n v="291.39999999999998"/>
    <n v="498"/>
    <n v="27.44"/>
    <n v="3.7707000000000002"/>
  </r>
  <r>
    <x v="11"/>
    <x v="6"/>
    <d v="2015-11-11T00:00:00"/>
    <n v="362.25"/>
    <n v="868.5"/>
    <n v="294"/>
    <n v="494.75"/>
    <n v="27.18"/>
    <n v="3.7624"/>
  </r>
  <r>
    <x v="11"/>
    <x v="6"/>
    <d v="2015-11-10T00:00:00"/>
    <n v="359"/>
    <n v="864.5"/>
    <n v="292.2"/>
    <n v="490.75"/>
    <n v="27.27"/>
    <n v="3.7507000000000001"/>
  </r>
  <r>
    <x v="11"/>
    <x v="6"/>
    <d v="2015-11-09T00:00:00"/>
    <n v="366.75"/>
    <n v="873.5"/>
    <n v="295"/>
    <n v="501.75"/>
    <n v="27.77"/>
    <n v="3.7988"/>
  </r>
  <r>
    <x v="11"/>
    <x v="6"/>
    <d v="2015-11-06T00:00:00"/>
    <n v="373"/>
    <n v="871.25"/>
    <n v="295.7"/>
    <n v="523.25"/>
    <n v="28.04"/>
    <n v="3.7698"/>
  </r>
  <r>
    <x v="11"/>
    <x v="6"/>
    <d v="2015-11-05T00:00:00"/>
    <n v="374.5"/>
    <n v="867.75"/>
    <n v="296.39999999999998"/>
    <n v="526.25"/>
    <n v="27.83"/>
    <n v="3.7797999999999998"/>
  </r>
  <r>
    <x v="11"/>
    <x v="6"/>
    <d v="2015-11-04T00:00:00"/>
    <n v="380.5"/>
    <n v="882"/>
    <n v="301.8"/>
    <n v="526.25"/>
    <n v="28.5"/>
    <n v="3.8001"/>
  </r>
  <r>
    <x v="11"/>
    <x v="6"/>
    <d v="2015-11-03T00:00:00"/>
    <n v="380.5"/>
    <n v="878.5"/>
    <n v="301.3"/>
    <n v="516.5"/>
    <n v="28.15"/>
    <n v="3.7696999999999998"/>
  </r>
  <r>
    <x v="11"/>
    <x v="6"/>
    <d v="2015-11-02T00:00:00"/>
    <n v="376.5"/>
    <n v="877.75"/>
    <n v="302.2"/>
    <n v="508"/>
    <n v="27.85"/>
    <n v="3.8492000000000002"/>
  </r>
  <r>
    <x v="11"/>
    <x v="7"/>
    <d v="2015-10-30T00:00:00"/>
    <n v="382.25"/>
    <n v="883.75"/>
    <n v="304.39999999999998"/>
    <n v="522"/>
    <n v="28.2"/>
    <n v="3.8561999999999999"/>
  </r>
  <r>
    <x v="11"/>
    <x v="7"/>
    <d v="2015-10-29T00:00:00"/>
    <n v="380"/>
    <n v="878.75"/>
    <n v="301.60000000000002"/>
    <n v="515"/>
    <n v="27.88"/>
    <n v="3.8494000000000002"/>
  </r>
  <r>
    <x v="11"/>
    <x v="7"/>
    <d v="2015-10-28T00:00:00"/>
    <n v="376"/>
    <n v="881.5"/>
    <n v="299.89999999999998"/>
    <n v="506"/>
    <n v="28.11"/>
    <n v="3.9079000000000002"/>
  </r>
  <r>
    <x v="11"/>
    <x v="7"/>
    <d v="2015-10-27T00:00:00"/>
    <n v="380"/>
    <n v="891.25"/>
    <n v="304.7"/>
    <n v="509.25"/>
    <n v="27.89"/>
    <n v="3.8868"/>
  </r>
  <r>
    <x v="11"/>
    <x v="7"/>
    <d v="2015-10-26T00:00:00"/>
    <n v="384.5"/>
    <n v="885"/>
    <n v="302.2"/>
    <n v="509"/>
    <n v="27.78"/>
    <n v="3.9045000000000001"/>
  </r>
  <r>
    <x v="11"/>
    <x v="7"/>
    <d v="2015-10-23T00:00:00"/>
    <n v="379.75"/>
    <n v="895.5"/>
    <n v="305.10000000000002"/>
    <n v="490.5"/>
    <n v="28.57"/>
    <n v="3.8792"/>
  </r>
  <r>
    <x v="11"/>
    <x v="7"/>
    <d v="2015-10-22T00:00:00"/>
    <n v="378.25"/>
    <n v="898.75"/>
    <n v="307.8"/>
    <n v="490.75"/>
    <n v="28.85"/>
    <n v="3.9073000000000002"/>
  </r>
  <r>
    <x v="11"/>
    <x v="7"/>
    <d v="2015-10-21T00:00:00"/>
    <n v="380.75"/>
    <n v="905.25"/>
    <n v="310.5"/>
    <n v="494.75"/>
    <n v="29.18"/>
    <n v="3.9399000000000002"/>
  </r>
  <r>
    <x v="11"/>
    <x v="7"/>
    <d v="2015-10-20T00:00:00"/>
    <n v="376.75"/>
    <n v="896"/>
    <n v="309.5"/>
    <n v="491.25"/>
    <n v="28.66"/>
    <n v="3.9058000000000002"/>
  </r>
  <r>
    <x v="11"/>
    <x v="7"/>
    <d v="2015-10-19T00:00:00"/>
    <n v="373"/>
    <n v="891"/>
    <n v="310.8"/>
    <n v="485.75"/>
    <n v="28.14"/>
    <n v="3.8841999999999999"/>
  </r>
  <r>
    <x v="11"/>
    <x v="7"/>
    <d v="2015-10-16T00:00:00"/>
    <n v="376.75"/>
    <n v="898.25"/>
    <n v="312"/>
    <n v="492.25"/>
    <n v="28.6"/>
    <n v="3.9237000000000002"/>
  </r>
  <r>
    <x v="11"/>
    <x v="7"/>
    <d v="2015-10-15T00:00:00"/>
    <n v="375.5"/>
    <n v="905.25"/>
    <n v="314"/>
    <n v="502.5"/>
    <n v="28.58"/>
    <n v="3.8028"/>
  </r>
  <r>
    <x v="11"/>
    <x v="7"/>
    <d v="2015-10-14T00:00:00"/>
    <n v="379"/>
    <n v="910.5"/>
    <n v="317.8"/>
    <n v="508.25"/>
    <n v="28.77"/>
    <n v="3.8104"/>
  </r>
  <r>
    <x v="11"/>
    <x v="7"/>
    <d v="2015-10-13T00:00:00"/>
    <n v="384.5"/>
    <n v="914"/>
    <n v="320.7"/>
    <n v="519"/>
    <n v="28.6"/>
    <n v="3.8921999999999999"/>
  </r>
  <r>
    <x v="11"/>
    <x v="7"/>
    <d v="2015-10-12T00:00:00"/>
    <n v="380.75"/>
    <n v="887.5"/>
    <n v="309.3"/>
    <n v="506.75"/>
    <n v="28.01"/>
    <n v="3.7624"/>
  </r>
  <r>
    <x v="11"/>
    <x v="7"/>
    <d v="2015-10-09T00:00:00"/>
    <n v="382.75"/>
    <n v="885.75"/>
    <n v="306.89999999999998"/>
    <n v="509.25"/>
    <n v="28.17"/>
    <n v="3.7650999999999999"/>
  </r>
  <r>
    <x v="11"/>
    <x v="7"/>
    <d v="2015-10-08T00:00:00"/>
    <n v="391.25"/>
    <n v="881.25"/>
    <n v="303.8"/>
    <n v="511.5"/>
    <n v="28.17"/>
    <n v="3.7831999999999999"/>
  </r>
  <r>
    <x v="11"/>
    <x v="7"/>
    <d v="2015-10-07T00:00:00"/>
    <n v="395.75"/>
    <n v="891"/>
    <n v="305.2"/>
    <n v="516.75"/>
    <n v="28.42"/>
    <n v="3.8826000000000001"/>
  </r>
  <r>
    <x v="11"/>
    <x v="7"/>
    <d v="2015-10-06T00:00:00"/>
    <n v="398.25"/>
    <n v="888"/>
    <n v="301.8"/>
    <n v="526.25"/>
    <n v="28.51"/>
    <n v="3.8534000000000002"/>
  </r>
  <r>
    <x v="11"/>
    <x v="7"/>
    <d v="2015-10-05T00:00:00"/>
    <n v="393.5"/>
    <n v="884.25"/>
    <n v="301"/>
    <n v="515.5"/>
    <n v="28.48"/>
    <n v="3.9117999999999999"/>
  </r>
  <r>
    <x v="11"/>
    <x v="7"/>
    <d v="2015-10-02T00:00:00"/>
    <n v="389.25"/>
    <n v="874.25"/>
    <n v="298.5"/>
    <n v="513.25"/>
    <n v="27.84"/>
    <n v="3.9316"/>
  </r>
  <r>
    <x v="11"/>
    <x v="7"/>
    <d v="2015-10-01T00:00:00"/>
    <n v="388.75"/>
    <n v="877.25"/>
    <n v="302.60000000000002"/>
    <n v="518.25"/>
    <n v="27.09"/>
    <n v="4.0091999999999999"/>
  </r>
  <r>
    <x v="11"/>
    <x v="8"/>
    <d v="2015-09-30T00:00:00"/>
    <n v="387.75"/>
    <n v="892"/>
    <n v="308.3"/>
    <n v="512.75"/>
    <n v="27.1"/>
    <n v="3.9478"/>
  </r>
  <r>
    <x v="11"/>
    <x v="8"/>
    <d v="2015-09-29T00:00:00"/>
    <n v="389"/>
    <n v="884.25"/>
    <n v="305.7"/>
    <n v="503.75"/>
    <n v="27.46"/>
    <n v="4.0618999999999996"/>
  </r>
  <r>
    <x v="11"/>
    <x v="8"/>
    <d v="2015-09-28T00:00:00"/>
    <n v="386.75"/>
    <n v="876.75"/>
    <n v="304.7"/>
    <n v="505.5"/>
    <n v="27.18"/>
    <n v="4.1067999999999998"/>
  </r>
  <r>
    <x v="11"/>
    <x v="8"/>
    <d v="2015-09-25T00:00:00"/>
    <n v="389"/>
    <n v="889.25"/>
    <n v="308.7"/>
    <n v="507.75"/>
    <n v="27.72"/>
    <n v="3.9767999999999999"/>
  </r>
  <r>
    <x v="11"/>
    <x v="8"/>
    <d v="2015-09-24T00:00:00"/>
    <n v="381.5"/>
    <n v="868"/>
    <n v="302.39999999999998"/>
    <n v="497.25"/>
    <n v="26.98"/>
    <n v="3.9363000000000001"/>
  </r>
  <r>
    <x v="11"/>
    <x v="8"/>
    <d v="2015-09-23T00:00:00"/>
    <n v="383.25"/>
    <n v="863.75"/>
    <n v="303.10000000000002"/>
    <n v="507.5"/>
    <n v="26.33"/>
    <n v="4.1775000000000002"/>
  </r>
  <r>
    <x v="11"/>
    <x v="8"/>
    <d v="2015-09-22T00:00:00"/>
    <n v="380.5"/>
    <n v="861.75"/>
    <n v="304.89999999999998"/>
    <n v="495.5"/>
    <n v="26.13"/>
    <n v="4.0487000000000002"/>
  </r>
  <r>
    <x v="11"/>
    <x v="8"/>
    <d v="2015-09-21T00:00:00"/>
    <n v="384.5"/>
    <n v="874.25"/>
    <n v="309.60000000000002"/>
    <n v="496.75"/>
    <n v="26.5"/>
    <n v="3.9853999999999998"/>
  </r>
  <r>
    <x v="11"/>
    <x v="8"/>
    <d v="2015-09-18T00:00:00"/>
    <n v="377.25"/>
    <n v="867.25"/>
    <n v="309"/>
    <n v="486.75"/>
    <n v="26.05"/>
    <n v="3.9445000000000001"/>
  </r>
  <r>
    <x v="11"/>
    <x v="8"/>
    <d v="2015-09-17T00:00:00"/>
    <n v="379.75"/>
    <n v="884.5"/>
    <n v="313.2"/>
    <n v="481.5"/>
    <n v="26.67"/>
    <n v="3.8976000000000002"/>
  </r>
  <r>
    <x v="11"/>
    <x v="8"/>
    <d v="2015-09-16T00:00:00"/>
    <n v="386"/>
    <n v="887.25"/>
    <n v="316.3"/>
    <n v="488.25"/>
    <n v="26.68"/>
    <n v="3.8277000000000001"/>
  </r>
  <r>
    <x v="11"/>
    <x v="8"/>
    <d v="2015-09-15T00:00:00"/>
    <n v="390.5"/>
    <n v="889"/>
    <n v="318.60000000000002"/>
    <n v="494.75"/>
    <n v="26.47"/>
    <n v="3.863"/>
  </r>
  <r>
    <x v="11"/>
    <x v="8"/>
    <d v="2015-09-14T00:00:00"/>
    <n v="379"/>
    <n v="882.75"/>
    <n v="312.7"/>
    <n v="485.75"/>
    <n v="26.89"/>
    <n v="3.8138999999999998"/>
  </r>
  <r>
    <x v="11"/>
    <x v="8"/>
    <d v="2015-09-11T00:00:00"/>
    <n v="374.5"/>
    <n v="887.75"/>
    <n v="314.10000000000002"/>
    <n v="475.5"/>
    <n v="26.58"/>
    <n v="3.87"/>
  </r>
  <r>
    <x v="11"/>
    <x v="8"/>
    <d v="2015-09-10T00:00:00"/>
    <n v="361.75"/>
    <n v="884.5"/>
    <n v="311.39999999999998"/>
    <n v="468"/>
    <n v="26.87"/>
    <n v="3.8491"/>
  </r>
  <r>
    <x v="11"/>
    <x v="8"/>
    <d v="2015-09-09T00:00:00"/>
    <n v="356.5"/>
    <n v="882.75"/>
    <n v="312.5"/>
    <n v="462"/>
    <n v="26.6"/>
    <n v="3.7778"/>
  </r>
  <r>
    <x v="11"/>
    <x v="8"/>
    <d v="2015-09-08T00:00:00"/>
    <n v="355"/>
    <n v="890.75"/>
    <n v="312"/>
    <n v="465.25"/>
    <n v="26.85"/>
    <n v="3.8184999999999998"/>
  </r>
  <r>
    <x v="11"/>
    <x v="8"/>
    <d v="2015-09-07T00:00:00"/>
    <m/>
    <m/>
    <m/>
    <m/>
    <m/>
    <n v="3.8372000000000002"/>
  </r>
  <r>
    <x v="11"/>
    <x v="8"/>
    <d v="2015-09-04T00:00:00"/>
    <n v="349.5"/>
    <n v="877.25"/>
    <n v="313.89999999999998"/>
    <n v="457.75"/>
    <n v="26.44"/>
    <n v="3.8439000000000001"/>
  </r>
  <r>
    <x v="11"/>
    <x v="8"/>
    <d v="2015-09-03T00:00:00"/>
    <n v="347.75"/>
    <n v="879.75"/>
    <n v="316.5"/>
    <n v="456.5"/>
    <n v="26.76"/>
    <n v="3.7376999999999998"/>
  </r>
  <r>
    <x v="11"/>
    <x v="8"/>
    <d v="2015-09-02T00:00:00"/>
    <n v="354"/>
    <n v="883.75"/>
    <n v="318.10000000000002"/>
    <n v="473"/>
    <n v="26.76"/>
    <n v="3.7587999999999999"/>
  </r>
  <r>
    <x v="11"/>
    <x v="8"/>
    <d v="2015-09-01T00:00:00"/>
    <n v="356"/>
    <n v="884.75"/>
    <n v="317.89999999999998"/>
    <n v="484"/>
    <n v="27.22"/>
    <n v="3.7016"/>
  </r>
  <r>
    <x v="11"/>
    <x v="9"/>
    <d v="2015-08-31T00:00:00"/>
    <n v="363.75"/>
    <n v="897.5"/>
    <n v="320.89999999999998"/>
    <n v="482.5"/>
    <n v="27.92"/>
    <n v="3.6187"/>
  </r>
  <r>
    <x v="11"/>
    <x v="9"/>
    <d v="2015-08-28T00:00:00"/>
    <n v="363.25"/>
    <n v="893.25"/>
    <n v="321.39999999999998"/>
    <n v="477"/>
    <n v="27.79"/>
    <n v="3.5808"/>
  </r>
  <r>
    <x v="11"/>
    <x v="9"/>
    <d v="2015-08-27T00:00:00"/>
    <n v="363.75"/>
    <n v="886.25"/>
    <n v="322.89999999999998"/>
    <n v="484.25"/>
    <n v="26.89"/>
    <n v="3.5506000000000002"/>
  </r>
  <r>
    <x v="11"/>
    <x v="9"/>
    <d v="2015-08-26T00:00:00"/>
    <n v="361.75"/>
    <n v="877.75"/>
    <n v="324.39999999999998"/>
    <n v="489.75"/>
    <n v="26.12"/>
    <n v="3.5952000000000002"/>
  </r>
  <r>
    <x v="11"/>
    <x v="9"/>
    <d v="2015-08-25T00:00:00"/>
    <n v="365.5"/>
    <n v="894.25"/>
    <n v="327.60000000000002"/>
    <n v="495"/>
    <n v="26.82"/>
    <n v="3.6172"/>
  </r>
  <r>
    <x v="11"/>
    <x v="9"/>
    <d v="2015-08-24T00:00:00"/>
    <n v="368.75"/>
    <n v="892.75"/>
    <n v="326.39999999999998"/>
    <n v="503.25"/>
    <n v="26.55"/>
    <n v="3.5531000000000001"/>
  </r>
  <r>
    <x v="11"/>
    <x v="9"/>
    <d v="2015-08-21T00:00:00"/>
    <n v="365.25"/>
    <n v="905.25"/>
    <n v="326.89999999999998"/>
    <n v="499.5"/>
    <n v="27.36"/>
    <n v="3.4992999999999999"/>
  </r>
  <r>
    <x v="11"/>
    <x v="9"/>
    <d v="2015-08-20T00:00:00"/>
    <n v="371"/>
    <n v="921.5"/>
    <n v="330.9"/>
    <n v="506.25"/>
    <n v="27.98"/>
    <n v="3.4559000000000002"/>
  </r>
  <r>
    <x v="11"/>
    <x v="9"/>
    <d v="2015-08-19T00:00:00"/>
    <n v="367.25"/>
    <n v="903.5"/>
    <n v="324"/>
    <n v="496.25"/>
    <n v="27.89"/>
    <n v="3.4923999999999999"/>
  </r>
  <r>
    <x v="11"/>
    <x v="9"/>
    <d v="2015-08-18T00:00:00"/>
    <n v="366.25"/>
    <n v="913.25"/>
    <n v="324.60000000000002"/>
    <n v="494.25"/>
    <n v="28.32"/>
    <n v="3.4678"/>
  </r>
  <r>
    <x v="11"/>
    <x v="9"/>
    <d v="2015-08-17T00:00:00"/>
    <n v="363.25"/>
    <n v="927"/>
    <n v="325.39999999999998"/>
    <n v="500.5"/>
    <n v="29.06"/>
    <n v="3.4796999999999998"/>
  </r>
  <r>
    <x v="11"/>
    <x v="9"/>
    <d v="2015-08-14T00:00:00"/>
    <n v="364"/>
    <n v="978.5"/>
    <n v="330.9"/>
    <n v="506.5"/>
    <n v="28.78"/>
    <n v="3.4834000000000001"/>
  </r>
  <r>
    <x v="11"/>
    <x v="9"/>
    <d v="2015-08-13T00:00:00"/>
    <n v="363.75"/>
    <n v="993"/>
    <n v="344.1"/>
    <n v="503.25"/>
    <n v="28.91"/>
    <n v="3.5181"/>
  </r>
  <r>
    <x v="11"/>
    <x v="9"/>
    <d v="2015-08-12T00:00:00"/>
    <n v="357.25"/>
    <n v="951"/>
    <n v="335.9"/>
    <n v="492.25"/>
    <n v="29.03"/>
    <n v="3.4803999999999999"/>
  </r>
  <r>
    <x v="11"/>
    <x v="9"/>
    <d v="2015-08-11T00:00:00"/>
    <n v="376.5"/>
    <n v="1014"/>
    <n v="347.9"/>
    <n v="507.25"/>
    <n v="30.08"/>
    <n v="3.4744000000000002"/>
  </r>
  <r>
    <x v="11"/>
    <x v="9"/>
    <d v="2015-08-10T00:00:00"/>
    <n v="390.25"/>
    <n v="1044.75"/>
    <n v="362.5"/>
    <n v="525.5"/>
    <n v="30.41"/>
    <n v="3.4340999999999999"/>
  </r>
  <r>
    <x v="11"/>
    <x v="9"/>
    <d v="2015-08-07T00:00:00"/>
    <n v="372.75"/>
    <n v="1009"/>
    <n v="352.6"/>
    <n v="510.5"/>
    <n v="30.03"/>
    <n v="3.5057"/>
  </r>
  <r>
    <x v="11"/>
    <x v="9"/>
    <d v="2015-08-06T00:00:00"/>
    <n v="369.75"/>
    <n v="985.5"/>
    <n v="350.1"/>
    <n v="507"/>
    <n v="29.66"/>
    <n v="3.5347"/>
  </r>
  <r>
    <x v="11"/>
    <x v="9"/>
    <d v="2015-08-05T00:00:00"/>
    <n v="372.75"/>
    <n v="991.75"/>
    <n v="355.1"/>
    <n v="502"/>
    <n v="29.63"/>
    <n v="3.4855"/>
  </r>
  <r>
    <x v="11"/>
    <x v="9"/>
    <d v="2015-08-04T00:00:00"/>
    <n v="368.75"/>
    <n v="976"/>
    <n v="350.7"/>
    <n v="493.5"/>
    <n v="29.83"/>
    <n v="3.4702000000000002"/>
  </r>
  <r>
    <x v="11"/>
    <x v="9"/>
    <d v="2015-08-03T00:00:00"/>
    <n v="366.5"/>
    <n v="977.5"/>
    <n v="351.4"/>
    <n v="499"/>
    <n v="29.85"/>
    <n v="3.4510999999999998"/>
  </r>
  <r>
    <x v="11"/>
    <x v="10"/>
    <d v="2015-07-31T00:00:00"/>
    <n v="371"/>
    <n v="980.75"/>
    <n v="354.6"/>
    <n v="499.25"/>
    <n v="29.98"/>
    <n v="3.4203999999999999"/>
  </r>
  <r>
    <x v="11"/>
    <x v="10"/>
    <d v="2015-07-30T00:00:00"/>
    <n v="373.25"/>
    <n v="990.25"/>
    <n v="357.1"/>
    <n v="496.5"/>
    <n v="30.28"/>
    <n v="3.3704999999999998"/>
  </r>
  <r>
    <x v="11"/>
    <x v="10"/>
    <d v="2015-07-29T00:00:00"/>
    <n v="367.75"/>
    <n v="983"/>
    <n v="350"/>
    <n v="496.25"/>
    <n v="30.21"/>
    <n v="3.3298000000000001"/>
  </r>
  <r>
    <x v="11"/>
    <x v="10"/>
    <d v="2015-07-28T00:00:00"/>
    <n v="375"/>
    <n v="974.75"/>
    <n v="345.2"/>
    <n v="510.75"/>
    <n v="30.66"/>
    <n v="3.3573"/>
  </r>
  <r>
    <x v="11"/>
    <x v="10"/>
    <d v="2015-07-27T00:00:00"/>
    <n v="373"/>
    <n v="961.25"/>
    <n v="344.2"/>
    <n v="502.5"/>
    <n v="30.11"/>
    <n v="3.3635000000000002"/>
  </r>
  <r>
    <x v="11"/>
    <x v="10"/>
    <d v="2015-07-24T00:00:00"/>
    <n v="392.5"/>
    <n v="991.25"/>
    <n v="354.8"/>
    <n v="511.75"/>
    <n v="30.48"/>
    <n v="3.3544"/>
  </r>
  <r>
    <x v="11"/>
    <x v="10"/>
    <d v="2015-07-23T00:00:00"/>
    <n v="403.25"/>
    <n v="1010"/>
    <n v="359"/>
    <n v="521.5"/>
    <n v="31.19"/>
    <n v="3.2848999999999999"/>
  </r>
  <r>
    <x v="11"/>
    <x v="10"/>
    <d v="2015-07-22T00:00:00"/>
    <n v="402.75"/>
    <n v="1020.75"/>
    <n v="363.5"/>
    <n v="516.75"/>
    <n v="31.35"/>
    <n v="3.2227999999999999"/>
  </r>
  <r>
    <x v="11"/>
    <x v="10"/>
    <d v="2015-07-21T00:00:00"/>
    <n v="406.5"/>
    <n v="1018.75"/>
    <n v="359.9"/>
    <n v="524.75"/>
    <n v="31.93"/>
    <n v="3.1709999999999998"/>
  </r>
  <r>
    <x v="11"/>
    <x v="10"/>
    <d v="2015-07-20T00:00:00"/>
    <n v="405"/>
    <n v="1007.75"/>
    <n v="356"/>
    <n v="532.75"/>
    <n v="31.68"/>
    <n v="3.1977000000000002"/>
  </r>
  <r>
    <x v="11"/>
    <x v="10"/>
    <d v="2015-07-17T00:00:00"/>
    <n v="420.25"/>
    <n v="1014.75"/>
    <n v="361.1"/>
    <n v="554"/>
    <n v="31.78"/>
    <n v="3.1873"/>
  </r>
  <r>
    <x v="11"/>
    <x v="10"/>
    <d v="2015-07-16T00:00:00"/>
    <n v="430"/>
    <n v="1019"/>
    <n v="363.6"/>
    <n v="562.25"/>
    <n v="31.46"/>
    <n v="3.1579999999999999"/>
  </r>
  <r>
    <x v="11"/>
    <x v="10"/>
    <d v="2015-07-15T00:00:00"/>
    <n v="429.5"/>
    <n v="1025"/>
    <n v="362.2"/>
    <n v="566.75"/>
    <n v="31.65"/>
    <n v="3.1385000000000001"/>
  </r>
  <r>
    <x v="11"/>
    <x v="10"/>
    <d v="2015-07-14T00:00:00"/>
    <n v="424"/>
    <n v="1039"/>
    <n v="374.8"/>
    <n v="583.5"/>
    <n v="32.32"/>
    <n v="3.1389"/>
  </r>
  <r>
    <x v="11"/>
    <x v="10"/>
    <d v="2015-07-13T00:00:00"/>
    <n v="433.5"/>
    <n v="1045.25"/>
    <n v="368"/>
    <n v="586.75"/>
    <n v="32.65"/>
    <n v="3.1335000000000002"/>
  </r>
  <r>
    <x v="11"/>
    <x v="10"/>
    <d v="2015-07-10T00:00:00"/>
    <n v="427.25"/>
    <n v="1043.5"/>
    <n v="366"/>
    <n v="581.5"/>
    <n v="32.31"/>
    <n v="3.1583000000000001"/>
  </r>
  <r>
    <x v="11"/>
    <x v="10"/>
    <d v="2015-07-09T00:00:00"/>
    <n v="421.25"/>
    <n v="1037.75"/>
    <n v="364"/>
    <n v="572.25"/>
    <n v="32.270000000000003"/>
    <n v="3.2187999999999999"/>
  </r>
  <r>
    <x v="11"/>
    <x v="10"/>
    <d v="2015-07-08T00:00:00"/>
    <n v="416.25"/>
    <n v="1006.25"/>
    <n v="350.8"/>
    <n v="572.25"/>
    <n v="31.6"/>
    <n v="3.2334999999999998"/>
  </r>
  <r>
    <x v="11"/>
    <x v="10"/>
    <d v="2015-07-07T00:00:00"/>
    <n v="415.75"/>
    <n v="1002"/>
    <n v="349.9"/>
    <n v="579.5"/>
    <n v="31.41"/>
    <n v="3.1863000000000001"/>
  </r>
  <r>
    <x v="11"/>
    <x v="10"/>
    <d v="2015-07-06T00:00:00"/>
    <n v="418.5"/>
    <n v="1033.75"/>
    <n v="354.4"/>
    <n v="588.5"/>
    <n v="32.64"/>
    <n v="3.1387"/>
  </r>
  <r>
    <x v="11"/>
    <x v="10"/>
    <d v="2015-07-03T00:00:00"/>
    <m/>
    <m/>
    <m/>
    <m/>
    <m/>
    <n v="3.1339999999999999"/>
  </r>
  <r>
    <x v="11"/>
    <x v="10"/>
    <d v="2015-07-02T00:00:00"/>
    <n v="419.75"/>
    <n v="1045.25"/>
    <n v="357.4"/>
    <n v="585.75"/>
    <n v="33.36"/>
    <n v="3.0952000000000002"/>
  </r>
  <r>
    <x v="11"/>
    <x v="10"/>
    <d v="2015-07-01T00:00:00"/>
    <n v="413.75"/>
    <n v="1044"/>
    <n v="359.8"/>
    <n v="587.5"/>
    <n v="33.01"/>
    <n v="3.1484999999999999"/>
  </r>
  <r>
    <x v="11"/>
    <x v="11"/>
    <d v="2015-06-30T00:00:00"/>
    <n v="414"/>
    <n v="1056.25"/>
    <n v="359.5"/>
    <n v="614.75"/>
    <n v="33.56"/>
    <n v="3.1019999999999999"/>
  </r>
  <r>
    <x v="11"/>
    <x v="11"/>
    <d v="2015-06-29T00:00:00"/>
    <n v="383.25"/>
    <n v="1002.5"/>
    <n v="341.9"/>
    <n v="580.5"/>
    <n v="33.049999999999997"/>
    <n v="3.1175000000000002"/>
  </r>
  <r>
    <x v="11"/>
    <x v="11"/>
    <d v="2015-06-26T00:00:00"/>
    <n v="385"/>
    <n v="1002"/>
    <n v="341.3"/>
    <n v="562.25"/>
    <n v="33.22"/>
    <n v="3.1288999999999998"/>
  </r>
  <r>
    <x v="11"/>
    <x v="11"/>
    <d v="2015-06-25T00:00:00"/>
    <n v="376.5"/>
    <n v="1000.25"/>
    <n v="336.7"/>
    <n v="532"/>
    <n v="33.36"/>
    <n v="3.1269"/>
  </r>
  <r>
    <x v="11"/>
    <x v="11"/>
    <d v="2015-06-24T00:00:00"/>
    <n v="366.5"/>
    <n v="981.75"/>
    <n v="328"/>
    <n v="518"/>
    <n v="33.270000000000003"/>
    <n v="3.0968"/>
  </r>
  <r>
    <x v="11"/>
    <x v="11"/>
    <d v="2015-06-23T00:00:00"/>
    <n v="367.5"/>
    <n v="987.5"/>
    <n v="331.9"/>
    <n v="521.5"/>
    <n v="32.82"/>
    <n v="3.0748000000000002"/>
  </r>
  <r>
    <x v="11"/>
    <x v="11"/>
    <d v="2015-06-22T00:00:00"/>
    <n v="360"/>
    <n v="989.5"/>
    <n v="333.6"/>
    <n v="501.25"/>
    <n v="32.92"/>
    <n v="3.0798999999999999"/>
  </r>
  <r>
    <x v="11"/>
    <x v="11"/>
    <d v="2015-06-19T00:00:00"/>
    <n v="353.25"/>
    <n v="971.5"/>
    <n v="323.10000000000002"/>
    <n v="488.5"/>
    <n v="32.549999999999997"/>
    <n v="3.0962999999999998"/>
  </r>
  <r>
    <x v="11"/>
    <x v="11"/>
    <d v="2015-06-18T00:00:00"/>
    <n v="358"/>
    <n v="977.75"/>
    <n v="326.60000000000002"/>
    <n v="488"/>
    <n v="32.25"/>
    <n v="3.0592999999999999"/>
  </r>
  <r>
    <x v="11"/>
    <x v="11"/>
    <d v="2015-06-17T00:00:00"/>
    <n v="359.25"/>
    <n v="969"/>
    <n v="323.7"/>
    <n v="491.25"/>
    <n v="32.85"/>
    <n v="3.0564"/>
  </r>
  <r>
    <x v="11"/>
    <x v="11"/>
    <d v="2015-06-16T00:00:00"/>
    <n v="354"/>
    <n v="957.5"/>
    <n v="320.8"/>
    <n v="488.75"/>
    <n v="32.9"/>
    <n v="3.0874000000000001"/>
  </r>
  <r>
    <x v="11"/>
    <x v="11"/>
    <d v="2015-06-15T00:00:00"/>
    <n v="348.25"/>
    <n v="937.75"/>
    <n v="313.2"/>
    <n v="489.25"/>
    <n v="32.69"/>
    <n v="3.1295999999999999"/>
  </r>
  <r>
    <x v="11"/>
    <x v="11"/>
    <d v="2015-06-12T00:00:00"/>
    <n v="353"/>
    <n v="940"/>
    <n v="317.39999999999998"/>
    <n v="503.75"/>
    <n v="33.14"/>
    <n v="3.117"/>
  </r>
  <r>
    <x v="11"/>
    <x v="11"/>
    <d v="2015-06-11T00:00:00"/>
    <n v="356.5"/>
    <n v="940"/>
    <n v="313.39999999999998"/>
    <n v="504.25"/>
    <n v="33.29"/>
    <n v="3.0893000000000002"/>
  </r>
  <r>
    <x v="11"/>
    <x v="11"/>
    <d v="2015-06-10T00:00:00"/>
    <n v="357.25"/>
    <n v="949.5"/>
    <n v="314.39999999999998"/>
    <n v="513.5"/>
    <n v="33.869999999999997"/>
    <n v="3.1172"/>
  </r>
  <r>
    <x v="11"/>
    <x v="11"/>
    <d v="2015-06-09T00:00:00"/>
    <n v="365"/>
    <n v="951.5"/>
    <n v="316.5"/>
    <n v="532.25"/>
    <n v="33.93"/>
    <n v="3.0960000000000001"/>
  </r>
  <r>
    <x v="11"/>
    <x v="11"/>
    <d v="2015-06-08T00:00:00"/>
    <n v="365.25"/>
    <n v="944.25"/>
    <n v="309.5"/>
    <n v="528"/>
    <n v="34.1"/>
    <n v="3.1124000000000001"/>
  </r>
  <r>
    <x v="11"/>
    <x v="11"/>
    <d v="2015-06-05T00:00:00"/>
    <n v="360.5"/>
    <n v="937.75"/>
    <n v="304.89999999999998"/>
    <n v="517"/>
    <n v="34.78"/>
    <n v="3.1433"/>
  </r>
  <r>
    <x v="11"/>
    <x v="11"/>
    <d v="2015-06-04T00:00:00"/>
    <n v="363.5"/>
    <n v="946.5"/>
    <n v="305.7"/>
    <n v="523.75"/>
    <n v="34.53"/>
    <n v="3.1402999999999999"/>
  </r>
  <r>
    <x v="11"/>
    <x v="11"/>
    <d v="2015-06-03T00:00:00"/>
    <n v="359"/>
    <n v="935.25"/>
    <n v="302.7"/>
    <n v="510.75"/>
    <n v="34.729999999999997"/>
    <n v="3.1335999999999999"/>
  </r>
  <r>
    <x v="11"/>
    <x v="11"/>
    <d v="2015-06-02T00:00:00"/>
    <n v="359"/>
    <n v="940.75"/>
    <n v="301.8"/>
    <n v="512.5"/>
    <n v="34.17"/>
    <n v="3.1295999999999999"/>
  </r>
  <r>
    <x v="11"/>
    <x v="11"/>
    <d v="2015-06-01T00:00:00"/>
    <n v="352.25"/>
    <n v="926"/>
    <n v="296.60000000000002"/>
    <n v="493.75"/>
    <n v="34.51"/>
    <n v="3.1703000000000001"/>
  </r>
  <r>
    <x v="11"/>
    <x v="0"/>
    <d v="2015-05-29T00:00:00"/>
    <n v="351.5"/>
    <n v="934"/>
    <n v="305.7"/>
    <n v="477"/>
    <n v="33.33"/>
    <n v="3.1787999999999998"/>
  </r>
  <r>
    <x v="11"/>
    <x v="0"/>
    <d v="2015-05-28T00:00:00"/>
    <n v="353.5"/>
    <n v="926"/>
    <n v="304.8"/>
    <n v="488.75"/>
    <n v="32.06"/>
    <n v="3.1621000000000001"/>
  </r>
  <r>
    <x v="11"/>
    <x v="0"/>
    <d v="2015-05-27T00:00:00"/>
    <n v="349.5"/>
    <n v="927"/>
    <n v="308.10000000000002"/>
    <n v="487.75"/>
    <n v="31.73"/>
    <n v="3.1394000000000002"/>
  </r>
  <r>
    <x v="11"/>
    <x v="0"/>
    <d v="2015-05-26T00:00:00"/>
    <n v="355"/>
    <n v="922.5"/>
    <n v="301.89999999999998"/>
    <n v="493.5"/>
    <n v="32.14"/>
    <n v="3.153"/>
  </r>
  <r>
    <x v="11"/>
    <x v="0"/>
    <d v="2015-05-25T00:00:00"/>
    <m/>
    <m/>
    <m/>
    <m/>
    <m/>
    <n v="3.0956999999999999"/>
  </r>
  <r>
    <x v="11"/>
    <x v="0"/>
    <d v="2015-05-22T00:00:00"/>
    <n v="360"/>
    <n v="924.25"/>
    <n v="304.2"/>
    <n v="515.25"/>
    <n v="31.64"/>
    <n v="3.0933999999999999"/>
  </r>
  <r>
    <x v="11"/>
    <x v="0"/>
    <d v="2015-05-21T00:00:00"/>
    <n v="365"/>
    <n v="938.5"/>
    <n v="304.10000000000002"/>
    <n v="522"/>
    <n v="32.25"/>
    <n v="3.0375999999999999"/>
  </r>
  <r>
    <x v="11"/>
    <x v="0"/>
    <d v="2015-05-20T00:00:00"/>
    <n v="360"/>
    <n v="941.25"/>
    <n v="304.5"/>
    <n v="513"/>
    <n v="32.200000000000003"/>
    <n v="3.0017"/>
  </r>
  <r>
    <x v="11"/>
    <x v="0"/>
    <d v="2015-05-19T00:00:00"/>
    <n v="362"/>
    <n v="946.25"/>
    <n v="307.10000000000002"/>
    <n v="510.25"/>
    <n v="32.18"/>
    <n v="3.0390999999999999"/>
  </r>
  <r>
    <x v="11"/>
    <x v="0"/>
    <d v="2015-05-18T00:00:00"/>
    <n v="368"/>
    <n v="954.5"/>
    <n v="308"/>
    <n v="521.75"/>
    <n v="32.78"/>
    <n v="3.0062000000000002"/>
  </r>
  <r>
    <x v="11"/>
    <x v="0"/>
    <d v="2015-05-15T00:00:00"/>
    <n v="365.5"/>
    <n v="953.25"/>
    <n v="303.3"/>
    <n v="511"/>
    <n v="33.07"/>
    <n v="2.9956999999999998"/>
  </r>
  <r>
    <x v="11"/>
    <x v="0"/>
    <d v="2015-05-14T00:00:00"/>
    <n v="361"/>
    <n v="963"/>
    <n v="310.60000000000002"/>
    <n v="501.75"/>
    <n v="33"/>
    <n v="2.9929999999999999"/>
  </r>
  <r>
    <x v="11"/>
    <x v="0"/>
    <d v="2015-05-13T00:00:00"/>
    <n v="356"/>
    <n v="975"/>
    <n v="301.7"/>
    <n v="481"/>
    <n v="33.11"/>
    <n v="3.0388999999999999"/>
  </r>
  <r>
    <x v="11"/>
    <x v="0"/>
    <d v="2015-05-12T00:00:00"/>
    <n v="357"/>
    <n v="967"/>
    <n v="302.5"/>
    <n v="479.25"/>
    <n v="32.81"/>
    <n v="3.0192999999999999"/>
  </r>
  <r>
    <x v="11"/>
    <x v="0"/>
    <d v="2015-05-11T00:00:00"/>
    <n v="358.25"/>
    <n v="983"/>
    <n v="312.10000000000002"/>
    <n v="476.25"/>
    <n v="33.04"/>
    <n v="3.06"/>
  </r>
  <r>
    <x v="11"/>
    <x v="0"/>
    <d v="2015-05-08T00:00:00"/>
    <n v="358.5"/>
    <n v="984.5"/>
    <n v="315.2"/>
    <n v="476.5"/>
    <n v="32.799999999999997"/>
    <n v="2.972"/>
  </r>
  <r>
    <x v="11"/>
    <x v="0"/>
    <d v="2015-05-07T00:00:00"/>
    <n v="357.75"/>
    <n v="981.5"/>
    <n v="317.39999999999998"/>
    <n v="465.75"/>
    <n v="32.31"/>
    <n v="3.0245000000000002"/>
  </r>
  <r>
    <x v="11"/>
    <x v="0"/>
    <d v="2015-05-06T00:00:00"/>
    <n v="366.5"/>
    <n v="990.5"/>
    <n v="317.60000000000002"/>
    <n v="475.75"/>
    <n v="32.75"/>
    <n v="3.0320999999999998"/>
  </r>
  <r>
    <x v="11"/>
    <x v="0"/>
    <d v="2015-05-05T00:00:00"/>
    <n v="361.25"/>
    <n v="993.5"/>
    <n v="318.10000000000002"/>
    <n v="464"/>
    <n v="32.880000000000003"/>
    <n v="3.0525000000000002"/>
  </r>
  <r>
    <x v="11"/>
    <x v="0"/>
    <d v="2015-05-04T00:00:00"/>
    <n v="358.75"/>
    <n v="983"/>
    <n v="315.8"/>
    <n v="469.25"/>
    <n v="32.47"/>
    <n v="3.0855000000000001"/>
  </r>
  <r>
    <x v="11"/>
    <x v="0"/>
    <d v="2015-05-01T00:00:00"/>
    <n v="359.75"/>
    <n v="968.5"/>
    <n v="314.7"/>
    <n v="470"/>
    <n v="31.44"/>
    <n v="3.0131000000000001"/>
  </r>
  <r>
    <x v="11"/>
    <x v="1"/>
    <d v="2015-04-30T00:00:00"/>
    <n v="362.5"/>
    <n v="978.5"/>
    <n v="318.89999999999998"/>
    <n v="467"/>
    <n v="31.51"/>
    <n v="3.0139999999999998"/>
  </r>
  <r>
    <x v="11"/>
    <x v="1"/>
    <d v="2015-04-29T00:00:00"/>
    <n v="363.75"/>
    <n v="988.5"/>
    <n v="324.2"/>
    <n v="477.25"/>
    <n v="31.47"/>
    <n v="2.9597000000000002"/>
  </r>
  <r>
    <x v="11"/>
    <x v="1"/>
    <d v="2015-04-28T00:00:00"/>
    <n v="361"/>
    <n v="977.5"/>
    <n v="318.7"/>
    <n v="471.5"/>
    <n v="31.23"/>
    <n v="2.9359999999999999"/>
  </r>
  <r>
    <x v="11"/>
    <x v="1"/>
    <d v="2015-04-27T00:00:00"/>
    <n v="360.75"/>
    <n v="973"/>
    <n v="315.10000000000002"/>
    <n v="470.25"/>
    <n v="31.66"/>
    <n v="2.9159999999999999"/>
  </r>
  <r>
    <x v="11"/>
    <x v="1"/>
    <d v="2015-04-24T00:00:00"/>
    <n v="364.5"/>
    <n v="969.75"/>
    <n v="314.60000000000002"/>
    <n v="486"/>
    <n v="31.67"/>
    <n v="2.9510999999999998"/>
  </r>
  <r>
    <x v="11"/>
    <x v="1"/>
    <d v="2015-04-23T00:00:00"/>
    <n v="370.75"/>
    <n v="978.25"/>
    <n v="316.60000000000002"/>
    <n v="497.75"/>
    <n v="32.020000000000003"/>
    <n v="2.9697"/>
  </r>
  <r>
    <x v="11"/>
    <x v="1"/>
    <d v="2015-04-22T00:00:00"/>
    <n v="372.5"/>
    <n v="970.5"/>
    <n v="315.5"/>
    <n v="498.75"/>
    <n v="31.56"/>
    <n v="3.0097999999999998"/>
  </r>
  <r>
    <x v="11"/>
    <x v="1"/>
    <d v="2015-04-21T00:00:00"/>
    <n v="373"/>
    <n v="975.25"/>
    <n v="315.8"/>
    <n v="500.75"/>
    <n v="31.82"/>
    <n v="3.0335000000000001"/>
  </r>
  <r>
    <x v="11"/>
    <x v="1"/>
    <d v="2015-04-20T00:00:00"/>
    <n v="378"/>
    <n v="977.5"/>
    <n v="318.5"/>
    <n v="498.75"/>
    <n v="31.59"/>
    <n v="3.032"/>
  </r>
  <r>
    <x v="11"/>
    <x v="1"/>
    <d v="2015-04-17T00:00:00"/>
    <n v="379.75"/>
    <n v="968.75"/>
    <n v="315"/>
    <n v="494.5"/>
    <n v="31.52"/>
    <n v="3.0404"/>
  </r>
  <r>
    <x v="11"/>
    <x v="1"/>
    <d v="2015-04-16T00:00:00"/>
    <n v="376.25"/>
    <n v="966"/>
    <n v="312.39999999999998"/>
    <n v="494.5"/>
    <n v="31.76"/>
    <n v="3.0217000000000001"/>
  </r>
  <r>
    <x v="11"/>
    <x v="1"/>
    <d v="2015-04-15T00:00:00"/>
    <n v="376"/>
    <n v="965"/>
    <n v="311.5"/>
    <n v="490.75"/>
    <n v="31.8"/>
    <n v="3.0283000000000002"/>
  </r>
  <r>
    <x v="11"/>
    <x v="1"/>
    <d v="2015-04-14T00:00:00"/>
    <n v="373.5"/>
    <n v="960.25"/>
    <n v="313.60000000000002"/>
    <n v="497"/>
    <n v="31.3"/>
    <n v="3.0623"/>
  </r>
  <r>
    <x v="11"/>
    <x v="1"/>
    <d v="2015-04-13T00:00:00"/>
    <n v="370.5"/>
    <n v="948.75"/>
    <n v="308.8"/>
    <n v="502.25"/>
    <n v="31.04"/>
    <n v="3.1204999999999998"/>
  </r>
  <r>
    <x v="11"/>
    <x v="1"/>
    <d v="2015-04-10T00:00:00"/>
    <n v="377"/>
    <n v="951.5"/>
    <n v="309.2"/>
    <n v="526.5"/>
    <n v="31.09"/>
    <n v="3.0745"/>
  </r>
  <r>
    <x v="11"/>
    <x v="1"/>
    <d v="2015-04-09T00:00:00"/>
    <n v="378"/>
    <n v="953.5"/>
    <n v="312.10000000000002"/>
    <n v="518.75"/>
    <n v="30.84"/>
    <n v="3.0585"/>
  </r>
  <r>
    <x v="11"/>
    <x v="1"/>
    <d v="2015-04-08T00:00:00"/>
    <n v="379.25"/>
    <n v="971.5"/>
    <n v="319.89999999999998"/>
    <n v="526.25"/>
    <n v="30.95"/>
    <n v="3.0487000000000002"/>
  </r>
  <r>
    <x v="11"/>
    <x v="1"/>
    <d v="2015-04-07T00:00:00"/>
    <n v="383"/>
    <n v="971"/>
    <n v="319.7"/>
    <n v="526"/>
    <n v="31.03"/>
    <n v="3.1274999999999999"/>
  </r>
  <r>
    <x v="11"/>
    <x v="1"/>
    <d v="2015-04-06T00:00:00"/>
    <n v="385"/>
    <n v="978.5"/>
    <n v="323"/>
    <n v="527.75"/>
    <n v="31.26"/>
    <n v="3.1261000000000001"/>
  </r>
  <r>
    <x v="11"/>
    <x v="1"/>
    <d v="2015-04-03T00:00:00"/>
    <n v="386.5"/>
    <n v="986"/>
    <n v="327.3"/>
    <n v="536.25"/>
    <n v="31.04"/>
    <n v="3.12"/>
  </r>
  <r>
    <x v="11"/>
    <x v="1"/>
    <d v="2015-04-02T00:00:00"/>
    <n v="386.5"/>
    <n v="986"/>
    <n v="327.3"/>
    <n v="536.25"/>
    <n v="31.04"/>
    <n v="3.1193"/>
  </r>
  <r>
    <x v="11"/>
    <x v="1"/>
    <d v="2015-04-01T00:00:00"/>
    <n v="381.75"/>
    <n v="989.75"/>
    <n v="331.9"/>
    <n v="528.5"/>
    <n v="30.69"/>
    <n v="3.1646999999999998"/>
  </r>
  <r>
    <x v="11"/>
    <x v="2"/>
    <d v="2015-03-31T00:00:00"/>
    <n v="376.25"/>
    <n v="973.25"/>
    <n v="326.8"/>
    <n v="511.75"/>
    <n v="30.39"/>
    <n v="3.1947000000000001"/>
  </r>
  <r>
    <x v="11"/>
    <x v="2"/>
    <d v="2015-03-30T00:00:00"/>
    <n v="394.5"/>
    <n v="967.75"/>
    <n v="323.2"/>
    <n v="530.25"/>
    <n v="30.49"/>
    <n v="3.2292000000000001"/>
  </r>
  <r>
    <x v="11"/>
    <x v="2"/>
    <d v="2015-03-27T00:00:00"/>
    <n v="391"/>
    <n v="967.25"/>
    <n v="321.39999999999998"/>
    <n v="507.75"/>
    <n v="30.6"/>
    <n v="3.2488000000000001"/>
  </r>
  <r>
    <x v="11"/>
    <x v="2"/>
    <d v="2015-03-26T00:00:00"/>
    <n v="391.25"/>
    <n v="974.5"/>
    <n v="322.39999999999998"/>
    <n v="499.25"/>
    <n v="31.17"/>
    <n v="3.1821999999999999"/>
  </r>
  <r>
    <x v="11"/>
    <x v="2"/>
    <d v="2015-03-25T00:00:00"/>
    <n v="395"/>
    <n v="978.75"/>
    <n v="324.5"/>
    <n v="519"/>
    <n v="31.04"/>
    <n v="3.2002000000000002"/>
  </r>
  <r>
    <x v="11"/>
    <x v="2"/>
    <d v="2015-03-24T00:00:00"/>
    <n v="393.25"/>
    <n v="981.75"/>
    <n v="326.3"/>
    <n v="523.5"/>
    <n v="31.11"/>
    <n v="3.1394000000000002"/>
  </r>
  <r>
    <x v="11"/>
    <x v="2"/>
    <d v="2015-03-23T00:00:00"/>
    <n v="390.25"/>
    <n v="983.5"/>
    <n v="327.3"/>
    <n v="534"/>
    <n v="31.15"/>
    <n v="3.1318999999999999"/>
  </r>
  <r>
    <x v="11"/>
    <x v="2"/>
    <d v="2015-03-20T00:00:00"/>
    <n v="385"/>
    <n v="973.75"/>
    <n v="324"/>
    <n v="530"/>
    <n v="30.68"/>
    <n v="3.2279"/>
  </r>
  <r>
    <x v="11"/>
    <x v="2"/>
    <d v="2015-03-19T00:00:00"/>
    <n v="373.5"/>
    <n v="961.75"/>
    <n v="319.3"/>
    <n v="512"/>
    <n v="30.62"/>
    <n v="3.2915000000000001"/>
  </r>
  <r>
    <x v="11"/>
    <x v="2"/>
    <d v="2015-03-18T00:00:00"/>
    <n v="374.75"/>
    <n v="965"/>
    <n v="320.8"/>
    <n v="510.75"/>
    <n v="30.63"/>
    <n v="3.2084000000000001"/>
  </r>
  <r>
    <x v="11"/>
    <x v="2"/>
    <d v="2015-03-17T00:00:00"/>
    <n v="371"/>
    <n v="954.5"/>
    <n v="317.5"/>
    <n v="503.5"/>
    <n v="30.04"/>
    <n v="3.2391999999999999"/>
  </r>
  <r>
    <x v="11"/>
    <x v="2"/>
    <d v="2015-03-16T00:00:00"/>
    <n v="379"/>
    <n v="969.25"/>
    <n v="323.7"/>
    <n v="514"/>
    <n v="30.39"/>
    <n v="3.2484999999999999"/>
  </r>
  <r>
    <x v="11"/>
    <x v="2"/>
    <d v="2015-03-13T00:00:00"/>
    <n v="374"/>
    <n v="968.25"/>
    <n v="338"/>
    <n v="508.75"/>
    <n v="30.19"/>
    <n v="3.2479"/>
  </r>
  <r>
    <x v="11"/>
    <x v="2"/>
    <d v="2015-03-12T00:00:00"/>
    <n v="382.25"/>
    <n v="986.5"/>
    <n v="343.5"/>
    <n v="513.25"/>
    <n v="30.76"/>
    <n v="3.1646999999999998"/>
  </r>
  <r>
    <x v="11"/>
    <x v="2"/>
    <d v="2015-03-11T00:00:00"/>
    <n v="384"/>
    <n v="989"/>
    <n v="345.7"/>
    <n v="503"/>
    <n v="30.97"/>
    <n v="3.1251000000000002"/>
  </r>
  <r>
    <x v="11"/>
    <x v="2"/>
    <d v="2015-03-10T00:00:00"/>
    <n v="382.25"/>
    <n v="980"/>
    <n v="342"/>
    <n v="496.5"/>
    <n v="30.84"/>
    <n v="3.1015999999999999"/>
  </r>
  <r>
    <x v="11"/>
    <x v="2"/>
    <d v="2015-03-09T00:00:00"/>
    <n v="383.25"/>
    <n v="988.25"/>
    <n v="343.9"/>
    <n v="494.25"/>
    <n v="30.88"/>
    <n v="3.1215000000000002"/>
  </r>
  <r>
    <x v="11"/>
    <x v="2"/>
    <d v="2015-03-06T00:00:00"/>
    <n v="379.25"/>
    <n v="979.25"/>
    <n v="337"/>
    <n v="485.75"/>
    <n v="31.14"/>
    <n v="3.0605000000000002"/>
  </r>
  <r>
    <x v="11"/>
    <x v="2"/>
    <d v="2015-03-05T00:00:00"/>
    <n v="382.75"/>
    <n v="979.25"/>
    <n v="334.4"/>
    <n v="481.25"/>
    <n v="31.43"/>
    <n v="3.0024000000000002"/>
  </r>
  <r>
    <x v="11"/>
    <x v="2"/>
    <d v="2015-03-04T00:00:00"/>
    <n v="381.5"/>
    <n v="989"/>
    <n v="334.1"/>
    <n v="493.5"/>
    <n v="32.03"/>
    <n v="2.9754999999999998"/>
  </r>
  <r>
    <x v="11"/>
    <x v="2"/>
    <d v="2015-03-03T00:00:00"/>
    <n v="382"/>
    <n v="1008.75"/>
    <n v="341.8"/>
    <n v="508.75"/>
    <n v="32.799999999999997"/>
    <n v="2.9302999999999999"/>
  </r>
  <r>
    <x v="11"/>
    <x v="2"/>
    <d v="2015-03-02T00:00:00"/>
    <n v="378.75"/>
    <n v="1011.25"/>
    <n v="344.3"/>
    <n v="508"/>
    <n v="32.65"/>
    <n v="2.8959999999999999"/>
  </r>
  <r>
    <x v="11"/>
    <x v="3"/>
    <d v="2015-02-27T00:00:00"/>
    <n v="384.5"/>
    <n v="1030.75"/>
    <n v="353.7"/>
    <n v="517.5"/>
    <n v="32.799999999999997"/>
    <n v="2.8380000000000001"/>
  </r>
  <r>
    <x v="11"/>
    <x v="3"/>
    <d v="2015-02-26T00:00:00"/>
    <n v="380"/>
    <n v="1024"/>
    <n v="354.6"/>
    <n v="503.25"/>
    <n v="31.84"/>
    <n v="2.9079999999999999"/>
  </r>
  <r>
    <x v="11"/>
    <x v="3"/>
    <d v="2015-02-25T00:00:00"/>
    <n v="375.75"/>
    <n v="1007.75"/>
    <n v="350.5"/>
    <n v="497.75"/>
    <n v="31.71"/>
    <n v="2.8744999999999998"/>
  </r>
  <r>
    <x v="11"/>
    <x v="3"/>
    <d v="2015-02-24T00:00:00"/>
    <n v="377.5"/>
    <n v="1016"/>
    <n v="356.9"/>
    <n v="505.75"/>
    <n v="31.42"/>
    <n v="2.8325"/>
  </r>
  <r>
    <x v="11"/>
    <x v="3"/>
    <d v="2015-02-23T00:00:00"/>
    <n v="378.75"/>
    <n v="999.25"/>
    <n v="348.3"/>
    <n v="505.75"/>
    <n v="31.14"/>
    <n v="2.8784999999999998"/>
  </r>
  <r>
    <x v="11"/>
    <x v="3"/>
    <d v="2015-02-20T00:00:00"/>
    <n v="385.25"/>
    <n v="999.25"/>
    <n v="347.5"/>
    <n v="510.25"/>
    <n v="31.48"/>
    <n v="2.867"/>
  </r>
  <r>
    <x v="11"/>
    <x v="3"/>
    <d v="2015-02-19T00:00:00"/>
    <n v="389.75"/>
    <n v="1007.25"/>
    <n v="347.5"/>
    <n v="527.75"/>
    <n v="31.83"/>
    <n v="2.8662999999999998"/>
  </r>
  <r>
    <x v="11"/>
    <x v="3"/>
    <d v="2015-02-18T00:00:00"/>
    <n v="383.75"/>
    <n v="995.75"/>
    <n v="338.6"/>
    <n v="527.75"/>
    <n v="32.01"/>
    <n v="2.8363999999999998"/>
  </r>
  <r>
    <x v="11"/>
    <x v="3"/>
    <d v="2015-02-17T00:00:00"/>
    <n v="389.5"/>
    <n v="1007.75"/>
    <n v="342.3"/>
    <n v="534.75"/>
    <n v="32.32"/>
    <n v="2.8290000000000002"/>
  </r>
  <r>
    <x v="11"/>
    <x v="3"/>
    <d v="2015-02-16T00:00:00"/>
    <m/>
    <m/>
    <m/>
    <m/>
    <m/>
    <n v="2.8332999999999999"/>
  </r>
  <r>
    <x v="11"/>
    <x v="3"/>
    <d v="2015-02-13T00:00:00"/>
    <n v="387.25"/>
    <n v="990.5"/>
    <n v="332.3"/>
    <n v="533"/>
    <n v="32.4"/>
    <n v="2.8332999999999999"/>
  </r>
  <r>
    <x v="11"/>
    <x v="3"/>
    <d v="2015-02-12T00:00:00"/>
    <n v="383"/>
    <n v="983.75"/>
    <n v="330.5"/>
    <n v="521.25"/>
    <n v="32.01"/>
    <n v="2.8205"/>
  </r>
  <r>
    <x v="11"/>
    <x v="3"/>
    <d v="2015-02-11T00:00:00"/>
    <n v="385.75"/>
    <n v="977.75"/>
    <n v="329.6"/>
    <n v="525.75"/>
    <n v="31.75"/>
    <n v="2.8687999999999998"/>
  </r>
  <r>
    <x v="11"/>
    <x v="3"/>
    <d v="2015-02-10T00:00:00"/>
    <n v="388"/>
    <n v="969"/>
    <n v="326.89999999999998"/>
    <n v="521.75"/>
    <n v="31.45"/>
    <n v="2.8338000000000001"/>
  </r>
  <r>
    <x v="11"/>
    <x v="3"/>
    <d v="2015-02-09T00:00:00"/>
    <n v="391.25"/>
    <n v="978.5"/>
    <n v="329.6"/>
    <n v="529.75"/>
    <n v="32.01"/>
    <n v="2.7685"/>
  </r>
  <r>
    <x v="11"/>
    <x v="3"/>
    <d v="2015-02-06T00:00:00"/>
    <n v="385.75"/>
    <n v="973.5"/>
    <n v="329.4"/>
    <n v="527"/>
    <n v="31.82"/>
    <n v="2.7814999999999999"/>
  </r>
  <r>
    <x v="11"/>
    <x v="3"/>
    <d v="2015-02-05T00:00:00"/>
    <n v="385.25"/>
    <n v="981.25"/>
    <n v="331.4"/>
    <n v="525.75"/>
    <n v="31.71"/>
    <n v="2.7446000000000002"/>
  </r>
  <r>
    <x v="11"/>
    <x v="3"/>
    <d v="2015-02-04T00:00:00"/>
    <n v="383.5"/>
    <n v="972"/>
    <n v="332.7"/>
    <n v="511"/>
    <n v="30.59"/>
    <n v="2.7416"/>
  </r>
  <r>
    <x v="11"/>
    <x v="3"/>
    <d v="2015-02-03T00:00:00"/>
    <n v="385.75"/>
    <n v="987"/>
    <n v="340.6"/>
    <n v="513.75"/>
    <n v="30.8"/>
    <n v="2.694"/>
  </r>
  <r>
    <x v="11"/>
    <x v="3"/>
    <d v="2015-02-02T00:00:00"/>
    <n v="369.75"/>
    <n v="959.5"/>
    <n v="327.9"/>
    <n v="492.75"/>
    <n v="30.41"/>
    <n v="2.7261000000000002"/>
  </r>
  <r>
    <x v="11"/>
    <x v="4"/>
    <d v="2015-01-30T00:00:00"/>
    <n v="370"/>
    <n v="961"/>
    <n v="329.9"/>
    <n v="502.75"/>
    <n v="30"/>
    <n v="2.6814"/>
  </r>
  <r>
    <x v="11"/>
    <x v="4"/>
    <d v="2015-01-29T00:00:00"/>
    <n v="371.5"/>
    <n v="968.25"/>
    <n v="337.9"/>
    <n v="507.75"/>
    <n v="29.54"/>
    <n v="2.6027"/>
  </r>
  <r>
    <x v="11"/>
    <x v="4"/>
    <d v="2015-01-28T00:00:00"/>
    <n v="373.25"/>
    <n v="970.25"/>
    <n v="337.4"/>
    <n v="505.25"/>
    <n v="30.34"/>
    <n v="2.5756999999999999"/>
  </r>
  <r>
    <x v="11"/>
    <x v="4"/>
    <d v="2015-01-27T00:00:00"/>
    <n v="381.25"/>
    <n v="973.75"/>
    <n v="336.6"/>
    <n v="519"/>
    <n v="31.17"/>
    <n v="2.5722"/>
  </r>
  <r>
    <x v="11"/>
    <x v="4"/>
    <d v="2015-01-26T00:00:00"/>
    <n v="384"/>
    <n v="983.5"/>
    <n v="338.9"/>
    <n v="520.5"/>
    <n v="31.08"/>
    <n v="2.5832000000000002"/>
  </r>
  <r>
    <x v="11"/>
    <x v="4"/>
    <d v="2015-01-23T00:00:00"/>
    <n v="386.75"/>
    <n v="972.75"/>
    <n v="331.5"/>
    <n v="530"/>
    <n v="31.6"/>
    <n v="2.5785"/>
  </r>
  <r>
    <x v="11"/>
    <x v="4"/>
    <d v="2015-01-22T00:00:00"/>
    <n v="383.75"/>
    <n v="976.75"/>
    <n v="330.1"/>
    <n v="533.75"/>
    <n v="31.97"/>
    <n v="2.5735000000000001"/>
  </r>
  <r>
    <x v="11"/>
    <x v="4"/>
    <d v="2015-01-21T00:00:00"/>
    <n v="388"/>
    <n v="983.5"/>
    <n v="330.5"/>
    <n v="536.75"/>
    <n v="32.409999999999997"/>
    <n v="2.6"/>
  </r>
  <r>
    <x v="11"/>
    <x v="4"/>
    <d v="2015-01-20T00:00:00"/>
    <n v="390.25"/>
    <n v="982"/>
    <n v="326.5"/>
    <n v="537"/>
    <n v="32.840000000000003"/>
    <n v="2.6133000000000002"/>
  </r>
  <r>
    <x v="11"/>
    <x v="4"/>
    <d v="2015-01-19T00:00:00"/>
    <m/>
    <m/>
    <m/>
    <m/>
    <m/>
    <n v="2.6511"/>
  </r>
  <r>
    <x v="11"/>
    <x v="4"/>
    <d v="2015-01-16T00:00:00"/>
    <n v="387"/>
    <n v="991.75"/>
    <n v="326.2"/>
    <n v="532.75"/>
    <n v="33.39"/>
    <n v="2.6204000000000001"/>
  </r>
  <r>
    <x v="11"/>
    <x v="4"/>
    <d v="2015-01-15T00:00:00"/>
    <n v="380"/>
    <n v="991"/>
    <n v="326.7"/>
    <n v="532.75"/>
    <n v="32.99"/>
    <n v="2.641"/>
  </r>
  <r>
    <x v="11"/>
    <x v="4"/>
    <d v="2015-01-14T00:00:00"/>
    <n v="381"/>
    <n v="992.5"/>
    <n v="328.9"/>
    <n v="537.75"/>
    <n v="32.57"/>
    <n v="2.6158999999999999"/>
  </r>
  <r>
    <x v="11"/>
    <x v="4"/>
    <d v="2015-01-13T00:00:00"/>
    <n v="385.75"/>
    <n v="1000"/>
    <n v="349.7"/>
    <n v="548"/>
    <n v="32.39"/>
    <n v="2.6425000000000001"/>
  </r>
  <r>
    <x v="11"/>
    <x v="4"/>
    <d v="2015-01-12T00:00:00"/>
    <n v="402"/>
    <n v="1013.5"/>
    <n v="356.5"/>
    <n v="555.5"/>
    <n v="32.450000000000003"/>
    <n v="2.6732999999999998"/>
  </r>
  <r>
    <x v="11"/>
    <x v="4"/>
    <d v="2015-01-09T00:00:00"/>
    <n v="400.25"/>
    <n v="1051.5"/>
    <n v="363.8"/>
    <n v="563.75"/>
    <n v="33.54"/>
    <n v="2.6299000000000001"/>
  </r>
  <r>
    <x v="11"/>
    <x v="4"/>
    <d v="2015-01-08T00:00:00"/>
    <n v="394.25"/>
    <n v="1045"/>
    <n v="361.3"/>
    <n v="567"/>
    <n v="33.58"/>
    <n v="2.6619999999999999"/>
  </r>
  <r>
    <x v="11"/>
    <x v="4"/>
    <d v="2015-01-07T00:00:00"/>
    <n v="396.25"/>
    <n v="1052.75"/>
    <n v="368.5"/>
    <n v="579.5"/>
    <n v="32.979999999999997"/>
    <n v="2.6829999999999998"/>
  </r>
  <r>
    <x v="11"/>
    <x v="4"/>
    <d v="2015-01-06T00:00:00"/>
    <n v="405"/>
    <n v="1051"/>
    <n v="370.8"/>
    <n v="591.75"/>
    <n v="32.69"/>
    <n v="2.6996000000000002"/>
  </r>
  <r>
    <x v="11"/>
    <x v="4"/>
    <d v="2015-01-05T00:00:00"/>
    <n v="406"/>
    <n v="1039.75"/>
    <n v="369"/>
    <n v="589"/>
    <n v="32.700000000000003"/>
    <n v="2.7059000000000002"/>
  </r>
  <r>
    <x v="11"/>
    <x v="4"/>
    <d v="2015-01-02T00:00:00"/>
    <n v="395.75"/>
    <n v="1002.5"/>
    <n v="356.5"/>
    <n v="581.25"/>
    <n v="31.95"/>
    <n v="2.6930999999999998"/>
  </r>
  <r>
    <x v="11"/>
    <x v="4"/>
    <d v="2015-01-01T00:00:00"/>
    <m/>
    <m/>
    <m/>
    <m/>
    <m/>
    <n v="2.657"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  <r>
    <x v="12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8318D-D049-4E05-89D9-A4CFE8A0BE1C}" name="Tabela dinâmica5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1:N85" firstHeaderRow="1" firstDataRow="2" firstDataCol="1"/>
  <pivotFields count="9">
    <pivotField axis="axisRow" showAll="0" sortType="ascending">
      <items count="14">
        <item h="1"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édia de BOc1" fld="7" subtotal="average" baseField="0" baseItem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6BE47-E6BA-48C9-8E08-7F433AF86283}" name="Tabela dinâ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2" firstHeaderRow="1" firstDataRow="2" firstDataCol="1"/>
  <pivotFields count="9"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édia de HOc1" fld="5" subtotal="average" baseField="0" baseItem="0"/>
  </dataFields>
  <formats count="2">
    <format dxfId="3">
      <pivotArea collapsedLevelsAreSubtotals="1" fieldPosition="0">
        <references count="1">
          <reference field="0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355BB-BB04-4480-A2C1-E5021FCFD606}" name="Tabela dinâ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6:N45" firstHeaderRow="1" firstDataRow="2" firstDataCol="1"/>
  <pivotFields count="9"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édia de LCOc1" fld="3" subtotal="average" baseField="0" baseItem="0"/>
  </dataFields>
  <formats count="2">
    <format dxfId="5">
      <pivotArea collapsedLevelsAreSubtotals="1" fieldPosition="0">
        <references count="1">
          <reference field="0" count="0"/>
        </references>
      </pivotArea>
    </format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A4917-2F05-4610-9195-D39AD260814E}" name="Tabela dinâmica1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1:N65" firstHeaderRow="1" firstDataRow="2" firstDataCol="1"/>
  <pivotFields count="9">
    <pivotField axis="axisRow" showAll="0" sortType="ascending">
      <items count="14">
        <item h="1"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édia de SMc1" fld="5" subtotal="average" baseField="0" baseItem="0" numFmtId="166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4A20D-F8D4-4846-809E-4F90DD7FDECC}" name="Tabela dinâmica3" cacheId="2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7:N31" firstHeaderRow="1" firstDataRow="2" firstDataCol="1"/>
  <pivotFields count="9">
    <pivotField axis="axisRow" showAll="0" sortType="ascending">
      <items count="14">
        <item h="1"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13">
        <item x="4"/>
        <item x="3"/>
        <item x="2"/>
        <item x="1"/>
        <item x="0"/>
        <item x="11"/>
        <item x="10"/>
        <item x="9"/>
        <item x="8"/>
        <item x="7"/>
        <item x="6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édia de BRL=" fld="8" subtotal="average" baseField="0" baseItem="0"/>
  </dataFields>
  <formats count="2">
    <format dxfId="8">
      <pivotArea collapsedLevelsAreSubtotals="1" fieldPosition="0">
        <references count="1">
          <reference field="0" count="0"/>
        </references>
      </pivotArea>
    </format>
    <format dxfId="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C23A-A595-4414-BE08-34A94D97E6C8}">
  <dimension ref="A1:K2972"/>
  <sheetViews>
    <sheetView topLeftCell="A3" workbookViewId="0">
      <selection activeCell="A3" sqref="A3"/>
    </sheetView>
  </sheetViews>
  <sheetFormatPr defaultColWidth="8.88671875" defaultRowHeight="14.4" x14ac:dyDescent="0.3"/>
  <cols>
    <col min="1" max="1" width="10.44140625" style="1" customWidth="1"/>
    <col min="2" max="2" width="10.88671875" style="1" customWidth="1"/>
    <col min="3" max="3" width="10.33203125" style="1" bestFit="1" customWidth="1"/>
    <col min="4" max="4" width="17.33203125" style="1" bestFit="1" customWidth="1"/>
    <col min="5" max="7" width="19.6640625" style="1" bestFit="1" customWidth="1"/>
    <col min="8" max="8" width="19.44140625" style="1" bestFit="1" customWidth="1"/>
    <col min="9" max="10" width="19.6640625" style="1" bestFit="1" customWidth="1"/>
    <col min="11" max="16384" width="8.88671875" style="1"/>
  </cols>
  <sheetData>
    <row r="1" spans="1:11" x14ac:dyDescent="0.3">
      <c r="B1" s="4" t="s">
        <v>1</v>
      </c>
      <c r="C1" s="5">
        <f ca="1">TODAY()</f>
        <v>46146</v>
      </c>
      <c r="D1" s="1" t="s">
        <v>0</v>
      </c>
    </row>
    <row r="2" spans="1:11" ht="20.25" customHeight="1" x14ac:dyDescent="0.3">
      <c r="C2" s="1" t="e">
        <f ca="1">_xll.RDP.HistoricalPricing($A$4:$A$65,"CLOSE","START:01-Jan-2015 END:"&amp;$C$1&amp;" SOURCE:RFV INTERVAL:P1d",,"CH:IN RH:Timestamp TSREPEAT:NO",D4)</f>
        <v>#NAME?</v>
      </c>
    </row>
    <row r="3" spans="1:11" x14ac:dyDescent="0.3">
      <c r="E3" s="4"/>
      <c r="F3" s="4"/>
      <c r="G3" s="4"/>
      <c r="H3" s="4"/>
      <c r="I3" s="4"/>
      <c r="J3" s="4"/>
    </row>
    <row r="4" spans="1:11" x14ac:dyDescent="0.3">
      <c r="A4" t="s">
        <v>7</v>
      </c>
      <c r="B4" s="11" t="s">
        <v>8</v>
      </c>
      <c r="C4" s="11" t="s">
        <v>9</v>
      </c>
      <c r="D4" s="12"/>
      <c r="E4" s="7" t="s">
        <v>7</v>
      </c>
      <c r="F4" s="7" t="s">
        <v>6</v>
      </c>
      <c r="G4" s="7" t="s">
        <v>5</v>
      </c>
      <c r="H4" s="7" t="s">
        <v>4</v>
      </c>
      <c r="I4" s="7" t="s">
        <v>3</v>
      </c>
      <c r="J4" s="7" t="s">
        <v>2</v>
      </c>
      <c r="K4" s="2"/>
    </row>
    <row r="5" spans="1:11" x14ac:dyDescent="0.3">
      <c r="A5" t="s">
        <v>6</v>
      </c>
      <c r="B5" s="10">
        <f>YEAR(D5)</f>
        <v>2026</v>
      </c>
      <c r="C5" s="10">
        <f>MONTH(D5)</f>
        <v>5</v>
      </c>
      <c r="D5" s="6">
        <v>46146</v>
      </c>
      <c r="E5" s="8">
        <v>113.85</v>
      </c>
      <c r="F5" s="8">
        <v>105.12</v>
      </c>
      <c r="G5" s="8">
        <v>4.0872999999999999</v>
      </c>
      <c r="H5" s="8">
        <v>3.7313999999999998</v>
      </c>
      <c r="I5" s="8">
        <v>2.8740000000000001</v>
      </c>
      <c r="J5" s="8">
        <v>4.9710000000000001</v>
      </c>
    </row>
    <row r="6" spans="1:11" x14ac:dyDescent="0.3">
      <c r="A6" t="s">
        <v>5</v>
      </c>
      <c r="B6" s="10">
        <f t="shared" ref="B6:B69" si="0">YEAR(D6)</f>
        <v>2026</v>
      </c>
      <c r="C6" s="10">
        <f t="shared" ref="C6:C69" si="1">MONTH(D6)</f>
        <v>5</v>
      </c>
      <c r="D6" s="6">
        <v>46143</v>
      </c>
      <c r="E6" s="8">
        <v>108.17</v>
      </c>
      <c r="F6" s="8">
        <v>101.94</v>
      </c>
      <c r="G6" s="8">
        <v>3.9464000000000001</v>
      </c>
      <c r="H6" s="8">
        <v>3.5952000000000002</v>
      </c>
      <c r="I6" s="8">
        <v>2.78</v>
      </c>
      <c r="J6" s="8">
        <v>4.9550000000000001</v>
      </c>
    </row>
    <row r="7" spans="1:11" x14ac:dyDescent="0.3">
      <c r="A7" t="s">
        <v>4</v>
      </c>
      <c r="B7" s="10">
        <f t="shared" si="0"/>
        <v>2026</v>
      </c>
      <c r="C7" s="10">
        <f t="shared" si="1"/>
        <v>4</v>
      </c>
      <c r="D7" s="3">
        <v>46142</v>
      </c>
      <c r="E7" s="9">
        <v>114.01</v>
      </c>
      <c r="F7" s="9">
        <v>105.07</v>
      </c>
      <c r="G7" s="9">
        <v>4.1383999999999999</v>
      </c>
      <c r="H7" s="9">
        <v>3.7715000000000001</v>
      </c>
      <c r="I7" s="9">
        <v>2.7669999999999999</v>
      </c>
      <c r="J7" s="9">
        <v>4.9539</v>
      </c>
    </row>
    <row r="8" spans="1:11" x14ac:dyDescent="0.3">
      <c r="A8" t="s">
        <v>3</v>
      </c>
      <c r="B8" s="10">
        <f t="shared" si="0"/>
        <v>2026</v>
      </c>
      <c r="C8" s="10">
        <f t="shared" si="1"/>
        <v>4</v>
      </c>
      <c r="D8" s="3">
        <v>46141</v>
      </c>
      <c r="E8" s="9">
        <v>118.03</v>
      </c>
      <c r="F8" s="9">
        <v>106.88</v>
      </c>
      <c r="G8" s="9">
        <v>4.1986999999999997</v>
      </c>
      <c r="H8" s="9">
        <v>3.7410999999999999</v>
      </c>
      <c r="I8" s="9">
        <v>2.6469999999999998</v>
      </c>
      <c r="J8" s="9">
        <v>4.9960000000000004</v>
      </c>
    </row>
    <row r="9" spans="1:11" x14ac:dyDescent="0.3">
      <c r="A9" t="s">
        <v>2</v>
      </c>
      <c r="B9" s="10">
        <f t="shared" si="0"/>
        <v>2026</v>
      </c>
      <c r="C9" s="10">
        <f t="shared" si="1"/>
        <v>4</v>
      </c>
      <c r="D9" s="3">
        <v>46140</v>
      </c>
      <c r="E9" s="9">
        <v>111.26</v>
      </c>
      <c r="F9" s="9">
        <v>99.93</v>
      </c>
      <c r="G9" s="9">
        <v>3.9712000000000001</v>
      </c>
      <c r="H9" s="9">
        <v>3.5604</v>
      </c>
      <c r="I9" s="9">
        <v>2.5590000000000002</v>
      </c>
      <c r="J9" s="9">
        <v>4.9739000000000004</v>
      </c>
    </row>
    <row r="10" spans="1:11" x14ac:dyDescent="0.3">
      <c r="A10"/>
      <c r="B10" s="10">
        <f t="shared" si="0"/>
        <v>2026</v>
      </c>
      <c r="C10" s="10">
        <f t="shared" si="1"/>
        <v>4</v>
      </c>
      <c r="D10" s="3">
        <v>46139</v>
      </c>
      <c r="E10" s="9">
        <v>108.23</v>
      </c>
      <c r="F10" s="9">
        <v>96.37</v>
      </c>
      <c r="G10" s="9">
        <v>3.9746999999999999</v>
      </c>
      <c r="H10" s="9">
        <v>3.4910000000000001</v>
      </c>
      <c r="I10" s="9">
        <v>2.5499999999999998</v>
      </c>
      <c r="J10" s="9">
        <v>4.9828999999999999</v>
      </c>
    </row>
    <row r="11" spans="1:11" x14ac:dyDescent="0.3">
      <c r="B11" s="10">
        <f t="shared" si="0"/>
        <v>2026</v>
      </c>
      <c r="C11" s="10">
        <f t="shared" si="1"/>
        <v>4</v>
      </c>
      <c r="D11" s="3">
        <v>46136</v>
      </c>
      <c r="E11" s="9">
        <v>105.33</v>
      </c>
      <c r="F11" s="9">
        <v>94.4</v>
      </c>
      <c r="G11" s="9">
        <v>3.8874</v>
      </c>
      <c r="H11" s="9">
        <v>3.4626000000000001</v>
      </c>
      <c r="I11" s="9">
        <v>2.5230000000000001</v>
      </c>
      <c r="J11" s="9">
        <v>4.9798</v>
      </c>
    </row>
    <row r="12" spans="1:11" x14ac:dyDescent="0.3">
      <c r="A12"/>
      <c r="B12" s="10">
        <f t="shared" si="0"/>
        <v>2026</v>
      </c>
      <c r="C12" s="10">
        <f t="shared" si="1"/>
        <v>4</v>
      </c>
      <c r="D12" s="3">
        <v>46135</v>
      </c>
      <c r="E12" s="9">
        <v>105.07</v>
      </c>
      <c r="F12" s="9">
        <v>95.85</v>
      </c>
      <c r="G12" s="9">
        <v>3.9882</v>
      </c>
      <c r="H12" s="9">
        <v>3.4621</v>
      </c>
      <c r="I12" s="9">
        <v>2.6139999999999999</v>
      </c>
      <c r="J12" s="9">
        <v>5.0202999999999998</v>
      </c>
    </row>
    <row r="13" spans="1:11" x14ac:dyDescent="0.3">
      <c r="B13" s="10">
        <f t="shared" si="0"/>
        <v>2026</v>
      </c>
      <c r="C13" s="10">
        <f t="shared" si="1"/>
        <v>4</v>
      </c>
      <c r="D13" s="3">
        <v>46134</v>
      </c>
      <c r="E13" s="9">
        <v>101.91</v>
      </c>
      <c r="F13" s="9">
        <v>92.96</v>
      </c>
      <c r="G13" s="9">
        <v>3.9379</v>
      </c>
      <c r="H13" s="9">
        <v>3.3578999999999999</v>
      </c>
      <c r="I13" s="9">
        <v>2.722</v>
      </c>
      <c r="J13" s="9">
        <v>4.9625000000000004</v>
      </c>
    </row>
    <row r="14" spans="1:11" x14ac:dyDescent="0.3">
      <c r="A14" s="2"/>
      <c r="B14" s="10">
        <f t="shared" si="0"/>
        <v>2026</v>
      </c>
      <c r="C14" s="10">
        <f t="shared" si="1"/>
        <v>4</v>
      </c>
      <c r="D14" s="3">
        <v>46133</v>
      </c>
      <c r="E14" s="9">
        <v>98.48</v>
      </c>
      <c r="F14" s="9">
        <v>92.13</v>
      </c>
      <c r="G14" s="9">
        <v>3.7288000000000001</v>
      </c>
      <c r="H14" s="9">
        <v>3.2098</v>
      </c>
      <c r="I14" s="9">
        <v>2.6970000000000001</v>
      </c>
      <c r="J14" s="9">
        <v>4.9535</v>
      </c>
    </row>
    <row r="15" spans="1:11" x14ac:dyDescent="0.3">
      <c r="A15" s="2"/>
      <c r="B15" s="10">
        <f t="shared" si="0"/>
        <v>2026</v>
      </c>
      <c r="C15" s="10">
        <f t="shared" si="1"/>
        <v>4</v>
      </c>
      <c r="D15" s="3">
        <v>46132</v>
      </c>
      <c r="E15" s="9">
        <v>95.48</v>
      </c>
      <c r="F15" s="9">
        <v>89.61</v>
      </c>
      <c r="G15" s="9">
        <v>3.5409000000000002</v>
      </c>
      <c r="H15" s="9">
        <v>3.1168</v>
      </c>
      <c r="I15" s="9">
        <v>2.6890000000000001</v>
      </c>
      <c r="J15" s="9">
        <v>4.9660000000000002</v>
      </c>
    </row>
    <row r="16" spans="1:11" x14ac:dyDescent="0.3">
      <c r="A16" s="2"/>
      <c r="B16" s="10">
        <f t="shared" si="0"/>
        <v>2026</v>
      </c>
      <c r="C16" s="10">
        <f t="shared" si="1"/>
        <v>4</v>
      </c>
      <c r="D16" s="3">
        <v>46129</v>
      </c>
      <c r="E16" s="9">
        <v>90.38</v>
      </c>
      <c r="F16" s="9">
        <v>83.85</v>
      </c>
      <c r="G16" s="9">
        <v>3.3974000000000002</v>
      </c>
      <c r="H16" s="9">
        <v>3.0047999999999999</v>
      </c>
      <c r="I16" s="9">
        <v>2.6739999999999999</v>
      </c>
      <c r="J16" s="9">
        <v>4.9782000000000002</v>
      </c>
    </row>
    <row r="17" spans="1:10" x14ac:dyDescent="0.3">
      <c r="A17" s="2"/>
      <c r="B17" s="10">
        <f t="shared" si="0"/>
        <v>2026</v>
      </c>
      <c r="C17" s="10">
        <f t="shared" si="1"/>
        <v>4</v>
      </c>
      <c r="D17" s="3">
        <v>46128</v>
      </c>
      <c r="E17" s="9">
        <v>99.39</v>
      </c>
      <c r="F17" s="9">
        <v>94.69</v>
      </c>
      <c r="G17" s="9">
        <v>3.8329</v>
      </c>
      <c r="H17" s="9">
        <v>3.1637</v>
      </c>
      <c r="I17" s="9">
        <v>2.6469999999999998</v>
      </c>
      <c r="J17" s="9">
        <v>4.992</v>
      </c>
    </row>
    <row r="18" spans="1:10" x14ac:dyDescent="0.3">
      <c r="A18" s="2"/>
      <c r="B18" s="10">
        <f t="shared" si="0"/>
        <v>2026</v>
      </c>
      <c r="C18" s="10">
        <f t="shared" si="1"/>
        <v>4</v>
      </c>
      <c r="D18" s="3">
        <v>46127</v>
      </c>
      <c r="E18" s="9">
        <v>94.93</v>
      </c>
      <c r="F18" s="9">
        <v>91.29</v>
      </c>
      <c r="G18" s="9">
        <v>3.7532000000000001</v>
      </c>
      <c r="H18" s="9">
        <v>3.0691999999999999</v>
      </c>
      <c r="I18" s="9">
        <v>2.61</v>
      </c>
      <c r="J18" s="9">
        <v>4.9931000000000001</v>
      </c>
    </row>
    <row r="19" spans="1:10" x14ac:dyDescent="0.3">
      <c r="A19" s="2"/>
      <c r="B19" s="10">
        <f t="shared" si="0"/>
        <v>2026</v>
      </c>
      <c r="C19" s="10">
        <f t="shared" si="1"/>
        <v>4</v>
      </c>
      <c r="D19" s="3">
        <v>46126</v>
      </c>
      <c r="E19" s="9">
        <v>94.79</v>
      </c>
      <c r="F19" s="9">
        <v>91.28</v>
      </c>
      <c r="G19" s="9">
        <v>3.6242999999999999</v>
      </c>
      <c r="H19" s="9">
        <v>3.0394999999999999</v>
      </c>
      <c r="I19" s="9">
        <v>2.5990000000000002</v>
      </c>
      <c r="J19" s="9">
        <v>4.9874000000000001</v>
      </c>
    </row>
    <row r="20" spans="1:10" x14ac:dyDescent="0.3">
      <c r="A20" s="2"/>
      <c r="B20" s="10">
        <f t="shared" si="0"/>
        <v>2026</v>
      </c>
      <c r="C20" s="10">
        <f t="shared" si="1"/>
        <v>4</v>
      </c>
      <c r="D20" s="3">
        <v>46125</v>
      </c>
      <c r="E20" s="9">
        <v>99.36</v>
      </c>
      <c r="F20" s="9">
        <v>99.08</v>
      </c>
      <c r="G20" s="9">
        <v>3.8340999999999998</v>
      </c>
      <c r="H20" s="9">
        <v>3.1160000000000001</v>
      </c>
      <c r="I20" s="9">
        <v>2.6269999999999998</v>
      </c>
      <c r="J20" s="9">
        <v>4.9961000000000002</v>
      </c>
    </row>
    <row r="21" spans="1:10" x14ac:dyDescent="0.3">
      <c r="A21" s="2"/>
      <c r="B21" s="10">
        <f t="shared" si="0"/>
        <v>2026</v>
      </c>
      <c r="C21" s="10">
        <f t="shared" si="1"/>
        <v>4</v>
      </c>
      <c r="D21" s="3">
        <v>46122</v>
      </c>
      <c r="E21" s="9">
        <v>95.2</v>
      </c>
      <c r="F21" s="9">
        <v>96.57</v>
      </c>
      <c r="G21" s="9">
        <v>3.7616000000000001</v>
      </c>
      <c r="H21" s="9">
        <v>3.0373000000000001</v>
      </c>
      <c r="I21" s="9">
        <v>2.6480000000000001</v>
      </c>
      <c r="J21" s="9">
        <v>5.0034000000000001</v>
      </c>
    </row>
    <row r="22" spans="1:10" x14ac:dyDescent="0.3">
      <c r="A22" s="2"/>
      <c r="B22" s="10">
        <f t="shared" si="0"/>
        <v>2026</v>
      </c>
      <c r="C22" s="10">
        <f t="shared" si="1"/>
        <v>4</v>
      </c>
      <c r="D22" s="3">
        <v>46121</v>
      </c>
      <c r="E22" s="9">
        <v>95.92</v>
      </c>
      <c r="F22" s="9">
        <v>97.87</v>
      </c>
      <c r="G22" s="9">
        <v>3.9369999999999998</v>
      </c>
      <c r="H22" s="9">
        <v>3.0007000000000001</v>
      </c>
      <c r="I22" s="9">
        <v>2.67</v>
      </c>
      <c r="J22" s="9">
        <v>5.0572999999999997</v>
      </c>
    </row>
    <row r="23" spans="1:10" x14ac:dyDescent="0.3">
      <c r="A23" s="2"/>
      <c r="B23" s="10">
        <f t="shared" si="0"/>
        <v>2026</v>
      </c>
      <c r="C23" s="10">
        <f t="shared" si="1"/>
        <v>4</v>
      </c>
      <c r="D23" s="3">
        <v>46120</v>
      </c>
      <c r="E23" s="9">
        <v>94.75</v>
      </c>
      <c r="F23" s="9">
        <v>94.41</v>
      </c>
      <c r="G23" s="9">
        <v>3.8083999999999998</v>
      </c>
      <c r="H23" s="9">
        <v>3.0059</v>
      </c>
      <c r="I23" s="9">
        <v>2.7240000000000002</v>
      </c>
      <c r="J23" s="9">
        <v>5.0986000000000002</v>
      </c>
    </row>
    <row r="24" spans="1:10" x14ac:dyDescent="0.3">
      <c r="A24" s="2"/>
      <c r="B24" s="10">
        <f t="shared" si="0"/>
        <v>2026</v>
      </c>
      <c r="C24" s="10">
        <f t="shared" si="1"/>
        <v>4</v>
      </c>
      <c r="D24" s="3">
        <v>46119</v>
      </c>
      <c r="E24" s="9">
        <v>109.27</v>
      </c>
      <c r="F24" s="9">
        <v>112.95</v>
      </c>
      <c r="G24" s="9">
        <v>4.4774000000000003</v>
      </c>
      <c r="H24" s="9">
        <v>3.3052000000000001</v>
      </c>
      <c r="I24" s="9">
        <v>2.87</v>
      </c>
      <c r="J24" s="9">
        <v>5.1532999999999998</v>
      </c>
    </row>
    <row r="25" spans="1:10" x14ac:dyDescent="0.3">
      <c r="A25" s="2"/>
      <c r="B25" s="10">
        <f t="shared" si="0"/>
        <v>2026</v>
      </c>
      <c r="C25" s="10">
        <f t="shared" si="1"/>
        <v>4</v>
      </c>
      <c r="D25" s="3">
        <v>46118</v>
      </c>
      <c r="E25" s="9">
        <v>109.77</v>
      </c>
      <c r="F25" s="9">
        <v>112.41</v>
      </c>
      <c r="G25" s="9">
        <v>4.3284000000000002</v>
      </c>
      <c r="H25" s="9">
        <v>3.3081999999999998</v>
      </c>
      <c r="I25" s="9">
        <v>2.8109999999999999</v>
      </c>
      <c r="J25" s="9">
        <v>5.1393000000000004</v>
      </c>
    </row>
    <row r="26" spans="1:10" x14ac:dyDescent="0.3">
      <c r="A26" s="2"/>
      <c r="B26" s="10">
        <f t="shared" si="0"/>
        <v>2026</v>
      </c>
      <c r="C26" s="10">
        <f t="shared" si="1"/>
        <v>4</v>
      </c>
      <c r="D26" s="3">
        <v>46115</v>
      </c>
      <c r="E26" s="9"/>
      <c r="F26" s="9">
        <v>111.54</v>
      </c>
      <c r="G26" s="9">
        <v>4.3611000000000004</v>
      </c>
      <c r="H26" s="9">
        <v>3.2879999999999998</v>
      </c>
      <c r="I26" s="9">
        <v>2.8</v>
      </c>
      <c r="J26" s="9">
        <v>5.1567999999999996</v>
      </c>
    </row>
    <row r="27" spans="1:10" x14ac:dyDescent="0.3">
      <c r="A27" s="2"/>
      <c r="B27" s="10">
        <f t="shared" si="0"/>
        <v>2026</v>
      </c>
      <c r="C27" s="10">
        <f t="shared" si="1"/>
        <v>4</v>
      </c>
      <c r="D27" s="3">
        <v>46114</v>
      </c>
      <c r="E27" s="9">
        <v>109.03</v>
      </c>
      <c r="F27" s="9">
        <v>111.54</v>
      </c>
      <c r="G27" s="9">
        <v>4.3611000000000004</v>
      </c>
      <c r="H27" s="9">
        <v>3.2879999999999998</v>
      </c>
      <c r="I27" s="9">
        <v>2.8</v>
      </c>
      <c r="J27" s="9">
        <v>5.1571999999999996</v>
      </c>
    </row>
    <row r="28" spans="1:10" x14ac:dyDescent="0.3">
      <c r="A28" s="2"/>
      <c r="B28" s="10">
        <f t="shared" si="0"/>
        <v>2026</v>
      </c>
      <c r="C28" s="10">
        <f t="shared" si="1"/>
        <v>4</v>
      </c>
      <c r="D28" s="3">
        <v>46113</v>
      </c>
      <c r="E28" s="9">
        <v>101.16</v>
      </c>
      <c r="F28" s="9">
        <v>100.12</v>
      </c>
      <c r="G28" s="9">
        <v>4.0568</v>
      </c>
      <c r="H28" s="9">
        <v>3.0914000000000001</v>
      </c>
      <c r="I28" s="9">
        <v>2.819</v>
      </c>
      <c r="J28" s="9">
        <v>5.1546000000000003</v>
      </c>
    </row>
    <row r="29" spans="1:10" x14ac:dyDescent="0.3">
      <c r="A29" s="2"/>
      <c r="B29" s="10">
        <f t="shared" si="0"/>
        <v>2026</v>
      </c>
      <c r="C29" s="10">
        <f t="shared" si="1"/>
        <v>3</v>
      </c>
      <c r="D29" s="3">
        <v>46112</v>
      </c>
      <c r="E29" s="9">
        <v>118.35</v>
      </c>
      <c r="F29" s="9">
        <v>101.38</v>
      </c>
      <c r="G29" s="9">
        <v>4.1634000000000002</v>
      </c>
      <c r="H29" s="9">
        <v>3.3123</v>
      </c>
      <c r="I29" s="9">
        <v>2.8839999999999999</v>
      </c>
      <c r="J29" s="9">
        <v>5.1813000000000002</v>
      </c>
    </row>
    <row r="30" spans="1:10" x14ac:dyDescent="0.3">
      <c r="A30" s="2"/>
      <c r="B30" s="10">
        <f t="shared" si="0"/>
        <v>2026</v>
      </c>
      <c r="C30" s="10">
        <f t="shared" si="1"/>
        <v>3</v>
      </c>
      <c r="D30" s="3">
        <v>46111</v>
      </c>
      <c r="E30" s="9">
        <v>112.78</v>
      </c>
      <c r="F30" s="9">
        <v>102.88</v>
      </c>
      <c r="G30" s="9">
        <v>4.3643000000000001</v>
      </c>
      <c r="H30" s="9">
        <v>3.3515000000000001</v>
      </c>
      <c r="I30" s="9">
        <v>2.887</v>
      </c>
      <c r="J30" s="9">
        <v>5.2519999999999998</v>
      </c>
    </row>
    <row r="31" spans="1:10" x14ac:dyDescent="0.3">
      <c r="A31" s="2"/>
      <c r="B31" s="10">
        <f t="shared" si="0"/>
        <v>2026</v>
      </c>
      <c r="C31" s="10">
        <f t="shared" si="1"/>
        <v>3</v>
      </c>
      <c r="D31" s="3">
        <v>46108</v>
      </c>
      <c r="E31" s="9">
        <v>112.57</v>
      </c>
      <c r="F31" s="9">
        <v>99.64</v>
      </c>
      <c r="G31" s="9">
        <v>4.4954999999999998</v>
      </c>
      <c r="H31" s="9">
        <v>3.2501000000000002</v>
      </c>
      <c r="I31" s="9">
        <v>3.0950000000000002</v>
      </c>
      <c r="J31" s="9">
        <v>5.2374000000000001</v>
      </c>
    </row>
    <row r="32" spans="1:10" x14ac:dyDescent="0.3">
      <c r="A32" s="2"/>
      <c r="B32" s="10">
        <f t="shared" si="0"/>
        <v>2026</v>
      </c>
      <c r="C32" s="10">
        <f t="shared" si="1"/>
        <v>3</v>
      </c>
      <c r="D32" s="3">
        <v>46107</v>
      </c>
      <c r="E32" s="9">
        <v>108.01</v>
      </c>
      <c r="F32" s="9">
        <v>94.48</v>
      </c>
      <c r="G32" s="9">
        <v>4.2733999999999996</v>
      </c>
      <c r="H32" s="9">
        <v>3.1301999999999999</v>
      </c>
      <c r="I32" s="9">
        <v>2.9990000000000001</v>
      </c>
      <c r="J32" s="9">
        <v>5.2401</v>
      </c>
    </row>
    <row r="33" spans="1:10" x14ac:dyDescent="0.3">
      <c r="A33" s="2"/>
      <c r="B33" s="10">
        <f t="shared" si="0"/>
        <v>2026</v>
      </c>
      <c r="C33" s="10">
        <f t="shared" si="1"/>
        <v>3</v>
      </c>
      <c r="D33" s="3">
        <v>46106</v>
      </c>
      <c r="E33" s="9">
        <v>102.22</v>
      </c>
      <c r="F33" s="9">
        <v>90.32</v>
      </c>
      <c r="G33" s="9">
        <v>4.0063000000000004</v>
      </c>
      <c r="H33" s="9">
        <v>3.0124</v>
      </c>
      <c r="I33" s="9">
        <v>2.952</v>
      </c>
      <c r="J33" s="9">
        <v>5.2267999999999999</v>
      </c>
    </row>
    <row r="34" spans="1:10" x14ac:dyDescent="0.3">
      <c r="A34" s="2"/>
      <c r="B34" s="10">
        <f t="shared" si="0"/>
        <v>2026</v>
      </c>
      <c r="C34" s="10">
        <f t="shared" si="1"/>
        <v>3</v>
      </c>
      <c r="D34" s="3">
        <v>46105</v>
      </c>
      <c r="E34" s="9">
        <v>104.49</v>
      </c>
      <c r="F34" s="9">
        <v>92.35</v>
      </c>
      <c r="G34" s="9">
        <v>4.2908999999999997</v>
      </c>
      <c r="H34" s="9">
        <v>3.1480000000000001</v>
      </c>
      <c r="I34" s="9">
        <v>2.9430000000000001</v>
      </c>
      <c r="J34" s="9">
        <v>5.2331000000000003</v>
      </c>
    </row>
    <row r="35" spans="1:10" x14ac:dyDescent="0.3">
      <c r="A35" s="2"/>
      <c r="B35" s="10">
        <f t="shared" si="0"/>
        <v>2026</v>
      </c>
      <c r="C35" s="10">
        <f t="shared" si="1"/>
        <v>3</v>
      </c>
      <c r="D35" s="3">
        <v>46104</v>
      </c>
      <c r="E35" s="9">
        <v>99.94</v>
      </c>
      <c r="F35" s="9">
        <v>88.13</v>
      </c>
      <c r="G35" s="9">
        <v>4.056</v>
      </c>
      <c r="H35" s="9">
        <v>2.9748999999999999</v>
      </c>
      <c r="I35" s="9">
        <v>2.891</v>
      </c>
      <c r="J35" s="9">
        <v>5.2331000000000003</v>
      </c>
    </row>
    <row r="36" spans="1:10" x14ac:dyDescent="0.3">
      <c r="A36" s="2"/>
      <c r="B36" s="10">
        <f t="shared" si="0"/>
        <v>2026</v>
      </c>
      <c r="C36" s="10">
        <f t="shared" si="1"/>
        <v>3</v>
      </c>
      <c r="D36" s="3">
        <v>46101</v>
      </c>
      <c r="E36" s="9">
        <v>112.19</v>
      </c>
      <c r="F36" s="9">
        <v>98.32</v>
      </c>
      <c r="G36" s="9">
        <v>4.6083999999999996</v>
      </c>
      <c r="H36" s="9">
        <v>3.2862</v>
      </c>
      <c r="I36" s="9">
        <v>3.0950000000000002</v>
      </c>
      <c r="J36" s="9">
        <v>5.3136000000000001</v>
      </c>
    </row>
    <row r="37" spans="1:10" x14ac:dyDescent="0.3">
      <c r="A37" s="2"/>
      <c r="B37" s="10">
        <f t="shared" si="0"/>
        <v>2026</v>
      </c>
      <c r="C37" s="10">
        <f t="shared" si="1"/>
        <v>3</v>
      </c>
      <c r="D37" s="3">
        <v>46100</v>
      </c>
      <c r="E37" s="9">
        <v>108.65</v>
      </c>
      <c r="F37" s="9">
        <v>96.14</v>
      </c>
      <c r="G37" s="9">
        <v>4.3419999999999996</v>
      </c>
      <c r="H37" s="9">
        <v>3.1271</v>
      </c>
      <c r="I37" s="9">
        <v>3.1659999999999999</v>
      </c>
      <c r="J37" s="9">
        <v>5.2198000000000002</v>
      </c>
    </row>
    <row r="38" spans="1:10" x14ac:dyDescent="0.3">
      <c r="A38" s="2"/>
      <c r="B38" s="10">
        <f t="shared" si="0"/>
        <v>2026</v>
      </c>
      <c r="C38" s="10">
        <f t="shared" si="1"/>
        <v>3</v>
      </c>
      <c r="D38" s="3">
        <v>46099</v>
      </c>
      <c r="E38" s="9">
        <v>107.38</v>
      </c>
      <c r="F38" s="9">
        <v>96.32</v>
      </c>
      <c r="G38" s="9">
        <v>4.1978</v>
      </c>
      <c r="H38" s="9">
        <v>3.0985</v>
      </c>
      <c r="I38" s="9">
        <v>3.0649999999999999</v>
      </c>
      <c r="J38" s="9">
        <v>5.2672999999999996</v>
      </c>
    </row>
    <row r="39" spans="1:10" x14ac:dyDescent="0.3">
      <c r="A39" s="2"/>
      <c r="B39" s="10">
        <f t="shared" si="0"/>
        <v>2026</v>
      </c>
      <c r="C39" s="10">
        <f t="shared" si="1"/>
        <v>3</v>
      </c>
      <c r="D39" s="3">
        <v>46098</v>
      </c>
      <c r="E39" s="9">
        <v>103.42</v>
      </c>
      <c r="F39" s="9">
        <v>96.21</v>
      </c>
      <c r="G39" s="9">
        <v>4.0157999999999996</v>
      </c>
      <c r="H39" s="9">
        <v>3.1234000000000002</v>
      </c>
      <c r="I39" s="9">
        <v>3.0329999999999999</v>
      </c>
      <c r="J39" s="9">
        <v>5.1923000000000004</v>
      </c>
    </row>
    <row r="40" spans="1:10" x14ac:dyDescent="0.3">
      <c r="A40" s="2"/>
      <c r="B40" s="10">
        <f t="shared" si="0"/>
        <v>2026</v>
      </c>
      <c r="C40" s="10">
        <f t="shared" si="1"/>
        <v>3</v>
      </c>
      <c r="D40" s="3">
        <v>46097</v>
      </c>
      <c r="E40" s="9">
        <v>100.21</v>
      </c>
      <c r="F40" s="9">
        <v>93.5</v>
      </c>
      <c r="G40" s="9">
        <v>3.8374999999999999</v>
      </c>
      <c r="H40" s="9">
        <v>3.0003000000000002</v>
      </c>
      <c r="I40" s="9">
        <v>3.0230000000000001</v>
      </c>
      <c r="J40" s="9">
        <v>5.2309999999999999</v>
      </c>
    </row>
    <row r="41" spans="1:10" x14ac:dyDescent="0.3">
      <c r="A41" s="2"/>
      <c r="B41" s="10">
        <f t="shared" si="0"/>
        <v>2026</v>
      </c>
      <c r="C41" s="10">
        <f t="shared" si="1"/>
        <v>3</v>
      </c>
      <c r="D41" s="3">
        <v>46094</v>
      </c>
      <c r="E41" s="9">
        <v>103.14</v>
      </c>
      <c r="F41" s="9">
        <v>98.71</v>
      </c>
      <c r="G41" s="9">
        <v>4.0147000000000004</v>
      </c>
      <c r="H41" s="9">
        <v>3.0413999999999999</v>
      </c>
      <c r="I41" s="9">
        <v>3.1309999999999998</v>
      </c>
      <c r="J41" s="9">
        <v>5.3231999999999999</v>
      </c>
    </row>
    <row r="42" spans="1:10" x14ac:dyDescent="0.3">
      <c r="A42" s="2"/>
      <c r="B42" s="10">
        <f t="shared" si="0"/>
        <v>2026</v>
      </c>
      <c r="C42" s="10">
        <f t="shared" si="1"/>
        <v>3</v>
      </c>
      <c r="D42" s="3">
        <v>46093</v>
      </c>
      <c r="E42" s="9">
        <v>100.46</v>
      </c>
      <c r="F42" s="9">
        <v>95.73</v>
      </c>
      <c r="G42" s="9">
        <v>3.8988999999999998</v>
      </c>
      <c r="H42" s="9">
        <v>2.9645999999999999</v>
      </c>
      <c r="I42" s="9">
        <v>3.2330000000000001</v>
      </c>
      <c r="J42" s="9">
        <v>5.2438000000000002</v>
      </c>
    </row>
    <row r="43" spans="1:10" x14ac:dyDescent="0.3">
      <c r="A43" s="2"/>
      <c r="B43" s="10">
        <f t="shared" si="0"/>
        <v>2026</v>
      </c>
      <c r="C43" s="10">
        <f t="shared" si="1"/>
        <v>3</v>
      </c>
      <c r="D43" s="3">
        <v>46092</v>
      </c>
      <c r="E43" s="9">
        <v>91.98</v>
      </c>
      <c r="F43" s="9">
        <v>87.25</v>
      </c>
      <c r="G43" s="9">
        <v>3.6787999999999998</v>
      </c>
      <c r="H43" s="9">
        <v>2.7883</v>
      </c>
      <c r="I43" s="9">
        <v>3.2090000000000001</v>
      </c>
      <c r="J43" s="9">
        <v>5.1569000000000003</v>
      </c>
    </row>
    <row r="44" spans="1:10" x14ac:dyDescent="0.3">
      <c r="A44" s="2"/>
      <c r="B44" s="10">
        <f t="shared" si="0"/>
        <v>2026</v>
      </c>
      <c r="C44" s="10">
        <f t="shared" si="1"/>
        <v>3</v>
      </c>
      <c r="D44" s="3">
        <v>46091</v>
      </c>
      <c r="E44" s="9">
        <v>87.8</v>
      </c>
      <c r="F44" s="9">
        <v>83.45</v>
      </c>
      <c r="G44" s="9">
        <v>3.3466</v>
      </c>
      <c r="H44" s="9">
        <v>2.6402999999999999</v>
      </c>
      <c r="I44" s="9">
        <v>3.02</v>
      </c>
      <c r="J44" s="9">
        <v>5.1593999999999998</v>
      </c>
    </row>
    <row r="45" spans="1:10" x14ac:dyDescent="0.3">
      <c r="A45" s="2"/>
      <c r="B45" s="10">
        <f t="shared" si="0"/>
        <v>2026</v>
      </c>
      <c r="C45" s="10">
        <f t="shared" si="1"/>
        <v>3</v>
      </c>
      <c r="D45" s="3">
        <v>46090</v>
      </c>
      <c r="E45" s="9">
        <v>98.96</v>
      </c>
      <c r="F45" s="9">
        <v>94.77</v>
      </c>
      <c r="G45" s="9">
        <v>3.5865999999999998</v>
      </c>
      <c r="H45" s="9">
        <v>2.8083999999999998</v>
      </c>
      <c r="I45" s="9">
        <v>3.12</v>
      </c>
      <c r="J45" s="9">
        <v>5.1601999999999997</v>
      </c>
    </row>
    <row r="46" spans="1:10" x14ac:dyDescent="0.3">
      <c r="A46" s="2"/>
      <c r="B46" s="10">
        <f t="shared" si="0"/>
        <v>2026</v>
      </c>
      <c r="C46" s="10">
        <f t="shared" si="1"/>
        <v>3</v>
      </c>
      <c r="D46" s="3">
        <v>46087</v>
      </c>
      <c r="E46" s="9">
        <v>92.69</v>
      </c>
      <c r="F46" s="9">
        <v>90.9</v>
      </c>
      <c r="G46" s="9">
        <v>3.6223999999999998</v>
      </c>
      <c r="H46" s="9">
        <v>2.7465999999999999</v>
      </c>
      <c r="I46" s="9">
        <v>3.1859999999999999</v>
      </c>
      <c r="J46" s="9">
        <v>5.2439999999999998</v>
      </c>
    </row>
    <row r="47" spans="1:10" x14ac:dyDescent="0.3">
      <c r="A47" s="2"/>
      <c r="B47" s="10">
        <f t="shared" si="0"/>
        <v>2026</v>
      </c>
      <c r="C47" s="10">
        <f t="shared" si="1"/>
        <v>3</v>
      </c>
      <c r="D47" s="3">
        <v>46086</v>
      </c>
      <c r="E47" s="9">
        <v>85.41</v>
      </c>
      <c r="F47" s="9">
        <v>81.010000000000005</v>
      </c>
      <c r="G47" s="9">
        <v>3.6143000000000001</v>
      </c>
      <c r="H47" s="9">
        <v>2.6709000000000001</v>
      </c>
      <c r="I47" s="9">
        <v>3.0030000000000001</v>
      </c>
      <c r="J47" s="9">
        <v>5.2638999999999996</v>
      </c>
    </row>
    <row r="48" spans="1:10" x14ac:dyDescent="0.3">
      <c r="A48" s="2"/>
      <c r="B48" s="10">
        <f t="shared" si="0"/>
        <v>2026</v>
      </c>
      <c r="C48" s="10">
        <f t="shared" si="1"/>
        <v>3</v>
      </c>
      <c r="D48" s="3">
        <v>46085</v>
      </c>
      <c r="E48" s="9">
        <v>81.400000000000006</v>
      </c>
      <c r="F48" s="9">
        <v>74.66</v>
      </c>
      <c r="G48" s="9">
        <v>3.2938000000000001</v>
      </c>
      <c r="H48" s="9">
        <v>2.5148999999999999</v>
      </c>
      <c r="I48" s="9">
        <v>2.9169999999999998</v>
      </c>
      <c r="J48" s="9">
        <v>5.2312000000000003</v>
      </c>
    </row>
    <row r="49" spans="1:10" x14ac:dyDescent="0.3">
      <c r="A49" s="2"/>
      <c r="B49" s="10">
        <f t="shared" si="0"/>
        <v>2026</v>
      </c>
      <c r="C49" s="10">
        <f t="shared" si="1"/>
        <v>3</v>
      </c>
      <c r="D49" s="3">
        <v>46084</v>
      </c>
      <c r="E49" s="9">
        <v>81.400000000000006</v>
      </c>
      <c r="F49" s="9">
        <v>74.56</v>
      </c>
      <c r="G49" s="9">
        <v>3.1869000000000001</v>
      </c>
      <c r="H49" s="9">
        <v>2.4573999999999998</v>
      </c>
      <c r="I49" s="9">
        <v>3.0539999999999998</v>
      </c>
      <c r="J49" s="9">
        <v>5.2770000000000001</v>
      </c>
    </row>
    <row r="50" spans="1:10" x14ac:dyDescent="0.3">
      <c r="A50" s="2"/>
      <c r="B50" s="10">
        <f t="shared" si="0"/>
        <v>2026</v>
      </c>
      <c r="C50" s="10">
        <f t="shared" si="1"/>
        <v>3</v>
      </c>
      <c r="D50" s="3">
        <v>46083</v>
      </c>
      <c r="E50" s="9">
        <v>77.739999999999995</v>
      </c>
      <c r="F50" s="9">
        <v>71.23</v>
      </c>
      <c r="G50" s="9">
        <v>2.9003999999999999</v>
      </c>
      <c r="H50" s="9">
        <v>2.3706</v>
      </c>
      <c r="I50" s="9">
        <v>2.96</v>
      </c>
      <c r="J50" s="9">
        <v>5.1711999999999998</v>
      </c>
    </row>
    <row r="51" spans="1:10" x14ac:dyDescent="0.3">
      <c r="A51" s="2"/>
      <c r="B51" s="10">
        <f t="shared" si="0"/>
        <v>2026</v>
      </c>
      <c r="C51" s="10">
        <f t="shared" si="1"/>
        <v>2</v>
      </c>
      <c r="D51" s="3">
        <v>46080</v>
      </c>
      <c r="E51" s="9">
        <v>72.48</v>
      </c>
      <c r="F51" s="9">
        <v>67.02</v>
      </c>
      <c r="G51" s="9">
        <v>2.6709000000000001</v>
      </c>
      <c r="H51" s="9">
        <v>2.0779000000000001</v>
      </c>
      <c r="I51" s="9">
        <v>2.859</v>
      </c>
      <c r="J51" s="9">
        <v>5.13</v>
      </c>
    </row>
    <row r="52" spans="1:10" x14ac:dyDescent="0.3">
      <c r="A52" s="2"/>
      <c r="B52" s="10">
        <f t="shared" si="0"/>
        <v>2026</v>
      </c>
      <c r="C52" s="10">
        <f t="shared" si="1"/>
        <v>2</v>
      </c>
      <c r="D52" s="3">
        <v>46079</v>
      </c>
      <c r="E52" s="9">
        <v>70.75</v>
      </c>
      <c r="F52" s="9">
        <v>65.209999999999994</v>
      </c>
      <c r="G52" s="9">
        <v>2.6124999999999998</v>
      </c>
      <c r="H52" s="9">
        <v>2.0323000000000002</v>
      </c>
      <c r="I52" s="9">
        <v>2.827</v>
      </c>
      <c r="J52" s="9">
        <v>5.1369999999999996</v>
      </c>
    </row>
    <row r="53" spans="1:10" x14ac:dyDescent="0.3">
      <c r="A53" s="2"/>
      <c r="B53" s="10">
        <f t="shared" si="0"/>
        <v>2026</v>
      </c>
      <c r="C53" s="10">
        <f t="shared" si="1"/>
        <v>2</v>
      </c>
      <c r="D53" s="3">
        <v>46078</v>
      </c>
      <c r="E53" s="9">
        <v>70.849999999999994</v>
      </c>
      <c r="F53" s="9">
        <v>65.42</v>
      </c>
      <c r="G53" s="9">
        <v>2.6739999999999999</v>
      </c>
      <c r="H53" s="9">
        <v>1.9914000000000001</v>
      </c>
      <c r="I53" s="9">
        <v>2.9689999999999999</v>
      </c>
      <c r="J53" s="9">
        <v>5.1246</v>
      </c>
    </row>
    <row r="54" spans="1:10" x14ac:dyDescent="0.3">
      <c r="A54" s="2"/>
      <c r="B54" s="10">
        <f t="shared" si="0"/>
        <v>2026</v>
      </c>
      <c r="C54" s="10">
        <f t="shared" si="1"/>
        <v>2</v>
      </c>
      <c r="D54" s="3">
        <v>46077</v>
      </c>
      <c r="E54" s="9">
        <v>70.77</v>
      </c>
      <c r="F54" s="9">
        <v>65.63</v>
      </c>
      <c r="G54" s="9">
        <v>2.6869000000000001</v>
      </c>
      <c r="H54" s="9">
        <v>1.9714</v>
      </c>
      <c r="I54" s="9">
        <v>2.915</v>
      </c>
      <c r="J54" s="9">
        <v>5.1536999999999997</v>
      </c>
    </row>
    <row r="55" spans="1:10" x14ac:dyDescent="0.3">
      <c r="A55" s="2"/>
      <c r="B55" s="10">
        <f t="shared" si="0"/>
        <v>2026</v>
      </c>
      <c r="C55" s="10">
        <f t="shared" si="1"/>
        <v>2</v>
      </c>
      <c r="D55" s="3">
        <v>46076</v>
      </c>
      <c r="E55" s="9">
        <v>71.489999999999995</v>
      </c>
      <c r="F55" s="9">
        <v>66.31</v>
      </c>
      <c r="G55" s="9">
        <v>2.6781999999999999</v>
      </c>
      <c r="H55" s="9">
        <v>1.9892000000000001</v>
      </c>
      <c r="I55" s="9">
        <v>2.9849999999999999</v>
      </c>
      <c r="J55" s="9">
        <v>5.1718000000000002</v>
      </c>
    </row>
    <row r="56" spans="1:10" x14ac:dyDescent="0.3">
      <c r="A56" s="2"/>
      <c r="B56" s="10">
        <f t="shared" si="0"/>
        <v>2026</v>
      </c>
      <c r="C56" s="10">
        <f t="shared" si="1"/>
        <v>2</v>
      </c>
      <c r="D56" s="3">
        <v>46073</v>
      </c>
      <c r="E56" s="9">
        <v>71.760000000000005</v>
      </c>
      <c r="F56" s="9">
        <v>66.39</v>
      </c>
      <c r="G56" s="9">
        <v>2.5857999999999999</v>
      </c>
      <c r="H56" s="9">
        <v>1.9973000000000001</v>
      </c>
      <c r="I56" s="9">
        <v>3.0470000000000002</v>
      </c>
      <c r="J56" s="9">
        <v>5.1763000000000003</v>
      </c>
    </row>
    <row r="57" spans="1:10" x14ac:dyDescent="0.3">
      <c r="A57" s="2"/>
      <c r="B57" s="10">
        <f t="shared" si="0"/>
        <v>2026</v>
      </c>
      <c r="C57" s="10">
        <f t="shared" si="1"/>
        <v>2</v>
      </c>
      <c r="D57" s="3">
        <v>46072</v>
      </c>
      <c r="E57" s="9">
        <v>71.66</v>
      </c>
      <c r="F57" s="9">
        <v>66.430000000000007</v>
      </c>
      <c r="G57" s="9">
        <v>2.6147</v>
      </c>
      <c r="H57" s="9">
        <v>2.0066000000000002</v>
      </c>
      <c r="I57" s="9">
        <v>2.996</v>
      </c>
      <c r="J57" s="9">
        <v>5.2103999999999999</v>
      </c>
    </row>
    <row r="58" spans="1:10" x14ac:dyDescent="0.3">
      <c r="A58" s="2"/>
      <c r="B58" s="10">
        <f t="shared" si="0"/>
        <v>2026</v>
      </c>
      <c r="C58" s="10">
        <f t="shared" si="1"/>
        <v>2</v>
      </c>
      <c r="D58" s="3">
        <v>46071</v>
      </c>
      <c r="E58" s="9">
        <v>70.349999999999994</v>
      </c>
      <c r="F58" s="9">
        <v>65.19</v>
      </c>
      <c r="G58" s="9">
        <v>2.5186999999999999</v>
      </c>
      <c r="H58" s="9">
        <v>1.968</v>
      </c>
      <c r="I58" s="9">
        <v>3.0110000000000001</v>
      </c>
      <c r="J58" s="9">
        <v>5.2354000000000003</v>
      </c>
    </row>
    <row r="59" spans="1:10" x14ac:dyDescent="0.3">
      <c r="A59" s="2"/>
      <c r="B59" s="10">
        <f t="shared" si="0"/>
        <v>2026</v>
      </c>
      <c r="C59" s="10">
        <f t="shared" si="1"/>
        <v>2</v>
      </c>
      <c r="D59" s="3">
        <v>46070</v>
      </c>
      <c r="E59" s="9">
        <v>67.42</v>
      </c>
      <c r="F59" s="9">
        <v>62.33</v>
      </c>
      <c r="G59" s="9">
        <v>2.3906000000000001</v>
      </c>
      <c r="H59" s="9">
        <v>1.9144000000000001</v>
      </c>
      <c r="I59" s="9">
        <v>3.0310000000000001</v>
      </c>
      <c r="J59" s="9">
        <v>5.2228000000000003</v>
      </c>
    </row>
    <row r="60" spans="1:10" x14ac:dyDescent="0.3">
      <c r="A60" s="2"/>
      <c r="B60" s="10">
        <f t="shared" si="0"/>
        <v>2026</v>
      </c>
      <c r="C60" s="10">
        <f t="shared" si="1"/>
        <v>2</v>
      </c>
      <c r="D60" s="3">
        <v>46069</v>
      </c>
      <c r="E60" s="9">
        <v>68.650000000000006</v>
      </c>
      <c r="F60" s="9"/>
      <c r="G60" s="9"/>
      <c r="H60" s="9"/>
      <c r="I60" s="9"/>
      <c r="J60" s="9">
        <v>5.2240000000000002</v>
      </c>
    </row>
    <row r="61" spans="1:10" x14ac:dyDescent="0.3">
      <c r="A61" s="2"/>
      <c r="B61" s="10">
        <f t="shared" si="0"/>
        <v>2026</v>
      </c>
      <c r="C61" s="10">
        <f t="shared" si="1"/>
        <v>2</v>
      </c>
      <c r="D61" s="3">
        <v>46066</v>
      </c>
      <c r="E61" s="9">
        <v>67.75</v>
      </c>
      <c r="F61" s="9">
        <v>62.89</v>
      </c>
      <c r="G61" s="9">
        <v>2.3879000000000001</v>
      </c>
      <c r="H61" s="9">
        <v>1.911</v>
      </c>
      <c r="I61" s="9">
        <v>3.2429999999999999</v>
      </c>
      <c r="J61" s="9">
        <v>5.2191000000000001</v>
      </c>
    </row>
    <row r="62" spans="1:10" x14ac:dyDescent="0.3">
      <c r="A62" s="2"/>
      <c r="B62" s="10">
        <f t="shared" si="0"/>
        <v>2026</v>
      </c>
      <c r="C62" s="10">
        <f t="shared" si="1"/>
        <v>2</v>
      </c>
      <c r="D62" s="3">
        <v>46065</v>
      </c>
      <c r="E62" s="9">
        <v>67.52</v>
      </c>
      <c r="F62" s="9">
        <v>62.84</v>
      </c>
      <c r="G62" s="9">
        <v>2.3927</v>
      </c>
      <c r="H62" s="9">
        <v>1.9158999999999999</v>
      </c>
      <c r="I62" s="9">
        <v>3.2170000000000001</v>
      </c>
      <c r="J62" s="9">
        <v>5.2115</v>
      </c>
    </row>
    <row r="63" spans="1:10" x14ac:dyDescent="0.3">
      <c r="A63" s="2"/>
      <c r="B63" s="10">
        <f t="shared" si="0"/>
        <v>2026</v>
      </c>
      <c r="C63" s="10">
        <f t="shared" si="1"/>
        <v>2</v>
      </c>
      <c r="D63" s="3">
        <v>46064</v>
      </c>
      <c r="E63" s="9">
        <v>69.400000000000006</v>
      </c>
      <c r="F63" s="9">
        <v>64.63</v>
      </c>
      <c r="G63" s="9">
        <v>2.4403999999999999</v>
      </c>
      <c r="H63" s="9">
        <v>1.9789000000000001</v>
      </c>
      <c r="I63" s="9">
        <v>3.1589999999999998</v>
      </c>
      <c r="J63" s="9">
        <v>5.1832000000000003</v>
      </c>
    </row>
    <row r="64" spans="1:10" x14ac:dyDescent="0.3">
      <c r="A64" s="2"/>
      <c r="B64" s="10">
        <f t="shared" si="0"/>
        <v>2026</v>
      </c>
      <c r="C64" s="10">
        <f t="shared" si="1"/>
        <v>2</v>
      </c>
      <c r="D64" s="3">
        <v>46063</v>
      </c>
      <c r="E64" s="9">
        <v>68.8</v>
      </c>
      <c r="F64" s="9">
        <v>63.96</v>
      </c>
      <c r="G64" s="9">
        <v>2.3988</v>
      </c>
      <c r="H64" s="9">
        <v>1.9592000000000001</v>
      </c>
      <c r="I64" s="9">
        <v>3.1150000000000002</v>
      </c>
      <c r="J64" s="9">
        <v>5.1920000000000002</v>
      </c>
    </row>
    <row r="65" spans="1:10" x14ac:dyDescent="0.3">
      <c r="A65" s="2"/>
      <c r="B65" s="10">
        <f t="shared" si="0"/>
        <v>2026</v>
      </c>
      <c r="C65" s="10">
        <f t="shared" si="1"/>
        <v>2</v>
      </c>
      <c r="D65" s="3">
        <v>46062</v>
      </c>
      <c r="E65" s="9">
        <v>69.040000000000006</v>
      </c>
      <c r="F65" s="9">
        <v>64.36</v>
      </c>
      <c r="G65" s="9">
        <v>2.4169</v>
      </c>
      <c r="H65" s="9">
        <v>1.9855</v>
      </c>
      <c r="I65" s="9">
        <v>3.1379999999999999</v>
      </c>
      <c r="J65" s="9">
        <v>5.1929999999999996</v>
      </c>
    </row>
    <row r="66" spans="1:10" x14ac:dyDescent="0.3">
      <c r="B66" s="10">
        <f t="shared" si="0"/>
        <v>2026</v>
      </c>
      <c r="C66" s="10">
        <f t="shared" si="1"/>
        <v>2</v>
      </c>
      <c r="D66" s="3">
        <v>46059</v>
      </c>
      <c r="E66" s="9">
        <v>68.05</v>
      </c>
      <c r="F66" s="9">
        <v>63.55</v>
      </c>
      <c r="G66" s="9">
        <v>2.4133</v>
      </c>
      <c r="H66" s="9">
        <v>1.9532</v>
      </c>
      <c r="I66" s="9">
        <v>3.4220000000000002</v>
      </c>
      <c r="J66" s="9">
        <v>5.2165999999999997</v>
      </c>
    </row>
    <row r="67" spans="1:10" x14ac:dyDescent="0.3">
      <c r="B67" s="10">
        <f t="shared" si="0"/>
        <v>2026</v>
      </c>
      <c r="C67" s="10">
        <f t="shared" si="1"/>
        <v>2</v>
      </c>
      <c r="D67" s="3">
        <v>46058</v>
      </c>
      <c r="E67" s="9">
        <v>67.55</v>
      </c>
      <c r="F67" s="9">
        <v>63.29</v>
      </c>
      <c r="G67" s="9">
        <v>2.3932000000000002</v>
      </c>
      <c r="H67" s="9">
        <v>1.9266000000000001</v>
      </c>
      <c r="I67" s="9">
        <v>3.5089999999999999</v>
      </c>
      <c r="J67" s="9">
        <v>5.2723000000000004</v>
      </c>
    </row>
    <row r="68" spans="1:10" x14ac:dyDescent="0.3">
      <c r="B68" s="10">
        <f t="shared" si="0"/>
        <v>2026</v>
      </c>
      <c r="C68" s="10">
        <f t="shared" si="1"/>
        <v>2</v>
      </c>
      <c r="D68" s="3">
        <v>46057</v>
      </c>
      <c r="E68" s="9">
        <v>69.459999999999994</v>
      </c>
      <c r="F68" s="9">
        <v>65.14</v>
      </c>
      <c r="G68" s="9">
        <v>2.4700000000000002</v>
      </c>
      <c r="H68" s="9">
        <v>1.9652000000000001</v>
      </c>
      <c r="I68" s="9">
        <v>3.4649999999999999</v>
      </c>
      <c r="J68" s="9">
        <v>5.2389999999999999</v>
      </c>
    </row>
    <row r="69" spans="1:10" x14ac:dyDescent="0.3">
      <c r="B69" s="10">
        <f t="shared" si="0"/>
        <v>2026</v>
      </c>
      <c r="C69" s="10">
        <f t="shared" si="1"/>
        <v>2</v>
      </c>
      <c r="D69" s="3">
        <v>46056</v>
      </c>
      <c r="E69" s="9">
        <v>67.33</v>
      </c>
      <c r="F69" s="9">
        <v>63.21</v>
      </c>
      <c r="G69" s="9">
        <v>2.4093</v>
      </c>
      <c r="H69" s="9">
        <v>1.8978999999999999</v>
      </c>
      <c r="I69" s="9">
        <v>3.3109999999999999</v>
      </c>
      <c r="J69" s="9">
        <v>5.2386999999999997</v>
      </c>
    </row>
    <row r="70" spans="1:10" x14ac:dyDescent="0.3">
      <c r="B70" s="10">
        <f t="shared" ref="B70:B133" si="2">YEAR(D70)</f>
        <v>2026</v>
      </c>
      <c r="C70" s="10">
        <f t="shared" ref="C70:C133" si="3">MONTH(D70)</f>
        <v>2</v>
      </c>
      <c r="D70" s="3">
        <v>46055</v>
      </c>
      <c r="E70" s="9">
        <v>66.3</v>
      </c>
      <c r="F70" s="9">
        <v>62.14</v>
      </c>
      <c r="G70" s="9">
        <v>2.3597999999999999</v>
      </c>
      <c r="H70" s="9">
        <v>1.8513999999999999</v>
      </c>
      <c r="I70" s="9">
        <v>3.2370000000000001</v>
      </c>
      <c r="J70" s="9">
        <v>5.2603999999999997</v>
      </c>
    </row>
    <row r="71" spans="1:10" x14ac:dyDescent="0.3">
      <c r="B71" s="10">
        <f t="shared" si="2"/>
        <v>2026</v>
      </c>
      <c r="C71" s="10">
        <f t="shared" si="3"/>
        <v>1</v>
      </c>
      <c r="D71" s="3">
        <v>46052</v>
      </c>
      <c r="E71" s="9">
        <v>70.69</v>
      </c>
      <c r="F71" s="9">
        <v>65.209999999999994</v>
      </c>
      <c r="G71" s="9">
        <v>2.7355999999999998</v>
      </c>
      <c r="H71" s="9">
        <v>1.9228000000000001</v>
      </c>
      <c r="I71" s="9">
        <v>4.3540000000000001</v>
      </c>
      <c r="J71" s="9">
        <v>5.2571000000000003</v>
      </c>
    </row>
    <row r="72" spans="1:10" x14ac:dyDescent="0.3">
      <c r="B72" s="10">
        <f t="shared" si="2"/>
        <v>2026</v>
      </c>
      <c r="C72" s="10">
        <f t="shared" si="3"/>
        <v>1</v>
      </c>
      <c r="D72" s="3">
        <v>46051</v>
      </c>
      <c r="E72" s="9">
        <v>70.709999999999994</v>
      </c>
      <c r="F72" s="9">
        <v>65.42</v>
      </c>
      <c r="G72" s="9">
        <v>2.5853999999999999</v>
      </c>
      <c r="H72" s="9">
        <v>1.92</v>
      </c>
      <c r="I72" s="9">
        <v>3.9180000000000001</v>
      </c>
      <c r="J72" s="9">
        <v>5.1898</v>
      </c>
    </row>
    <row r="73" spans="1:10" x14ac:dyDescent="0.3">
      <c r="B73" s="10">
        <f t="shared" si="2"/>
        <v>2026</v>
      </c>
      <c r="C73" s="10">
        <f t="shared" si="3"/>
        <v>1</v>
      </c>
      <c r="D73" s="3">
        <v>46050</v>
      </c>
      <c r="E73" s="9">
        <v>68.400000000000006</v>
      </c>
      <c r="F73" s="9">
        <v>63.21</v>
      </c>
      <c r="G73" s="9">
        <v>2.6661000000000001</v>
      </c>
      <c r="H73" s="9">
        <v>1.8923000000000001</v>
      </c>
      <c r="I73" s="9">
        <v>7.46</v>
      </c>
      <c r="J73" s="9">
        <v>5.1939000000000002</v>
      </c>
    </row>
    <row r="74" spans="1:10" x14ac:dyDescent="0.3">
      <c r="B74" s="10">
        <f t="shared" si="2"/>
        <v>2026</v>
      </c>
      <c r="C74" s="10">
        <f t="shared" si="3"/>
        <v>1</v>
      </c>
      <c r="D74" s="3">
        <v>46049</v>
      </c>
      <c r="E74" s="1">
        <v>67.569999999999993</v>
      </c>
      <c r="F74" s="1">
        <v>62.39</v>
      </c>
      <c r="G74" s="1">
        <v>2.6461999999999999</v>
      </c>
      <c r="H74" s="1">
        <v>1.8652</v>
      </c>
      <c r="I74" s="1">
        <v>6.9539999999999997</v>
      </c>
      <c r="J74" s="1">
        <v>5.1806000000000001</v>
      </c>
    </row>
    <row r="75" spans="1:10" x14ac:dyDescent="0.3">
      <c r="B75" s="10">
        <f t="shared" si="2"/>
        <v>2026</v>
      </c>
      <c r="C75" s="10">
        <f t="shared" si="3"/>
        <v>1</v>
      </c>
      <c r="D75" s="3">
        <v>46048</v>
      </c>
      <c r="E75" s="1">
        <v>65.59</v>
      </c>
      <c r="F75" s="1">
        <v>60.63</v>
      </c>
      <c r="G75" s="1">
        <v>2.5680000000000001</v>
      </c>
      <c r="H75" s="1">
        <v>1.8201000000000001</v>
      </c>
      <c r="I75" s="1">
        <v>6.8</v>
      </c>
      <c r="J75" s="1">
        <v>5.2809999999999997</v>
      </c>
    </row>
    <row r="76" spans="1:10" x14ac:dyDescent="0.3">
      <c r="B76" s="10">
        <f t="shared" si="2"/>
        <v>2026</v>
      </c>
      <c r="C76" s="10">
        <f t="shared" si="3"/>
        <v>1</v>
      </c>
      <c r="D76" s="3">
        <v>46045</v>
      </c>
      <c r="E76" s="1">
        <v>65.88</v>
      </c>
      <c r="F76" s="1">
        <v>61.07</v>
      </c>
      <c r="G76" s="1">
        <v>2.4285000000000001</v>
      </c>
      <c r="H76" s="1">
        <v>1.851</v>
      </c>
      <c r="I76" s="1">
        <v>5.2750000000000004</v>
      </c>
      <c r="J76" s="1">
        <v>5.2895000000000003</v>
      </c>
    </row>
    <row r="77" spans="1:10" x14ac:dyDescent="0.3">
      <c r="B77" s="10">
        <f t="shared" si="2"/>
        <v>2026</v>
      </c>
      <c r="C77" s="10">
        <f t="shared" si="3"/>
        <v>1</v>
      </c>
      <c r="D77" s="3">
        <v>46044</v>
      </c>
      <c r="E77" s="1">
        <v>64.06</v>
      </c>
      <c r="F77" s="1">
        <v>59.36</v>
      </c>
      <c r="G77" s="1">
        <v>2.3668</v>
      </c>
      <c r="H77" s="1">
        <v>1.8171999999999999</v>
      </c>
      <c r="I77" s="1">
        <v>5.0449999999999999</v>
      </c>
      <c r="J77" s="1">
        <v>5.2843999999999998</v>
      </c>
    </row>
    <row r="78" spans="1:10" x14ac:dyDescent="0.3">
      <c r="B78" s="10">
        <f t="shared" si="2"/>
        <v>2026</v>
      </c>
      <c r="C78" s="10">
        <f t="shared" si="3"/>
        <v>1</v>
      </c>
      <c r="D78" s="3">
        <v>46043</v>
      </c>
      <c r="E78" s="1">
        <v>65.239999999999995</v>
      </c>
      <c r="F78" s="1">
        <v>60.62</v>
      </c>
      <c r="G78" s="1">
        <v>2.4304999999999999</v>
      </c>
      <c r="H78" s="1">
        <v>1.8573999999999999</v>
      </c>
      <c r="I78" s="1">
        <v>4.875</v>
      </c>
      <c r="J78" s="1">
        <v>5.3196000000000003</v>
      </c>
    </row>
    <row r="79" spans="1:10" x14ac:dyDescent="0.3">
      <c r="B79" s="10">
        <f t="shared" si="2"/>
        <v>2026</v>
      </c>
      <c r="C79" s="10">
        <f t="shared" si="3"/>
        <v>1</v>
      </c>
      <c r="D79" s="3">
        <v>46042</v>
      </c>
      <c r="E79" s="1">
        <v>64.92</v>
      </c>
      <c r="F79" s="1">
        <v>60.34</v>
      </c>
      <c r="G79" s="1">
        <v>2.3384999999999998</v>
      </c>
      <c r="H79" s="1">
        <v>1.8238000000000001</v>
      </c>
      <c r="I79" s="1">
        <v>3.907</v>
      </c>
      <c r="J79" s="1">
        <v>5.3764000000000003</v>
      </c>
    </row>
    <row r="80" spans="1:10" x14ac:dyDescent="0.3">
      <c r="B80" s="10">
        <f t="shared" si="2"/>
        <v>2026</v>
      </c>
      <c r="C80" s="10">
        <f t="shared" si="3"/>
        <v>1</v>
      </c>
      <c r="D80" s="3">
        <v>46041</v>
      </c>
      <c r="E80" s="1">
        <v>63.94</v>
      </c>
      <c r="J80" s="1">
        <v>5.3696999999999999</v>
      </c>
    </row>
    <row r="81" spans="2:10" x14ac:dyDescent="0.3">
      <c r="B81" s="10">
        <f t="shared" si="2"/>
        <v>2026</v>
      </c>
      <c r="C81" s="10">
        <f t="shared" si="3"/>
        <v>1</v>
      </c>
      <c r="D81" s="3">
        <v>46038</v>
      </c>
      <c r="E81" s="1">
        <v>64.13</v>
      </c>
      <c r="F81" s="1">
        <v>59.44</v>
      </c>
      <c r="G81" s="1">
        <v>2.2376</v>
      </c>
      <c r="H81" s="1">
        <v>1.7851999999999999</v>
      </c>
      <c r="I81" s="1">
        <v>3.1030000000000002</v>
      </c>
      <c r="J81" s="1">
        <v>5.3693999999999997</v>
      </c>
    </row>
    <row r="82" spans="2:10" x14ac:dyDescent="0.3">
      <c r="B82" s="10">
        <f t="shared" si="2"/>
        <v>2026</v>
      </c>
      <c r="C82" s="10">
        <f t="shared" si="3"/>
        <v>1</v>
      </c>
      <c r="D82" s="3">
        <v>46037</v>
      </c>
      <c r="E82" s="1">
        <v>63.76</v>
      </c>
      <c r="F82" s="1">
        <v>59.19</v>
      </c>
      <c r="G82" s="1">
        <v>2.2082999999999999</v>
      </c>
      <c r="H82" s="1">
        <v>1.7838000000000001</v>
      </c>
      <c r="I82" s="1">
        <v>3.1280000000000001</v>
      </c>
      <c r="J82" s="1">
        <v>5.3677999999999999</v>
      </c>
    </row>
    <row r="83" spans="2:10" x14ac:dyDescent="0.3">
      <c r="B83" s="10">
        <f t="shared" si="2"/>
        <v>2026</v>
      </c>
      <c r="C83" s="10">
        <f t="shared" si="3"/>
        <v>1</v>
      </c>
      <c r="D83" s="3">
        <v>46036</v>
      </c>
      <c r="E83" s="1">
        <v>66.52</v>
      </c>
      <c r="F83" s="1">
        <v>62.02</v>
      </c>
      <c r="G83" s="1">
        <v>2.2818999999999998</v>
      </c>
      <c r="H83" s="1">
        <v>1.8304</v>
      </c>
      <c r="I83" s="1">
        <v>3.12</v>
      </c>
      <c r="J83" s="1">
        <v>5.3967000000000001</v>
      </c>
    </row>
    <row r="84" spans="2:10" x14ac:dyDescent="0.3">
      <c r="B84" s="10">
        <f t="shared" si="2"/>
        <v>2026</v>
      </c>
      <c r="C84" s="10">
        <f t="shared" si="3"/>
        <v>1</v>
      </c>
      <c r="D84" s="3">
        <v>46035</v>
      </c>
      <c r="E84" s="1">
        <v>65.47</v>
      </c>
      <c r="F84" s="1">
        <v>61.15</v>
      </c>
      <c r="G84" s="1">
        <v>2.2383999999999999</v>
      </c>
      <c r="H84" s="1">
        <v>1.8265</v>
      </c>
      <c r="I84" s="1">
        <v>3.419</v>
      </c>
      <c r="J84" s="1">
        <v>5.3723000000000001</v>
      </c>
    </row>
    <row r="85" spans="2:10" x14ac:dyDescent="0.3">
      <c r="B85" s="10">
        <f t="shared" si="2"/>
        <v>2026</v>
      </c>
      <c r="C85" s="10">
        <f t="shared" si="3"/>
        <v>1</v>
      </c>
      <c r="D85" s="3">
        <v>46034</v>
      </c>
      <c r="E85" s="1">
        <v>63.87</v>
      </c>
      <c r="F85" s="1">
        <v>59.5</v>
      </c>
      <c r="G85" s="1">
        <v>2.1543999999999999</v>
      </c>
      <c r="H85" s="1">
        <v>1.7938000000000001</v>
      </c>
      <c r="I85" s="1">
        <v>3.4089999999999998</v>
      </c>
      <c r="J85" s="1">
        <v>5.3752000000000004</v>
      </c>
    </row>
    <row r="86" spans="2:10" x14ac:dyDescent="0.3">
      <c r="B86" s="10">
        <f t="shared" si="2"/>
        <v>2026</v>
      </c>
      <c r="C86" s="10">
        <f t="shared" si="3"/>
        <v>1</v>
      </c>
      <c r="D86" s="3">
        <v>46031</v>
      </c>
      <c r="E86" s="1">
        <v>63.34</v>
      </c>
      <c r="F86" s="1">
        <v>59.12</v>
      </c>
      <c r="G86" s="1">
        <v>2.1349999999999998</v>
      </c>
      <c r="H86" s="1">
        <v>1.7806</v>
      </c>
      <c r="I86" s="1">
        <v>3.169</v>
      </c>
      <c r="J86" s="1">
        <v>5.3708</v>
      </c>
    </row>
    <row r="87" spans="2:10" x14ac:dyDescent="0.3">
      <c r="B87" s="10">
        <f t="shared" si="2"/>
        <v>2026</v>
      </c>
      <c r="C87" s="10">
        <f t="shared" si="3"/>
        <v>1</v>
      </c>
      <c r="D87" s="3">
        <v>46030</v>
      </c>
      <c r="E87" s="1">
        <v>61.99</v>
      </c>
      <c r="F87" s="1">
        <v>57.76</v>
      </c>
      <c r="G87" s="1">
        <v>2.1194999999999999</v>
      </c>
      <c r="H87" s="1">
        <v>1.7603</v>
      </c>
      <c r="I87" s="1">
        <v>3.407</v>
      </c>
      <c r="J87" s="1">
        <v>5.3878000000000004</v>
      </c>
    </row>
    <row r="88" spans="2:10" x14ac:dyDescent="0.3">
      <c r="B88" s="10">
        <f t="shared" si="2"/>
        <v>2026</v>
      </c>
      <c r="C88" s="10">
        <f t="shared" si="3"/>
        <v>1</v>
      </c>
      <c r="D88" s="3">
        <v>46029</v>
      </c>
      <c r="E88" s="1">
        <v>59.96</v>
      </c>
      <c r="F88" s="1">
        <v>55.99</v>
      </c>
      <c r="G88" s="1">
        <v>2.0567000000000002</v>
      </c>
      <c r="H88" s="1">
        <v>1.6944999999999999</v>
      </c>
      <c r="I88" s="1">
        <v>3.5249999999999999</v>
      </c>
      <c r="J88" s="1">
        <v>5.3848000000000003</v>
      </c>
    </row>
    <row r="89" spans="2:10" x14ac:dyDescent="0.3">
      <c r="B89" s="10">
        <f t="shared" si="2"/>
        <v>2026</v>
      </c>
      <c r="C89" s="10">
        <f t="shared" si="3"/>
        <v>1</v>
      </c>
      <c r="D89" s="3">
        <v>46028</v>
      </c>
      <c r="E89" s="1">
        <v>60.7</v>
      </c>
      <c r="F89" s="1">
        <v>57.13</v>
      </c>
      <c r="G89" s="1">
        <v>2.0830000000000002</v>
      </c>
      <c r="H89" s="1">
        <v>1.7005999999999999</v>
      </c>
      <c r="I89" s="1">
        <v>3.35</v>
      </c>
      <c r="J89" s="1">
        <v>5.3718000000000004</v>
      </c>
    </row>
    <row r="90" spans="2:10" x14ac:dyDescent="0.3">
      <c r="B90" s="10">
        <f t="shared" si="2"/>
        <v>2026</v>
      </c>
      <c r="C90" s="10">
        <f t="shared" si="3"/>
        <v>1</v>
      </c>
      <c r="D90" s="3">
        <v>46027</v>
      </c>
      <c r="E90" s="1">
        <v>61.76</v>
      </c>
      <c r="F90" s="1">
        <v>58.32</v>
      </c>
      <c r="G90" s="1">
        <v>2.1427999999999998</v>
      </c>
      <c r="H90" s="1">
        <v>1.72</v>
      </c>
      <c r="I90" s="1">
        <v>3.5230000000000001</v>
      </c>
      <c r="J90" s="1">
        <v>5.4093999999999998</v>
      </c>
    </row>
    <row r="91" spans="2:10" x14ac:dyDescent="0.3">
      <c r="B91" s="10">
        <f t="shared" si="2"/>
        <v>2026</v>
      </c>
      <c r="C91" s="10">
        <f t="shared" si="3"/>
        <v>1</v>
      </c>
      <c r="D91" s="3">
        <v>46024</v>
      </c>
      <c r="E91" s="1">
        <v>60.75</v>
      </c>
      <c r="F91" s="1">
        <v>57.32</v>
      </c>
      <c r="G91" s="1">
        <v>2.1151</v>
      </c>
      <c r="H91" s="1">
        <v>1.6981999999999999</v>
      </c>
      <c r="I91" s="1">
        <v>3.6179999999999999</v>
      </c>
      <c r="J91" s="1">
        <v>5.4222999999999999</v>
      </c>
    </row>
    <row r="92" spans="2:10" x14ac:dyDescent="0.3">
      <c r="B92" s="10">
        <f t="shared" si="2"/>
        <v>2026</v>
      </c>
      <c r="C92" s="10">
        <f t="shared" si="3"/>
        <v>1</v>
      </c>
      <c r="D92" s="3">
        <v>46023</v>
      </c>
      <c r="J92" s="1">
        <v>5.4770000000000003</v>
      </c>
    </row>
    <row r="93" spans="2:10" x14ac:dyDescent="0.3">
      <c r="B93" s="10">
        <f t="shared" si="2"/>
        <v>2025</v>
      </c>
      <c r="C93" s="10">
        <f t="shared" si="3"/>
        <v>12</v>
      </c>
      <c r="D93" s="3">
        <v>46022</v>
      </c>
      <c r="E93" s="1">
        <v>60.85</v>
      </c>
      <c r="F93" s="1">
        <v>57.42</v>
      </c>
      <c r="G93" s="1">
        <v>2.1206</v>
      </c>
      <c r="H93" s="1">
        <v>1.7054</v>
      </c>
      <c r="I93" s="1">
        <v>3.6859999999999999</v>
      </c>
      <c r="J93" s="1">
        <v>5.4770000000000003</v>
      </c>
    </row>
    <row r="94" spans="2:10" x14ac:dyDescent="0.3">
      <c r="B94" s="10">
        <f t="shared" si="2"/>
        <v>2025</v>
      </c>
      <c r="C94" s="10">
        <f t="shared" si="3"/>
        <v>12</v>
      </c>
      <c r="D94" s="3">
        <v>46021</v>
      </c>
      <c r="E94" s="1">
        <v>61.92</v>
      </c>
      <c r="F94" s="1">
        <v>57.95</v>
      </c>
      <c r="G94" s="1">
        <v>2.1505000000000001</v>
      </c>
      <c r="H94" s="1">
        <v>1.7210000000000001</v>
      </c>
      <c r="I94" s="1">
        <v>3.972</v>
      </c>
      <c r="J94" s="1">
        <v>5.4770000000000003</v>
      </c>
    </row>
    <row r="95" spans="2:10" x14ac:dyDescent="0.3">
      <c r="B95" s="10">
        <f t="shared" si="2"/>
        <v>2025</v>
      </c>
      <c r="C95" s="10">
        <f t="shared" si="3"/>
        <v>12</v>
      </c>
      <c r="D95" s="3">
        <v>46020</v>
      </c>
      <c r="E95" s="1">
        <v>61.94</v>
      </c>
      <c r="F95" s="1">
        <v>58.08</v>
      </c>
      <c r="G95" s="1">
        <v>2.1274999999999999</v>
      </c>
      <c r="H95" s="1">
        <v>1.7152000000000001</v>
      </c>
      <c r="I95" s="1">
        <v>4.6870000000000003</v>
      </c>
      <c r="J95" s="1">
        <v>5.5701999999999998</v>
      </c>
    </row>
    <row r="96" spans="2:10" x14ac:dyDescent="0.3">
      <c r="B96" s="10">
        <f t="shared" si="2"/>
        <v>2025</v>
      </c>
      <c r="C96" s="10">
        <f t="shared" si="3"/>
        <v>12</v>
      </c>
      <c r="D96" s="3">
        <v>46017</v>
      </c>
      <c r="E96" s="1">
        <v>60.64</v>
      </c>
      <c r="F96" s="1">
        <v>56.74</v>
      </c>
      <c r="G96" s="1">
        <v>2.1070000000000002</v>
      </c>
      <c r="H96" s="1">
        <v>1.6971000000000001</v>
      </c>
      <c r="I96" s="1">
        <v>4.3659999999999997</v>
      </c>
      <c r="J96" s="1">
        <v>5.5434000000000001</v>
      </c>
    </row>
    <row r="97" spans="2:10" x14ac:dyDescent="0.3">
      <c r="B97" s="10">
        <f t="shared" si="2"/>
        <v>2025</v>
      </c>
      <c r="C97" s="10">
        <f t="shared" si="3"/>
        <v>12</v>
      </c>
      <c r="D97" s="3">
        <v>46016</v>
      </c>
      <c r="J97" s="1">
        <v>5.52</v>
      </c>
    </row>
    <row r="98" spans="2:10" x14ac:dyDescent="0.3">
      <c r="B98" s="10">
        <f t="shared" si="2"/>
        <v>2025</v>
      </c>
      <c r="C98" s="10">
        <f t="shared" si="3"/>
        <v>12</v>
      </c>
      <c r="D98" s="3">
        <v>46015</v>
      </c>
      <c r="E98" s="1">
        <v>62.24</v>
      </c>
      <c r="F98" s="1">
        <v>58.35</v>
      </c>
      <c r="G98" s="1">
        <v>2.1576</v>
      </c>
      <c r="H98" s="1">
        <v>1.7471000000000001</v>
      </c>
      <c r="I98" s="1">
        <v>4.242</v>
      </c>
      <c r="J98" s="1">
        <v>5.52</v>
      </c>
    </row>
    <row r="99" spans="2:10" x14ac:dyDescent="0.3">
      <c r="B99" s="10">
        <f t="shared" si="2"/>
        <v>2025</v>
      </c>
      <c r="C99" s="10">
        <f t="shared" si="3"/>
        <v>12</v>
      </c>
      <c r="D99" s="3">
        <v>46014</v>
      </c>
      <c r="E99" s="1">
        <v>62.38</v>
      </c>
      <c r="F99" s="1">
        <v>58.38</v>
      </c>
      <c r="G99" s="1">
        <v>2.1905999999999999</v>
      </c>
      <c r="H99" s="1">
        <v>1.7432000000000001</v>
      </c>
      <c r="I99" s="1">
        <v>4.4080000000000004</v>
      </c>
      <c r="J99" s="1">
        <v>5.5202999999999998</v>
      </c>
    </row>
    <row r="100" spans="2:10" x14ac:dyDescent="0.3">
      <c r="B100" s="10">
        <f t="shared" si="2"/>
        <v>2025</v>
      </c>
      <c r="C100" s="10">
        <f t="shared" si="3"/>
        <v>12</v>
      </c>
      <c r="D100" s="3">
        <v>46013</v>
      </c>
      <c r="E100" s="1">
        <v>62.07</v>
      </c>
      <c r="F100" s="1">
        <v>58.01</v>
      </c>
      <c r="G100" s="1">
        <v>2.1581000000000001</v>
      </c>
      <c r="H100" s="1">
        <v>1.7422</v>
      </c>
      <c r="I100" s="1">
        <v>3.9649999999999999</v>
      </c>
      <c r="J100" s="1">
        <v>5.5895999999999999</v>
      </c>
    </row>
    <row r="101" spans="2:10" x14ac:dyDescent="0.3">
      <c r="B101" s="10">
        <f t="shared" si="2"/>
        <v>2025</v>
      </c>
      <c r="C101" s="10">
        <f t="shared" si="3"/>
        <v>12</v>
      </c>
      <c r="D101" s="3">
        <v>46010</v>
      </c>
      <c r="E101" s="1">
        <v>60.47</v>
      </c>
      <c r="F101" s="1">
        <v>56.66</v>
      </c>
      <c r="G101" s="1">
        <v>2.1219000000000001</v>
      </c>
      <c r="H101" s="1">
        <v>1.7081999999999999</v>
      </c>
      <c r="I101" s="1">
        <v>3.984</v>
      </c>
      <c r="J101" s="1">
        <v>5.5425000000000004</v>
      </c>
    </row>
    <row r="102" spans="2:10" x14ac:dyDescent="0.3">
      <c r="B102" s="10">
        <f t="shared" si="2"/>
        <v>2025</v>
      </c>
      <c r="C102" s="10">
        <f t="shared" si="3"/>
        <v>12</v>
      </c>
      <c r="D102" s="3">
        <v>46009</v>
      </c>
      <c r="E102" s="1">
        <v>59.82</v>
      </c>
      <c r="F102" s="1">
        <v>56.15</v>
      </c>
      <c r="G102" s="1">
        <v>2.1316000000000002</v>
      </c>
      <c r="H102" s="1">
        <v>1.7013</v>
      </c>
      <c r="I102" s="1">
        <v>3.9079999999999999</v>
      </c>
      <c r="J102" s="1">
        <v>5.5216000000000003</v>
      </c>
    </row>
    <row r="103" spans="2:10" x14ac:dyDescent="0.3">
      <c r="B103" s="10">
        <f t="shared" si="2"/>
        <v>2025</v>
      </c>
      <c r="C103" s="10">
        <f t="shared" si="3"/>
        <v>12</v>
      </c>
      <c r="D103" s="3">
        <v>46008</v>
      </c>
      <c r="E103" s="1">
        <v>59.68</v>
      </c>
      <c r="F103" s="1">
        <v>55.94</v>
      </c>
      <c r="G103" s="1">
        <v>2.1495000000000002</v>
      </c>
      <c r="H103" s="1">
        <v>1.6942999999999999</v>
      </c>
      <c r="I103" s="1">
        <v>4.024</v>
      </c>
      <c r="J103" s="1">
        <v>5.52</v>
      </c>
    </row>
    <row r="104" spans="2:10" x14ac:dyDescent="0.3">
      <c r="B104" s="10">
        <f t="shared" si="2"/>
        <v>2025</v>
      </c>
      <c r="C104" s="10">
        <f t="shared" si="3"/>
        <v>12</v>
      </c>
      <c r="D104" s="3">
        <v>46007</v>
      </c>
      <c r="E104" s="1">
        <v>58.92</v>
      </c>
      <c r="F104" s="1">
        <v>55.27</v>
      </c>
      <c r="G104" s="1">
        <v>2.1286</v>
      </c>
      <c r="H104" s="1">
        <v>1.6809000000000001</v>
      </c>
      <c r="I104" s="1">
        <v>3.8860000000000001</v>
      </c>
      <c r="J104" s="1">
        <v>5.5087999999999999</v>
      </c>
    </row>
    <row r="105" spans="2:10" x14ac:dyDescent="0.3">
      <c r="B105" s="10">
        <f t="shared" si="2"/>
        <v>2025</v>
      </c>
      <c r="C105" s="10">
        <f t="shared" si="3"/>
        <v>12</v>
      </c>
      <c r="D105" s="3">
        <v>46006</v>
      </c>
      <c r="E105" s="1">
        <v>60.56</v>
      </c>
      <c r="F105" s="1">
        <v>56.82</v>
      </c>
      <c r="G105" s="1">
        <v>2.1806000000000001</v>
      </c>
      <c r="H105" s="1">
        <v>1.7323</v>
      </c>
      <c r="I105" s="1">
        <v>4.0119999999999996</v>
      </c>
      <c r="J105" s="1">
        <v>5.4142999999999999</v>
      </c>
    </row>
    <row r="106" spans="2:10" x14ac:dyDescent="0.3">
      <c r="B106" s="10">
        <f t="shared" si="2"/>
        <v>2025</v>
      </c>
      <c r="C106" s="10">
        <f t="shared" si="3"/>
        <v>12</v>
      </c>
      <c r="D106" s="3">
        <v>46003</v>
      </c>
      <c r="E106" s="1">
        <v>61.12</v>
      </c>
      <c r="F106" s="1">
        <v>57.44</v>
      </c>
      <c r="G106" s="1">
        <v>2.198</v>
      </c>
      <c r="H106" s="1">
        <v>1.7521</v>
      </c>
      <c r="I106" s="1">
        <v>4.1130000000000004</v>
      </c>
      <c r="J106" s="1">
        <v>5.4185999999999996</v>
      </c>
    </row>
    <row r="107" spans="2:10" x14ac:dyDescent="0.3">
      <c r="B107" s="10">
        <f t="shared" si="2"/>
        <v>2025</v>
      </c>
      <c r="C107" s="10">
        <f t="shared" si="3"/>
        <v>12</v>
      </c>
      <c r="D107" s="3">
        <v>46002</v>
      </c>
      <c r="E107" s="1">
        <v>61.28</v>
      </c>
      <c r="F107" s="1">
        <v>57.6</v>
      </c>
      <c r="G107" s="1">
        <v>2.2288999999999999</v>
      </c>
      <c r="H107" s="1">
        <v>1.7598</v>
      </c>
      <c r="I107" s="1">
        <v>4.2309999999999999</v>
      </c>
      <c r="J107" s="1">
        <v>5.4078999999999997</v>
      </c>
    </row>
    <row r="108" spans="2:10" x14ac:dyDescent="0.3">
      <c r="B108" s="10">
        <f t="shared" si="2"/>
        <v>2025</v>
      </c>
      <c r="C108" s="10">
        <f t="shared" si="3"/>
        <v>12</v>
      </c>
      <c r="D108" s="3">
        <v>46001</v>
      </c>
      <c r="E108" s="1">
        <v>62.21</v>
      </c>
      <c r="F108" s="1">
        <v>58.46</v>
      </c>
      <c r="G108" s="1">
        <v>2.2730000000000001</v>
      </c>
      <c r="H108" s="1">
        <v>1.7815000000000001</v>
      </c>
      <c r="I108" s="1">
        <v>4.5949999999999998</v>
      </c>
      <c r="J108" s="1">
        <v>5.4725000000000001</v>
      </c>
    </row>
    <row r="109" spans="2:10" x14ac:dyDescent="0.3">
      <c r="B109" s="10">
        <f t="shared" si="2"/>
        <v>2025</v>
      </c>
      <c r="C109" s="10">
        <f t="shared" si="3"/>
        <v>12</v>
      </c>
      <c r="D109" s="3">
        <v>46000</v>
      </c>
      <c r="E109" s="1">
        <v>61.94</v>
      </c>
      <c r="F109" s="1">
        <v>58.25</v>
      </c>
      <c r="G109" s="1">
        <v>2.2601</v>
      </c>
      <c r="H109" s="1">
        <v>1.7897000000000001</v>
      </c>
      <c r="I109" s="1">
        <v>4.5739999999999998</v>
      </c>
      <c r="J109" s="1">
        <v>5.4330999999999996</v>
      </c>
    </row>
    <row r="110" spans="2:10" x14ac:dyDescent="0.3">
      <c r="B110" s="10">
        <f t="shared" si="2"/>
        <v>2025</v>
      </c>
      <c r="C110" s="10">
        <f t="shared" si="3"/>
        <v>12</v>
      </c>
      <c r="D110" s="3">
        <v>45999</v>
      </c>
      <c r="E110" s="1">
        <v>62.49</v>
      </c>
      <c r="F110" s="1">
        <v>58.88</v>
      </c>
      <c r="G110" s="1">
        <v>2.2982</v>
      </c>
      <c r="H110" s="1">
        <v>1.7981</v>
      </c>
      <c r="I110" s="1">
        <v>4.9119999999999999</v>
      </c>
      <c r="J110" s="1">
        <v>5.4298000000000002</v>
      </c>
    </row>
    <row r="111" spans="2:10" x14ac:dyDescent="0.3">
      <c r="B111" s="10">
        <f t="shared" si="2"/>
        <v>2025</v>
      </c>
      <c r="C111" s="10">
        <f t="shared" si="3"/>
        <v>12</v>
      </c>
      <c r="D111" s="3">
        <v>45996</v>
      </c>
      <c r="E111" s="1">
        <v>63.75</v>
      </c>
      <c r="F111" s="1">
        <v>60.08</v>
      </c>
      <c r="G111" s="1">
        <v>2.3628999999999998</v>
      </c>
      <c r="H111" s="1">
        <v>1.8341000000000001</v>
      </c>
      <c r="I111" s="1">
        <v>5.2889999999999997</v>
      </c>
      <c r="J111" s="1">
        <v>5.4390000000000001</v>
      </c>
    </row>
    <row r="112" spans="2:10" x14ac:dyDescent="0.3">
      <c r="B112" s="10">
        <f t="shared" si="2"/>
        <v>2025</v>
      </c>
      <c r="C112" s="10">
        <f t="shared" si="3"/>
        <v>12</v>
      </c>
      <c r="D112" s="3">
        <v>45995</v>
      </c>
      <c r="E112" s="1">
        <v>63.26</v>
      </c>
      <c r="F112" s="1">
        <v>59.67</v>
      </c>
      <c r="G112" s="1">
        <v>2.3037000000000001</v>
      </c>
      <c r="H112" s="1">
        <v>1.8270999999999999</v>
      </c>
      <c r="I112" s="1">
        <v>5.0629999999999997</v>
      </c>
      <c r="J112" s="1">
        <v>5.3091999999999997</v>
      </c>
    </row>
    <row r="113" spans="2:10" x14ac:dyDescent="0.3">
      <c r="B113" s="10">
        <f t="shared" si="2"/>
        <v>2025</v>
      </c>
      <c r="C113" s="10">
        <f t="shared" si="3"/>
        <v>12</v>
      </c>
      <c r="D113" s="3">
        <v>45994</v>
      </c>
      <c r="E113" s="1">
        <v>62.67</v>
      </c>
      <c r="F113" s="1">
        <v>58.95</v>
      </c>
      <c r="G113" s="1">
        <v>2.3008000000000002</v>
      </c>
      <c r="H113" s="1">
        <v>1.8271999999999999</v>
      </c>
      <c r="I113" s="1">
        <v>4.9950000000000001</v>
      </c>
      <c r="J113" s="1">
        <v>5.3074000000000003</v>
      </c>
    </row>
    <row r="114" spans="2:10" x14ac:dyDescent="0.3">
      <c r="B114" s="10">
        <f t="shared" si="2"/>
        <v>2025</v>
      </c>
      <c r="C114" s="10">
        <f t="shared" si="3"/>
        <v>12</v>
      </c>
      <c r="D114" s="3">
        <v>45993</v>
      </c>
      <c r="E114" s="1">
        <v>62.45</v>
      </c>
      <c r="F114" s="1">
        <v>58.64</v>
      </c>
      <c r="G114" s="1">
        <v>2.3127</v>
      </c>
      <c r="H114" s="1">
        <v>1.8303</v>
      </c>
      <c r="I114" s="1">
        <v>4.84</v>
      </c>
      <c r="J114" s="1">
        <v>5.3273999999999999</v>
      </c>
    </row>
    <row r="115" spans="2:10" x14ac:dyDescent="0.3">
      <c r="B115" s="10">
        <f t="shared" si="2"/>
        <v>2025</v>
      </c>
      <c r="C115" s="10">
        <f t="shared" si="3"/>
        <v>12</v>
      </c>
      <c r="D115" s="3">
        <v>45992</v>
      </c>
      <c r="E115" s="1">
        <v>63.17</v>
      </c>
      <c r="F115" s="1">
        <v>59.32</v>
      </c>
      <c r="G115" s="1">
        <v>2.34</v>
      </c>
      <c r="H115" s="1">
        <v>1.8689</v>
      </c>
      <c r="I115" s="1">
        <v>4.9210000000000003</v>
      </c>
      <c r="J115" s="1">
        <v>5.3571</v>
      </c>
    </row>
    <row r="116" spans="2:10" x14ac:dyDescent="0.3">
      <c r="B116" s="10">
        <f t="shared" si="2"/>
        <v>2025</v>
      </c>
      <c r="C116" s="10">
        <f t="shared" si="3"/>
        <v>11</v>
      </c>
      <c r="D116" s="3">
        <v>45989</v>
      </c>
      <c r="E116" s="1">
        <v>63.2</v>
      </c>
      <c r="F116" s="1">
        <v>58.55</v>
      </c>
      <c r="G116" s="1">
        <v>2.3330000000000002</v>
      </c>
      <c r="H116" s="1">
        <v>1.8958999999999999</v>
      </c>
      <c r="I116" s="1">
        <v>4.8499999999999996</v>
      </c>
      <c r="J116" s="1">
        <v>5.3362999999999996</v>
      </c>
    </row>
    <row r="117" spans="2:10" x14ac:dyDescent="0.3">
      <c r="B117" s="10">
        <f t="shared" si="2"/>
        <v>2025</v>
      </c>
      <c r="C117" s="10">
        <f t="shared" si="3"/>
        <v>11</v>
      </c>
      <c r="D117" s="3">
        <v>45988</v>
      </c>
      <c r="E117" s="1">
        <v>63.34</v>
      </c>
      <c r="J117" s="1">
        <v>5.3562000000000003</v>
      </c>
    </row>
    <row r="118" spans="2:10" x14ac:dyDescent="0.3">
      <c r="B118" s="10">
        <f t="shared" si="2"/>
        <v>2025</v>
      </c>
      <c r="C118" s="10">
        <f t="shared" si="3"/>
        <v>11</v>
      </c>
      <c r="D118" s="3">
        <v>45987</v>
      </c>
      <c r="E118" s="1">
        <v>63.13</v>
      </c>
      <c r="F118" s="1">
        <v>58.65</v>
      </c>
      <c r="G118" s="1">
        <v>2.3254999999999999</v>
      </c>
      <c r="H118" s="1">
        <v>1.889</v>
      </c>
      <c r="I118" s="1">
        <v>4.5579999999999998</v>
      </c>
      <c r="J118" s="1">
        <v>5.3319000000000001</v>
      </c>
    </row>
    <row r="119" spans="2:10" x14ac:dyDescent="0.3">
      <c r="B119" s="10">
        <f t="shared" si="2"/>
        <v>2025</v>
      </c>
      <c r="C119" s="10">
        <f t="shared" si="3"/>
        <v>11</v>
      </c>
      <c r="D119" s="3">
        <v>45986</v>
      </c>
      <c r="E119" s="1">
        <v>62.48</v>
      </c>
      <c r="F119" s="1">
        <v>57.95</v>
      </c>
      <c r="G119" s="1">
        <v>2.3538000000000001</v>
      </c>
      <c r="H119" s="1">
        <v>1.8572</v>
      </c>
      <c r="I119" s="1">
        <v>4.4240000000000004</v>
      </c>
      <c r="J119" s="1">
        <v>5.3810000000000002</v>
      </c>
    </row>
    <row r="120" spans="2:10" x14ac:dyDescent="0.3">
      <c r="B120" s="10">
        <f t="shared" si="2"/>
        <v>2025</v>
      </c>
      <c r="C120" s="10">
        <f t="shared" si="3"/>
        <v>11</v>
      </c>
      <c r="D120" s="3">
        <v>45985</v>
      </c>
      <c r="E120" s="1">
        <v>63.37</v>
      </c>
      <c r="F120" s="1">
        <v>58.84</v>
      </c>
      <c r="G120" s="1">
        <v>2.4060999999999999</v>
      </c>
      <c r="H120" s="1">
        <v>1.8966000000000001</v>
      </c>
      <c r="I120" s="1">
        <v>4.5490000000000004</v>
      </c>
      <c r="J120" s="1">
        <v>5.3883999999999999</v>
      </c>
    </row>
    <row r="121" spans="2:10" x14ac:dyDescent="0.3">
      <c r="B121" s="10">
        <f t="shared" si="2"/>
        <v>2025</v>
      </c>
      <c r="C121" s="10">
        <f t="shared" si="3"/>
        <v>11</v>
      </c>
      <c r="D121" s="3">
        <v>45982</v>
      </c>
      <c r="E121" s="1">
        <v>62.56</v>
      </c>
      <c r="F121" s="1">
        <v>58.06</v>
      </c>
      <c r="G121" s="1">
        <v>2.4563999999999999</v>
      </c>
      <c r="H121" s="1">
        <v>1.8834</v>
      </c>
      <c r="I121" s="1">
        <v>4.58</v>
      </c>
      <c r="J121" s="1">
        <v>5.4028</v>
      </c>
    </row>
    <row r="122" spans="2:10" x14ac:dyDescent="0.3">
      <c r="B122" s="10">
        <f t="shared" si="2"/>
        <v>2025</v>
      </c>
      <c r="C122" s="10">
        <f t="shared" si="3"/>
        <v>11</v>
      </c>
      <c r="D122" s="3">
        <v>45981</v>
      </c>
      <c r="E122" s="1">
        <v>63.38</v>
      </c>
      <c r="F122" s="1">
        <v>59.14</v>
      </c>
      <c r="G122" s="1">
        <v>2.5333000000000001</v>
      </c>
      <c r="H122" s="1">
        <v>1.9184000000000001</v>
      </c>
      <c r="I122" s="1">
        <v>4.4740000000000002</v>
      </c>
      <c r="J122" s="1">
        <v>5.3327999999999998</v>
      </c>
    </row>
    <row r="123" spans="2:10" x14ac:dyDescent="0.3">
      <c r="B123" s="10">
        <f t="shared" si="2"/>
        <v>2025</v>
      </c>
      <c r="C123" s="10">
        <f t="shared" si="3"/>
        <v>11</v>
      </c>
      <c r="D123" s="3">
        <v>45980</v>
      </c>
      <c r="E123" s="1">
        <v>63.51</v>
      </c>
      <c r="F123" s="1">
        <v>59.44</v>
      </c>
      <c r="G123" s="1">
        <v>2.6356999999999999</v>
      </c>
      <c r="H123" s="1">
        <v>1.9320999999999999</v>
      </c>
      <c r="I123" s="1">
        <v>4.55</v>
      </c>
      <c r="J123" s="1">
        <v>5.3304</v>
      </c>
    </row>
    <row r="124" spans="2:10" x14ac:dyDescent="0.3">
      <c r="B124" s="10">
        <f t="shared" si="2"/>
        <v>2025</v>
      </c>
      <c r="C124" s="10">
        <f t="shared" si="3"/>
        <v>11</v>
      </c>
      <c r="D124" s="3">
        <v>45979</v>
      </c>
      <c r="E124" s="1">
        <v>64.89</v>
      </c>
      <c r="F124" s="1">
        <v>60.74</v>
      </c>
      <c r="G124" s="1">
        <v>2.7010999999999998</v>
      </c>
      <c r="H124" s="1">
        <v>1.9993000000000001</v>
      </c>
      <c r="I124" s="1">
        <v>4.3710000000000004</v>
      </c>
      <c r="J124" s="1">
        <v>5.3217999999999996</v>
      </c>
    </row>
    <row r="125" spans="2:10" x14ac:dyDescent="0.3">
      <c r="B125" s="10">
        <f t="shared" si="2"/>
        <v>2025</v>
      </c>
      <c r="C125" s="10">
        <f t="shared" si="3"/>
        <v>11</v>
      </c>
      <c r="D125" s="3">
        <v>45978</v>
      </c>
      <c r="E125" s="1">
        <v>64.2</v>
      </c>
      <c r="F125" s="1">
        <v>59.91</v>
      </c>
      <c r="G125" s="1">
        <v>2.5470000000000002</v>
      </c>
      <c r="H125" s="1">
        <v>1.9901</v>
      </c>
      <c r="I125" s="1">
        <v>4.3609999999999998</v>
      </c>
      <c r="J125" s="1">
        <v>5.3289999999999997</v>
      </c>
    </row>
    <row r="126" spans="2:10" x14ac:dyDescent="0.3">
      <c r="B126" s="10">
        <f t="shared" si="2"/>
        <v>2025</v>
      </c>
      <c r="C126" s="10">
        <f t="shared" si="3"/>
        <v>11</v>
      </c>
      <c r="D126" s="3">
        <v>45975</v>
      </c>
      <c r="E126" s="1">
        <v>64.39</v>
      </c>
      <c r="F126" s="1">
        <v>60.09</v>
      </c>
      <c r="G126" s="1">
        <v>2.5310999999999999</v>
      </c>
      <c r="H126" s="1">
        <v>2.0116000000000001</v>
      </c>
      <c r="I126" s="1">
        <v>4.5659999999999998</v>
      </c>
      <c r="J126" s="1">
        <v>5.2964000000000002</v>
      </c>
    </row>
    <row r="127" spans="2:10" x14ac:dyDescent="0.3">
      <c r="B127" s="10">
        <f t="shared" si="2"/>
        <v>2025</v>
      </c>
      <c r="C127" s="10">
        <f t="shared" si="3"/>
        <v>11</v>
      </c>
      <c r="D127" s="3">
        <v>45974</v>
      </c>
      <c r="E127" s="1">
        <v>63.01</v>
      </c>
      <c r="F127" s="1">
        <v>58.69</v>
      </c>
      <c r="G127" s="1">
        <v>2.4647000000000001</v>
      </c>
      <c r="H127" s="1">
        <v>1.9597</v>
      </c>
      <c r="I127" s="1">
        <v>4.6459999999999999</v>
      </c>
      <c r="J127" s="1">
        <v>5.2977999999999996</v>
      </c>
    </row>
    <row r="128" spans="2:10" x14ac:dyDescent="0.3">
      <c r="B128" s="10">
        <f t="shared" si="2"/>
        <v>2025</v>
      </c>
      <c r="C128" s="10">
        <f t="shared" si="3"/>
        <v>11</v>
      </c>
      <c r="D128" s="3">
        <v>45973</v>
      </c>
      <c r="E128" s="1">
        <v>62.71</v>
      </c>
      <c r="F128" s="1">
        <v>58.49</v>
      </c>
      <c r="G128" s="1">
        <v>2.4815999999999998</v>
      </c>
      <c r="H128" s="1">
        <v>1.9554</v>
      </c>
      <c r="I128" s="1">
        <v>4.5330000000000004</v>
      </c>
      <c r="J128" s="1">
        <v>5.2925000000000004</v>
      </c>
    </row>
    <row r="129" spans="2:10" x14ac:dyDescent="0.3">
      <c r="B129" s="10">
        <f t="shared" si="2"/>
        <v>2025</v>
      </c>
      <c r="C129" s="10">
        <f t="shared" si="3"/>
        <v>11</v>
      </c>
      <c r="D129" s="3">
        <v>45972</v>
      </c>
      <c r="E129" s="1">
        <v>65.16</v>
      </c>
      <c r="F129" s="1">
        <v>61.04</v>
      </c>
      <c r="G129" s="1">
        <v>2.5756999999999999</v>
      </c>
      <c r="H129" s="1">
        <v>2.012</v>
      </c>
      <c r="I129" s="1">
        <v>4.5650000000000004</v>
      </c>
      <c r="J129" s="1">
        <v>5.2717000000000001</v>
      </c>
    </row>
    <row r="130" spans="2:10" x14ac:dyDescent="0.3">
      <c r="B130" s="10">
        <f t="shared" si="2"/>
        <v>2025</v>
      </c>
      <c r="C130" s="10">
        <f t="shared" si="3"/>
        <v>11</v>
      </c>
      <c r="D130" s="3">
        <v>45971</v>
      </c>
      <c r="E130" s="1">
        <v>64.06</v>
      </c>
      <c r="F130" s="1">
        <v>60.13</v>
      </c>
      <c r="G130" s="1">
        <v>2.5104000000000002</v>
      </c>
      <c r="H130" s="1">
        <v>1.9711000000000001</v>
      </c>
      <c r="I130" s="1">
        <v>4.3380000000000001</v>
      </c>
      <c r="J130" s="1">
        <v>5.2907000000000002</v>
      </c>
    </row>
    <row r="131" spans="2:10" x14ac:dyDescent="0.3">
      <c r="B131" s="10">
        <f t="shared" si="2"/>
        <v>2025</v>
      </c>
      <c r="C131" s="10">
        <f t="shared" si="3"/>
        <v>11</v>
      </c>
      <c r="D131" s="3">
        <v>45968</v>
      </c>
      <c r="E131" s="1">
        <v>63.63</v>
      </c>
      <c r="F131" s="1">
        <v>59.75</v>
      </c>
      <c r="G131" s="1">
        <v>2.4821</v>
      </c>
      <c r="H131" s="1">
        <v>1.9402999999999999</v>
      </c>
      <c r="I131" s="1">
        <v>4.3150000000000004</v>
      </c>
      <c r="J131" s="1">
        <v>5.3320999999999996</v>
      </c>
    </row>
    <row r="132" spans="2:10" x14ac:dyDescent="0.3">
      <c r="B132" s="10">
        <f t="shared" si="2"/>
        <v>2025</v>
      </c>
      <c r="C132" s="10">
        <f t="shared" si="3"/>
        <v>11</v>
      </c>
      <c r="D132" s="3">
        <v>45967</v>
      </c>
      <c r="E132" s="1">
        <v>63.38</v>
      </c>
      <c r="F132" s="1">
        <v>59.43</v>
      </c>
      <c r="G132" s="1">
        <v>2.4961000000000002</v>
      </c>
      <c r="H132" s="1">
        <v>1.9656</v>
      </c>
      <c r="I132" s="1">
        <v>4.3570000000000002</v>
      </c>
      <c r="J132" s="1">
        <v>5.3498000000000001</v>
      </c>
    </row>
    <row r="133" spans="2:10" x14ac:dyDescent="0.3">
      <c r="B133" s="10">
        <f t="shared" si="2"/>
        <v>2025</v>
      </c>
      <c r="C133" s="10">
        <f t="shared" si="3"/>
        <v>11</v>
      </c>
      <c r="D133" s="3">
        <v>45966</v>
      </c>
      <c r="E133" s="1">
        <v>63.52</v>
      </c>
      <c r="F133" s="1">
        <v>59.6</v>
      </c>
      <c r="G133" s="1">
        <v>2.4325000000000001</v>
      </c>
      <c r="H133" s="1">
        <v>1.9093</v>
      </c>
      <c r="I133" s="1">
        <v>4.2320000000000002</v>
      </c>
      <c r="J133" s="1">
        <v>5.3594999999999997</v>
      </c>
    </row>
    <row r="134" spans="2:10" x14ac:dyDescent="0.3">
      <c r="B134" s="10">
        <f t="shared" ref="B134:B197" si="4">YEAR(D134)</f>
        <v>2025</v>
      </c>
      <c r="C134" s="10">
        <f t="shared" ref="C134:C197" si="5">MONTH(D134)</f>
        <v>11</v>
      </c>
      <c r="D134" s="3">
        <v>45965</v>
      </c>
      <c r="E134" s="1">
        <v>64.44</v>
      </c>
      <c r="F134" s="1">
        <v>60.56</v>
      </c>
      <c r="G134" s="1">
        <v>2.4445999999999999</v>
      </c>
      <c r="H134" s="1">
        <v>1.9228000000000001</v>
      </c>
      <c r="I134" s="1">
        <v>4.343</v>
      </c>
      <c r="J134" s="1">
        <v>5.3971999999999998</v>
      </c>
    </row>
    <row r="135" spans="2:10" x14ac:dyDescent="0.3">
      <c r="B135" s="10">
        <f t="shared" si="4"/>
        <v>2025</v>
      </c>
      <c r="C135" s="10">
        <f t="shared" si="5"/>
        <v>11</v>
      </c>
      <c r="D135" s="3">
        <v>45964</v>
      </c>
      <c r="E135" s="1">
        <v>64.89</v>
      </c>
      <c r="F135" s="1">
        <v>61.05</v>
      </c>
      <c r="G135" s="1">
        <v>2.4053</v>
      </c>
      <c r="H135" s="1">
        <v>1.9160999999999999</v>
      </c>
      <c r="I135" s="1">
        <v>4.266</v>
      </c>
      <c r="J135" s="1">
        <v>5.3567999999999998</v>
      </c>
    </row>
    <row r="136" spans="2:10" x14ac:dyDescent="0.3">
      <c r="B136" s="10">
        <f t="shared" si="4"/>
        <v>2025</v>
      </c>
      <c r="C136" s="10">
        <f t="shared" si="5"/>
        <v>10</v>
      </c>
      <c r="D136" s="3">
        <v>45961</v>
      </c>
      <c r="E136" s="1">
        <v>65.069999999999993</v>
      </c>
      <c r="F136" s="1">
        <v>60.98</v>
      </c>
      <c r="G136" s="1">
        <v>2.4312</v>
      </c>
      <c r="H136" s="1">
        <v>1.9931000000000001</v>
      </c>
      <c r="I136" s="1">
        <v>4.1239999999999997</v>
      </c>
      <c r="J136" s="1">
        <v>5.3738999999999999</v>
      </c>
    </row>
    <row r="137" spans="2:10" x14ac:dyDescent="0.3">
      <c r="B137" s="10">
        <f t="shared" si="4"/>
        <v>2025</v>
      </c>
      <c r="C137" s="10">
        <f t="shared" si="5"/>
        <v>10</v>
      </c>
      <c r="D137" s="3">
        <v>45960</v>
      </c>
      <c r="E137" s="1">
        <v>65</v>
      </c>
      <c r="F137" s="1">
        <v>60.57</v>
      </c>
      <c r="G137" s="1">
        <v>2.46</v>
      </c>
      <c r="H137" s="1">
        <v>2.0034000000000001</v>
      </c>
      <c r="I137" s="1">
        <v>3.956</v>
      </c>
      <c r="J137" s="1">
        <v>5.3807</v>
      </c>
    </row>
    <row r="138" spans="2:10" x14ac:dyDescent="0.3">
      <c r="B138" s="10">
        <f t="shared" si="4"/>
        <v>2025</v>
      </c>
      <c r="C138" s="10">
        <f t="shared" si="5"/>
        <v>10</v>
      </c>
      <c r="D138" s="3">
        <v>45959</v>
      </c>
      <c r="E138" s="1">
        <v>64.92</v>
      </c>
      <c r="F138" s="1">
        <v>60.48</v>
      </c>
      <c r="G138" s="1">
        <v>2.4243000000000001</v>
      </c>
      <c r="H138" s="1">
        <v>1.9737</v>
      </c>
      <c r="I138" s="1">
        <v>3.3759999999999999</v>
      </c>
      <c r="J138" s="1">
        <v>5.3605</v>
      </c>
    </row>
    <row r="139" spans="2:10" x14ac:dyDescent="0.3">
      <c r="B139" s="10">
        <f t="shared" si="4"/>
        <v>2025</v>
      </c>
      <c r="C139" s="10">
        <f t="shared" si="5"/>
        <v>10</v>
      </c>
      <c r="D139" s="3">
        <v>45958</v>
      </c>
      <c r="E139" s="1">
        <v>64.400000000000006</v>
      </c>
      <c r="F139" s="1">
        <v>60.15</v>
      </c>
      <c r="G139" s="1">
        <v>2.3872</v>
      </c>
      <c r="H139" s="1">
        <v>1.9252</v>
      </c>
      <c r="I139" s="1">
        <v>3.3450000000000002</v>
      </c>
      <c r="J139" s="1">
        <v>5.3578000000000001</v>
      </c>
    </row>
    <row r="140" spans="2:10" x14ac:dyDescent="0.3">
      <c r="B140" s="10">
        <f t="shared" si="4"/>
        <v>2025</v>
      </c>
      <c r="C140" s="10">
        <f t="shared" si="5"/>
        <v>10</v>
      </c>
      <c r="D140" s="3">
        <v>45957</v>
      </c>
      <c r="E140" s="1">
        <v>65.62</v>
      </c>
      <c r="F140" s="1">
        <v>61.31</v>
      </c>
      <c r="G140" s="1">
        <v>2.4361000000000002</v>
      </c>
      <c r="H140" s="1">
        <v>1.9204000000000001</v>
      </c>
      <c r="I140" s="1">
        <v>3.4420000000000002</v>
      </c>
      <c r="J140" s="1">
        <v>5.3727999999999998</v>
      </c>
    </row>
    <row r="141" spans="2:10" x14ac:dyDescent="0.3">
      <c r="B141" s="10">
        <f t="shared" si="4"/>
        <v>2025</v>
      </c>
      <c r="C141" s="10">
        <f t="shared" si="5"/>
        <v>10</v>
      </c>
      <c r="D141" s="3">
        <v>45954</v>
      </c>
      <c r="E141" s="1">
        <v>65.94</v>
      </c>
      <c r="F141" s="1">
        <v>61.5</v>
      </c>
      <c r="G141" s="1">
        <v>2.4030999999999998</v>
      </c>
      <c r="H141" s="1">
        <v>1.9227000000000001</v>
      </c>
      <c r="I141" s="1">
        <v>3.3039999999999998</v>
      </c>
      <c r="J141" s="1">
        <v>5.3887</v>
      </c>
    </row>
    <row r="142" spans="2:10" x14ac:dyDescent="0.3">
      <c r="B142" s="10">
        <f t="shared" si="4"/>
        <v>2025</v>
      </c>
      <c r="C142" s="10">
        <f t="shared" si="5"/>
        <v>10</v>
      </c>
      <c r="D142" s="3">
        <v>45953</v>
      </c>
      <c r="E142" s="1">
        <v>65.989999999999995</v>
      </c>
      <c r="F142" s="1">
        <v>61.79</v>
      </c>
      <c r="G142" s="1">
        <v>2.403</v>
      </c>
      <c r="H142" s="1">
        <v>1.9269000000000001</v>
      </c>
      <c r="I142" s="1">
        <v>3.3439999999999999</v>
      </c>
      <c r="J142" s="1">
        <v>5.3821000000000003</v>
      </c>
    </row>
    <row r="143" spans="2:10" x14ac:dyDescent="0.3">
      <c r="B143" s="10">
        <f t="shared" si="4"/>
        <v>2025</v>
      </c>
      <c r="C143" s="10">
        <f t="shared" si="5"/>
        <v>10</v>
      </c>
      <c r="D143" s="3">
        <v>45952</v>
      </c>
      <c r="E143" s="1">
        <v>62.59</v>
      </c>
      <c r="F143" s="1">
        <v>58.5</v>
      </c>
      <c r="G143" s="1">
        <v>2.2496</v>
      </c>
      <c r="H143" s="1">
        <v>1.865</v>
      </c>
      <c r="I143" s="1">
        <v>3.45</v>
      </c>
      <c r="J143" s="1">
        <v>5.3997000000000002</v>
      </c>
    </row>
    <row r="144" spans="2:10" x14ac:dyDescent="0.3">
      <c r="B144" s="10">
        <f t="shared" si="4"/>
        <v>2025</v>
      </c>
      <c r="C144" s="10">
        <f t="shared" si="5"/>
        <v>10</v>
      </c>
      <c r="D144" s="3">
        <v>45951</v>
      </c>
      <c r="E144" s="1">
        <v>61.32</v>
      </c>
      <c r="F144" s="1">
        <v>57.82</v>
      </c>
      <c r="G144" s="1">
        <v>2.2058</v>
      </c>
      <c r="H144" s="1">
        <v>1.8252999999999999</v>
      </c>
      <c r="I144" s="1">
        <v>3.4740000000000002</v>
      </c>
      <c r="J144" s="1">
        <v>5.3875999999999999</v>
      </c>
    </row>
    <row r="145" spans="2:10" x14ac:dyDescent="0.3">
      <c r="B145" s="10">
        <f t="shared" si="4"/>
        <v>2025</v>
      </c>
      <c r="C145" s="10">
        <f t="shared" si="5"/>
        <v>10</v>
      </c>
      <c r="D145" s="3">
        <v>45950</v>
      </c>
      <c r="E145" s="1">
        <v>61.01</v>
      </c>
      <c r="F145" s="1">
        <v>57.52</v>
      </c>
      <c r="G145" s="1">
        <v>2.1920999999999999</v>
      </c>
      <c r="H145" s="1">
        <v>1.8302</v>
      </c>
      <c r="I145" s="1">
        <v>3.3969999999999998</v>
      </c>
      <c r="J145" s="1">
        <v>5.3742999999999999</v>
      </c>
    </row>
    <row r="146" spans="2:10" x14ac:dyDescent="0.3">
      <c r="B146" s="10">
        <f t="shared" si="4"/>
        <v>2025</v>
      </c>
      <c r="C146" s="10">
        <f t="shared" si="5"/>
        <v>10</v>
      </c>
      <c r="D146" s="3">
        <v>45947</v>
      </c>
      <c r="E146" s="1">
        <v>61.29</v>
      </c>
      <c r="F146" s="1">
        <v>57.54</v>
      </c>
      <c r="G146" s="1">
        <v>2.1800000000000002</v>
      </c>
      <c r="H146" s="1">
        <v>1.8376999999999999</v>
      </c>
      <c r="I146" s="1">
        <v>3.008</v>
      </c>
      <c r="J146" s="1">
        <v>5.4080000000000004</v>
      </c>
    </row>
    <row r="147" spans="2:10" x14ac:dyDescent="0.3">
      <c r="B147" s="10">
        <f t="shared" si="4"/>
        <v>2025</v>
      </c>
      <c r="C147" s="10">
        <f t="shared" si="5"/>
        <v>10</v>
      </c>
      <c r="D147" s="3">
        <v>45946</v>
      </c>
      <c r="E147" s="1">
        <v>61.06</v>
      </c>
      <c r="F147" s="1">
        <v>57.46</v>
      </c>
      <c r="G147" s="1">
        <v>2.1535000000000002</v>
      </c>
      <c r="H147" s="1">
        <v>1.8117000000000001</v>
      </c>
      <c r="I147" s="1">
        <v>2.9380000000000002</v>
      </c>
      <c r="J147" s="1">
        <v>5.4451999999999998</v>
      </c>
    </row>
    <row r="148" spans="2:10" x14ac:dyDescent="0.3">
      <c r="B148" s="10">
        <f t="shared" si="4"/>
        <v>2025</v>
      </c>
      <c r="C148" s="10">
        <f t="shared" si="5"/>
        <v>10</v>
      </c>
      <c r="D148" s="3">
        <v>45945</v>
      </c>
      <c r="E148" s="1">
        <v>61.91</v>
      </c>
      <c r="F148" s="1">
        <v>58.27</v>
      </c>
      <c r="G148" s="1">
        <v>2.1747999999999998</v>
      </c>
      <c r="H148" s="1">
        <v>1.8344</v>
      </c>
      <c r="I148" s="1">
        <v>3.016</v>
      </c>
      <c r="J148" s="1">
        <v>5.4546000000000001</v>
      </c>
    </row>
    <row r="149" spans="2:10" x14ac:dyDescent="0.3">
      <c r="B149" s="10">
        <f t="shared" si="4"/>
        <v>2025</v>
      </c>
      <c r="C149" s="10">
        <f t="shared" si="5"/>
        <v>10</v>
      </c>
      <c r="D149" s="3">
        <v>45944</v>
      </c>
      <c r="E149" s="1">
        <v>62.39</v>
      </c>
      <c r="F149" s="1">
        <v>58.7</v>
      </c>
      <c r="G149" s="1">
        <v>2.1976</v>
      </c>
      <c r="H149" s="1">
        <v>1.8286</v>
      </c>
      <c r="I149" s="1">
        <v>3.028</v>
      </c>
      <c r="J149" s="1">
        <v>5.4817</v>
      </c>
    </row>
    <row r="150" spans="2:10" x14ac:dyDescent="0.3">
      <c r="B150" s="10">
        <f t="shared" si="4"/>
        <v>2025</v>
      </c>
      <c r="C150" s="10">
        <f t="shared" si="5"/>
        <v>10</v>
      </c>
      <c r="D150" s="3">
        <v>45943</v>
      </c>
      <c r="E150" s="1">
        <v>63.32</v>
      </c>
      <c r="F150" s="1">
        <v>59.49</v>
      </c>
      <c r="G150" s="1">
        <v>2.2496999999999998</v>
      </c>
      <c r="H150" s="1">
        <v>1.8438000000000001</v>
      </c>
      <c r="I150" s="1">
        <v>3.1179999999999999</v>
      </c>
      <c r="J150" s="1">
        <v>5.4637000000000002</v>
      </c>
    </row>
    <row r="151" spans="2:10" x14ac:dyDescent="0.3">
      <c r="B151" s="10">
        <f t="shared" si="4"/>
        <v>2025</v>
      </c>
      <c r="C151" s="10">
        <f t="shared" si="5"/>
        <v>10</v>
      </c>
      <c r="D151" s="3">
        <v>45940</v>
      </c>
      <c r="E151" s="1">
        <v>62.73</v>
      </c>
      <c r="F151" s="1">
        <v>58.9</v>
      </c>
      <c r="G151" s="1">
        <v>2.2044000000000001</v>
      </c>
      <c r="H151" s="1">
        <v>1.8204</v>
      </c>
      <c r="I151" s="1">
        <v>3.1059999999999999</v>
      </c>
      <c r="J151" s="1">
        <v>5.5217000000000001</v>
      </c>
    </row>
    <row r="152" spans="2:10" x14ac:dyDescent="0.3">
      <c r="B152" s="10">
        <f t="shared" si="4"/>
        <v>2025</v>
      </c>
      <c r="C152" s="10">
        <f t="shared" si="5"/>
        <v>10</v>
      </c>
      <c r="D152" s="3">
        <v>45939</v>
      </c>
      <c r="E152" s="1">
        <v>65.22</v>
      </c>
      <c r="F152" s="1">
        <v>61.51</v>
      </c>
      <c r="G152" s="1">
        <v>2.2803</v>
      </c>
      <c r="H152" s="1">
        <v>1.8826000000000001</v>
      </c>
      <c r="I152" s="1">
        <v>3.2690000000000001</v>
      </c>
      <c r="J152" s="1">
        <v>5.3680000000000003</v>
      </c>
    </row>
    <row r="153" spans="2:10" x14ac:dyDescent="0.3">
      <c r="B153" s="10">
        <f t="shared" si="4"/>
        <v>2025</v>
      </c>
      <c r="C153" s="10">
        <f t="shared" si="5"/>
        <v>10</v>
      </c>
      <c r="D153" s="3">
        <v>45938</v>
      </c>
      <c r="E153" s="1">
        <v>66.25</v>
      </c>
      <c r="F153" s="1">
        <v>62.55</v>
      </c>
      <c r="G153" s="1">
        <v>2.2913000000000001</v>
      </c>
      <c r="H153" s="1">
        <v>1.9095</v>
      </c>
      <c r="I153" s="1">
        <v>3.3330000000000002</v>
      </c>
      <c r="J153" s="1">
        <v>5.3426</v>
      </c>
    </row>
    <row r="154" spans="2:10" x14ac:dyDescent="0.3">
      <c r="B154" s="10">
        <f t="shared" si="4"/>
        <v>2025</v>
      </c>
      <c r="C154" s="10">
        <f t="shared" si="5"/>
        <v>10</v>
      </c>
      <c r="D154" s="3">
        <v>45937</v>
      </c>
      <c r="E154" s="1">
        <v>65.45</v>
      </c>
      <c r="F154" s="1">
        <v>61.73</v>
      </c>
      <c r="G154" s="1">
        <v>2.2652999999999999</v>
      </c>
      <c r="H154" s="1">
        <v>1.8938999999999999</v>
      </c>
      <c r="I154" s="1">
        <v>3.4980000000000002</v>
      </c>
      <c r="J154" s="1">
        <v>5.3501000000000003</v>
      </c>
    </row>
    <row r="155" spans="2:10" x14ac:dyDescent="0.3">
      <c r="B155" s="10">
        <f t="shared" si="4"/>
        <v>2025</v>
      </c>
      <c r="C155" s="10">
        <f t="shared" si="5"/>
        <v>10</v>
      </c>
      <c r="D155" s="3">
        <v>45936</v>
      </c>
      <c r="E155" s="1">
        <v>65.47</v>
      </c>
      <c r="F155" s="1">
        <v>61.69</v>
      </c>
      <c r="G155" s="1">
        <v>2.2443</v>
      </c>
      <c r="H155" s="1">
        <v>1.9016</v>
      </c>
      <c r="I155" s="1">
        <v>3.3570000000000002</v>
      </c>
      <c r="J155" s="1">
        <v>5.3127000000000004</v>
      </c>
    </row>
    <row r="156" spans="2:10" x14ac:dyDescent="0.3">
      <c r="B156" s="10">
        <f t="shared" si="4"/>
        <v>2025</v>
      </c>
      <c r="C156" s="10">
        <f t="shared" si="5"/>
        <v>10</v>
      </c>
      <c r="D156" s="3">
        <v>45933</v>
      </c>
      <c r="E156" s="1">
        <v>64.53</v>
      </c>
      <c r="F156" s="1">
        <v>60.88</v>
      </c>
      <c r="G156" s="1">
        <v>2.2363</v>
      </c>
      <c r="H156" s="1">
        <v>1.8605</v>
      </c>
      <c r="I156" s="1">
        <v>3.3239999999999998</v>
      </c>
      <c r="J156" s="1">
        <v>5.3369999999999997</v>
      </c>
    </row>
    <row r="157" spans="2:10" x14ac:dyDescent="0.3">
      <c r="B157" s="10">
        <f t="shared" si="4"/>
        <v>2025</v>
      </c>
      <c r="C157" s="10">
        <f t="shared" si="5"/>
        <v>10</v>
      </c>
      <c r="D157" s="3">
        <v>45932</v>
      </c>
      <c r="E157" s="1">
        <v>64.11</v>
      </c>
      <c r="F157" s="1">
        <v>60.48</v>
      </c>
      <c r="G157" s="1">
        <v>2.2435</v>
      </c>
      <c r="H157" s="1">
        <v>1.851</v>
      </c>
      <c r="I157" s="1">
        <v>3.4420000000000002</v>
      </c>
      <c r="J157" s="1">
        <v>5.3380000000000001</v>
      </c>
    </row>
    <row r="158" spans="2:10" x14ac:dyDescent="0.3">
      <c r="B158" s="10">
        <f t="shared" si="4"/>
        <v>2025</v>
      </c>
      <c r="C158" s="10">
        <f t="shared" si="5"/>
        <v>10</v>
      </c>
      <c r="D158" s="3">
        <v>45931</v>
      </c>
      <c r="E158" s="1">
        <v>65.349999999999994</v>
      </c>
      <c r="F158" s="1">
        <v>61.78</v>
      </c>
      <c r="G158" s="1">
        <v>2.3018999999999998</v>
      </c>
      <c r="H158" s="1">
        <v>1.8858999999999999</v>
      </c>
      <c r="I158" s="1">
        <v>3.476</v>
      </c>
      <c r="J158" s="1">
        <v>5.3285999999999998</v>
      </c>
    </row>
    <row r="159" spans="2:10" x14ac:dyDescent="0.3">
      <c r="B159" s="10">
        <f t="shared" si="4"/>
        <v>2025</v>
      </c>
      <c r="C159" s="10">
        <f t="shared" si="5"/>
        <v>9</v>
      </c>
      <c r="D159" s="3">
        <v>45930</v>
      </c>
      <c r="E159" s="1">
        <v>67.02</v>
      </c>
      <c r="F159" s="1">
        <v>62.37</v>
      </c>
      <c r="G159" s="1">
        <v>2.3325</v>
      </c>
      <c r="H159" s="1">
        <v>1.9729000000000001</v>
      </c>
      <c r="I159" s="1">
        <v>3.3029999999999999</v>
      </c>
      <c r="J159" s="1">
        <v>5.3224</v>
      </c>
    </row>
    <row r="160" spans="2:10" x14ac:dyDescent="0.3">
      <c r="B160" s="10">
        <f t="shared" si="4"/>
        <v>2025</v>
      </c>
      <c r="C160" s="10">
        <f t="shared" si="5"/>
        <v>9</v>
      </c>
      <c r="D160" s="3">
        <v>45929</v>
      </c>
      <c r="E160" s="1">
        <v>67.97</v>
      </c>
      <c r="F160" s="1">
        <v>63.45</v>
      </c>
      <c r="G160" s="1">
        <v>2.3565999999999998</v>
      </c>
      <c r="H160" s="1">
        <v>1.9951000000000001</v>
      </c>
      <c r="I160" s="1">
        <v>3.2669999999999999</v>
      </c>
      <c r="J160" s="1">
        <v>5.3216000000000001</v>
      </c>
    </row>
    <row r="161" spans="2:10" x14ac:dyDescent="0.3">
      <c r="B161" s="10">
        <f t="shared" si="4"/>
        <v>2025</v>
      </c>
      <c r="C161" s="10">
        <f t="shared" si="5"/>
        <v>9</v>
      </c>
      <c r="D161" s="3">
        <v>45926</v>
      </c>
      <c r="E161" s="1">
        <v>70.13</v>
      </c>
      <c r="F161" s="1">
        <v>65.72</v>
      </c>
      <c r="G161" s="1">
        <v>2.4289000000000001</v>
      </c>
      <c r="H161" s="1">
        <v>2.0375999999999999</v>
      </c>
      <c r="I161" s="1">
        <v>2.835</v>
      </c>
      <c r="J161" s="1">
        <v>5.3426</v>
      </c>
    </row>
    <row r="162" spans="2:10" x14ac:dyDescent="0.3">
      <c r="B162" s="10">
        <f t="shared" si="4"/>
        <v>2025</v>
      </c>
      <c r="C162" s="10">
        <f t="shared" si="5"/>
        <v>9</v>
      </c>
      <c r="D162" s="3">
        <v>45925</v>
      </c>
      <c r="E162" s="1">
        <v>69.42</v>
      </c>
      <c r="F162" s="1">
        <v>64.98</v>
      </c>
      <c r="G162" s="1">
        <v>2.4264999999999999</v>
      </c>
      <c r="H162" s="1">
        <v>2.0022000000000002</v>
      </c>
      <c r="I162" s="1">
        <v>2.9039999999999999</v>
      </c>
      <c r="J162" s="1">
        <v>5.3634000000000004</v>
      </c>
    </row>
    <row r="163" spans="2:10" x14ac:dyDescent="0.3">
      <c r="B163" s="10">
        <f t="shared" si="4"/>
        <v>2025</v>
      </c>
      <c r="C163" s="10">
        <f t="shared" si="5"/>
        <v>9</v>
      </c>
      <c r="D163" s="3">
        <v>45924</v>
      </c>
      <c r="E163" s="1">
        <v>69.31</v>
      </c>
      <c r="F163" s="1">
        <v>64.989999999999995</v>
      </c>
      <c r="G163" s="1">
        <v>2.3772000000000002</v>
      </c>
      <c r="H163" s="1">
        <v>2.0188000000000001</v>
      </c>
      <c r="I163" s="1">
        <v>2.8580000000000001</v>
      </c>
      <c r="J163" s="1">
        <v>5.3323999999999998</v>
      </c>
    </row>
    <row r="164" spans="2:10" x14ac:dyDescent="0.3">
      <c r="B164" s="10">
        <f t="shared" si="4"/>
        <v>2025</v>
      </c>
      <c r="C164" s="10">
        <f t="shared" si="5"/>
        <v>9</v>
      </c>
      <c r="D164" s="3">
        <v>45923</v>
      </c>
      <c r="E164" s="1">
        <v>67.63</v>
      </c>
      <c r="F164" s="1">
        <v>63.41</v>
      </c>
      <c r="G164" s="1">
        <v>2.3279999999999998</v>
      </c>
      <c r="H164" s="1">
        <v>1.9991000000000001</v>
      </c>
      <c r="I164" s="1">
        <v>2.8530000000000002</v>
      </c>
      <c r="J164" s="1">
        <v>5.2826000000000004</v>
      </c>
    </row>
    <row r="165" spans="2:10" x14ac:dyDescent="0.3">
      <c r="B165" s="10">
        <f t="shared" si="4"/>
        <v>2025</v>
      </c>
      <c r="C165" s="10">
        <f t="shared" si="5"/>
        <v>9</v>
      </c>
      <c r="D165" s="3">
        <v>45922</v>
      </c>
      <c r="E165" s="1">
        <v>66.569999999999993</v>
      </c>
      <c r="F165" s="1">
        <v>62.64</v>
      </c>
      <c r="G165" s="1">
        <v>2.2923</v>
      </c>
      <c r="H165" s="1">
        <v>1.9782</v>
      </c>
      <c r="I165" s="1">
        <v>2.806</v>
      </c>
      <c r="J165" s="1">
        <v>5.3345000000000002</v>
      </c>
    </row>
    <row r="166" spans="2:10" x14ac:dyDescent="0.3">
      <c r="B166" s="10">
        <f t="shared" si="4"/>
        <v>2025</v>
      </c>
      <c r="C166" s="10">
        <f t="shared" si="5"/>
        <v>9</v>
      </c>
      <c r="D166" s="3">
        <v>45919</v>
      </c>
      <c r="E166" s="1">
        <v>66.680000000000007</v>
      </c>
      <c r="F166" s="1">
        <v>62.68</v>
      </c>
      <c r="G166" s="1">
        <v>2.2989000000000002</v>
      </c>
      <c r="H166" s="1">
        <v>1.9706999999999999</v>
      </c>
      <c r="I166" s="1">
        <v>2.8879999999999999</v>
      </c>
      <c r="J166" s="1">
        <v>5.3231999999999999</v>
      </c>
    </row>
    <row r="167" spans="2:10" x14ac:dyDescent="0.3">
      <c r="B167" s="10">
        <f t="shared" si="4"/>
        <v>2025</v>
      </c>
      <c r="C167" s="10">
        <f t="shared" si="5"/>
        <v>9</v>
      </c>
      <c r="D167" s="3">
        <v>45918</v>
      </c>
      <c r="E167" s="1">
        <v>67.44</v>
      </c>
      <c r="F167" s="1">
        <v>63.57</v>
      </c>
      <c r="G167" s="1">
        <v>2.34</v>
      </c>
      <c r="H167" s="1">
        <v>2.0114000000000001</v>
      </c>
      <c r="I167" s="1">
        <v>2.9390000000000001</v>
      </c>
      <c r="J167" s="1">
        <v>5.3132000000000001</v>
      </c>
    </row>
    <row r="168" spans="2:10" x14ac:dyDescent="0.3">
      <c r="B168" s="10">
        <f t="shared" si="4"/>
        <v>2025</v>
      </c>
      <c r="C168" s="10">
        <f t="shared" si="5"/>
        <v>9</v>
      </c>
      <c r="D168" s="3">
        <v>45917</v>
      </c>
      <c r="E168" s="1">
        <v>67.95</v>
      </c>
      <c r="F168" s="1">
        <v>64.05</v>
      </c>
      <c r="G168" s="1">
        <v>2.3548</v>
      </c>
      <c r="H168" s="1">
        <v>2.0287000000000002</v>
      </c>
      <c r="I168" s="1">
        <v>3.1</v>
      </c>
      <c r="J168" s="1">
        <v>5.3052000000000001</v>
      </c>
    </row>
    <row r="169" spans="2:10" x14ac:dyDescent="0.3">
      <c r="B169" s="10">
        <f t="shared" si="4"/>
        <v>2025</v>
      </c>
      <c r="C169" s="10">
        <f t="shared" si="5"/>
        <v>9</v>
      </c>
      <c r="D169" s="3">
        <v>45916</v>
      </c>
      <c r="E169" s="1">
        <v>68.47</v>
      </c>
      <c r="F169" s="1">
        <v>64.52</v>
      </c>
      <c r="G169" s="1">
        <v>2.3935</v>
      </c>
      <c r="H169" s="1">
        <v>2.0415999999999999</v>
      </c>
      <c r="I169" s="1">
        <v>3.1030000000000002</v>
      </c>
      <c r="J169" s="1">
        <v>5.2957000000000001</v>
      </c>
    </row>
    <row r="170" spans="2:10" x14ac:dyDescent="0.3">
      <c r="B170" s="10">
        <f t="shared" si="4"/>
        <v>2025</v>
      </c>
      <c r="C170" s="10">
        <f t="shared" si="5"/>
        <v>9</v>
      </c>
      <c r="D170" s="3">
        <v>45915</v>
      </c>
      <c r="E170" s="1">
        <v>67.44</v>
      </c>
      <c r="F170" s="1">
        <v>63.3</v>
      </c>
      <c r="G170" s="1">
        <v>2.3311000000000002</v>
      </c>
      <c r="H170" s="1">
        <v>2.0133999999999999</v>
      </c>
      <c r="I170" s="1">
        <v>3.0430000000000001</v>
      </c>
      <c r="J170" s="1">
        <v>5.3163</v>
      </c>
    </row>
    <row r="171" spans="2:10" x14ac:dyDescent="0.3">
      <c r="B171" s="10">
        <f t="shared" si="4"/>
        <v>2025</v>
      </c>
      <c r="C171" s="10">
        <f t="shared" si="5"/>
        <v>9</v>
      </c>
      <c r="D171" s="3">
        <v>45912</v>
      </c>
      <c r="E171" s="1">
        <v>66.989999999999995</v>
      </c>
      <c r="F171" s="1">
        <v>62.69</v>
      </c>
      <c r="G171" s="1">
        <v>2.29</v>
      </c>
      <c r="H171" s="1">
        <v>1.9854000000000001</v>
      </c>
      <c r="I171" s="1">
        <v>2.9409999999999998</v>
      </c>
      <c r="J171" s="1">
        <v>5.3544999999999998</v>
      </c>
    </row>
    <row r="172" spans="2:10" x14ac:dyDescent="0.3">
      <c r="B172" s="10">
        <f t="shared" si="4"/>
        <v>2025</v>
      </c>
      <c r="C172" s="10">
        <f t="shared" si="5"/>
        <v>9</v>
      </c>
      <c r="D172" s="3">
        <v>45911</v>
      </c>
      <c r="E172" s="1">
        <v>66.37</v>
      </c>
      <c r="F172" s="1">
        <v>62.37</v>
      </c>
      <c r="G172" s="1">
        <v>2.2818999999999998</v>
      </c>
      <c r="H172" s="1">
        <v>1.9793000000000001</v>
      </c>
      <c r="I172" s="1">
        <v>2.9340000000000002</v>
      </c>
      <c r="J172" s="1">
        <v>5.3898999999999999</v>
      </c>
    </row>
    <row r="173" spans="2:10" x14ac:dyDescent="0.3">
      <c r="B173" s="10">
        <f t="shared" si="4"/>
        <v>2025</v>
      </c>
      <c r="C173" s="10">
        <f t="shared" si="5"/>
        <v>9</v>
      </c>
      <c r="D173" s="3">
        <v>45910</v>
      </c>
      <c r="E173" s="1">
        <v>67.489999999999995</v>
      </c>
      <c r="F173" s="1">
        <v>63.67</v>
      </c>
      <c r="G173" s="1">
        <v>2.3336999999999999</v>
      </c>
      <c r="H173" s="1">
        <v>2.008</v>
      </c>
      <c r="I173" s="1">
        <v>3.0289999999999999</v>
      </c>
      <c r="J173" s="1">
        <v>5.4084000000000003</v>
      </c>
    </row>
    <row r="174" spans="2:10" x14ac:dyDescent="0.3">
      <c r="B174" s="10">
        <f t="shared" si="4"/>
        <v>2025</v>
      </c>
      <c r="C174" s="10">
        <f t="shared" si="5"/>
        <v>9</v>
      </c>
      <c r="D174" s="3">
        <v>45909</v>
      </c>
      <c r="E174" s="1">
        <v>66.39</v>
      </c>
      <c r="F174" s="1">
        <v>62.63</v>
      </c>
      <c r="G174" s="1">
        <v>2.3199000000000001</v>
      </c>
      <c r="H174" s="1">
        <v>1.9924999999999999</v>
      </c>
      <c r="I174" s="1">
        <v>3.117</v>
      </c>
      <c r="J174" s="1">
        <v>5.4394</v>
      </c>
    </row>
    <row r="175" spans="2:10" x14ac:dyDescent="0.3">
      <c r="B175" s="10">
        <f t="shared" si="4"/>
        <v>2025</v>
      </c>
      <c r="C175" s="10">
        <f t="shared" si="5"/>
        <v>9</v>
      </c>
      <c r="D175" s="3">
        <v>45908</v>
      </c>
      <c r="E175" s="1">
        <v>66.02</v>
      </c>
      <c r="F175" s="1">
        <v>62.26</v>
      </c>
      <c r="G175" s="1">
        <v>2.3119000000000001</v>
      </c>
      <c r="H175" s="1">
        <v>1.9585999999999999</v>
      </c>
      <c r="I175" s="1">
        <v>3.09</v>
      </c>
      <c r="J175" s="1">
        <v>5.4192</v>
      </c>
    </row>
    <row r="176" spans="2:10" x14ac:dyDescent="0.3">
      <c r="B176" s="10">
        <f t="shared" si="4"/>
        <v>2025</v>
      </c>
      <c r="C176" s="10">
        <f t="shared" si="5"/>
        <v>9</v>
      </c>
      <c r="D176" s="3">
        <v>45905</v>
      </c>
      <c r="E176" s="1">
        <v>65.5</v>
      </c>
      <c r="F176" s="1">
        <v>61.87</v>
      </c>
      <c r="G176" s="1">
        <v>2.2869999999999999</v>
      </c>
      <c r="H176" s="1">
        <v>1.9641999999999999</v>
      </c>
      <c r="I176" s="1">
        <v>3.048</v>
      </c>
      <c r="J176" s="1">
        <v>5.4127000000000001</v>
      </c>
    </row>
    <row r="177" spans="2:10" x14ac:dyDescent="0.3">
      <c r="B177" s="10">
        <f t="shared" si="4"/>
        <v>2025</v>
      </c>
      <c r="C177" s="10">
        <f t="shared" si="5"/>
        <v>9</v>
      </c>
      <c r="D177" s="3">
        <v>45904</v>
      </c>
      <c r="E177" s="1">
        <v>66.989999999999995</v>
      </c>
      <c r="F177" s="1">
        <v>63.48</v>
      </c>
      <c r="G177" s="1">
        <v>2.3307000000000002</v>
      </c>
      <c r="H177" s="1">
        <v>2.0095000000000001</v>
      </c>
      <c r="I177" s="1">
        <v>3.0739999999999998</v>
      </c>
      <c r="J177" s="1">
        <v>5.4457000000000004</v>
      </c>
    </row>
    <row r="178" spans="2:10" x14ac:dyDescent="0.3">
      <c r="B178" s="10">
        <f t="shared" si="4"/>
        <v>2025</v>
      </c>
      <c r="C178" s="10">
        <f t="shared" si="5"/>
        <v>9</v>
      </c>
      <c r="D178" s="3">
        <v>45903</v>
      </c>
      <c r="E178" s="1">
        <v>67.599999999999994</v>
      </c>
      <c r="F178" s="1">
        <v>63.97</v>
      </c>
      <c r="G178" s="1">
        <v>2.3609</v>
      </c>
      <c r="H178" s="1">
        <v>2.012</v>
      </c>
      <c r="I178" s="1">
        <v>3.0640000000000001</v>
      </c>
      <c r="J178" s="1">
        <v>5.4512999999999998</v>
      </c>
    </row>
    <row r="179" spans="2:10" x14ac:dyDescent="0.3">
      <c r="B179" s="10">
        <f t="shared" si="4"/>
        <v>2025</v>
      </c>
      <c r="C179" s="10">
        <f t="shared" si="5"/>
        <v>9</v>
      </c>
      <c r="D179" s="3">
        <v>45902</v>
      </c>
      <c r="E179" s="1">
        <v>69.14</v>
      </c>
      <c r="F179" s="1">
        <v>65.59</v>
      </c>
      <c r="G179" s="1">
        <v>2.3744000000000001</v>
      </c>
      <c r="H179" s="1">
        <v>2.0428000000000002</v>
      </c>
      <c r="I179" s="1">
        <v>3.0089999999999999</v>
      </c>
      <c r="J179" s="1">
        <v>5.4645999999999999</v>
      </c>
    </row>
    <row r="180" spans="2:10" x14ac:dyDescent="0.3">
      <c r="B180" s="10">
        <f t="shared" si="4"/>
        <v>2025</v>
      </c>
      <c r="C180" s="10">
        <f t="shared" si="5"/>
        <v>9</v>
      </c>
      <c r="D180" s="3">
        <v>45901</v>
      </c>
      <c r="E180" s="1">
        <v>68.150000000000006</v>
      </c>
      <c r="J180" s="1">
        <v>5.4398999999999997</v>
      </c>
    </row>
    <row r="181" spans="2:10" x14ac:dyDescent="0.3">
      <c r="B181" s="10">
        <f t="shared" si="4"/>
        <v>2025</v>
      </c>
      <c r="C181" s="10">
        <f t="shared" si="5"/>
        <v>8</v>
      </c>
      <c r="D181" s="3">
        <v>45898</v>
      </c>
      <c r="E181" s="1">
        <v>68.12</v>
      </c>
      <c r="F181" s="1">
        <v>64.010000000000005</v>
      </c>
      <c r="G181" s="1">
        <v>2.2667000000000002</v>
      </c>
      <c r="H181" s="1">
        <v>2.1876000000000002</v>
      </c>
      <c r="I181" s="1">
        <v>2.9969999999999999</v>
      </c>
      <c r="J181" s="1">
        <v>5.4298999999999999</v>
      </c>
    </row>
    <row r="182" spans="2:10" x14ac:dyDescent="0.3">
      <c r="B182" s="10">
        <f t="shared" si="4"/>
        <v>2025</v>
      </c>
      <c r="C182" s="10">
        <f t="shared" si="5"/>
        <v>8</v>
      </c>
      <c r="D182" s="3">
        <v>45897</v>
      </c>
      <c r="E182" s="1">
        <v>68.62</v>
      </c>
      <c r="F182" s="1">
        <v>64.599999999999994</v>
      </c>
      <c r="G182" s="1">
        <v>2.3098000000000001</v>
      </c>
      <c r="H182" s="1">
        <v>2.1991000000000001</v>
      </c>
      <c r="I182" s="1">
        <v>2.944</v>
      </c>
      <c r="J182" s="1">
        <v>5.4124999999999996</v>
      </c>
    </row>
    <row r="183" spans="2:10" x14ac:dyDescent="0.3">
      <c r="B183" s="10">
        <f t="shared" si="4"/>
        <v>2025</v>
      </c>
      <c r="C183" s="10">
        <f t="shared" si="5"/>
        <v>8</v>
      </c>
      <c r="D183" s="3">
        <v>45896</v>
      </c>
      <c r="E183" s="1">
        <v>68.05</v>
      </c>
      <c r="F183" s="1">
        <v>64.150000000000006</v>
      </c>
      <c r="G183" s="1">
        <v>2.2953000000000001</v>
      </c>
      <c r="H183" s="1">
        <v>2.1488999999999998</v>
      </c>
      <c r="I183" s="1">
        <v>2.867</v>
      </c>
      <c r="J183" s="1">
        <v>5.4173</v>
      </c>
    </row>
    <row r="184" spans="2:10" x14ac:dyDescent="0.3">
      <c r="B184" s="10">
        <f t="shared" si="4"/>
        <v>2025</v>
      </c>
      <c r="C184" s="10">
        <f t="shared" si="5"/>
        <v>8</v>
      </c>
      <c r="D184" s="3">
        <v>45895</v>
      </c>
      <c r="E184" s="1">
        <v>67.22</v>
      </c>
      <c r="F184" s="1">
        <v>63.25</v>
      </c>
      <c r="G184" s="1">
        <v>2.2805</v>
      </c>
      <c r="H184" s="1">
        <v>2.1223000000000001</v>
      </c>
      <c r="I184" s="1">
        <v>2.7170000000000001</v>
      </c>
      <c r="J184" s="1">
        <v>5.4306999999999999</v>
      </c>
    </row>
    <row r="185" spans="2:10" x14ac:dyDescent="0.3">
      <c r="B185" s="10">
        <f t="shared" si="4"/>
        <v>2025</v>
      </c>
      <c r="C185" s="10">
        <f t="shared" si="5"/>
        <v>8</v>
      </c>
      <c r="D185" s="3">
        <v>45894</v>
      </c>
      <c r="E185" s="1">
        <v>68.8</v>
      </c>
      <c r="F185" s="1">
        <v>64.8</v>
      </c>
      <c r="G185" s="1">
        <v>2.3475000000000001</v>
      </c>
      <c r="H185" s="1">
        <v>2.1482999999999999</v>
      </c>
      <c r="I185" s="1">
        <v>2.6960000000000002</v>
      </c>
      <c r="J185" s="1">
        <v>5.4116</v>
      </c>
    </row>
    <row r="186" spans="2:10" x14ac:dyDescent="0.3">
      <c r="B186" s="10">
        <f t="shared" si="4"/>
        <v>2025</v>
      </c>
      <c r="C186" s="10">
        <f t="shared" si="5"/>
        <v>8</v>
      </c>
      <c r="D186" s="3">
        <v>45891</v>
      </c>
      <c r="E186" s="1">
        <v>67.73</v>
      </c>
      <c r="F186" s="1">
        <v>63.66</v>
      </c>
      <c r="G186" s="1">
        <v>2.3081</v>
      </c>
      <c r="H186" s="1">
        <v>2.1585000000000001</v>
      </c>
      <c r="I186" s="1">
        <v>2.698</v>
      </c>
      <c r="J186" s="1">
        <v>5.4217000000000004</v>
      </c>
    </row>
    <row r="187" spans="2:10" x14ac:dyDescent="0.3">
      <c r="B187" s="10">
        <f t="shared" si="4"/>
        <v>2025</v>
      </c>
      <c r="C187" s="10">
        <f t="shared" si="5"/>
        <v>8</v>
      </c>
      <c r="D187" s="3">
        <v>45890</v>
      </c>
      <c r="E187" s="1">
        <v>67.67</v>
      </c>
      <c r="F187" s="1">
        <v>63.52</v>
      </c>
      <c r="G187" s="1">
        <v>2.3250999999999999</v>
      </c>
      <c r="H187" s="1">
        <v>2.1597</v>
      </c>
      <c r="I187" s="1">
        <v>2.8260000000000001</v>
      </c>
      <c r="J187" s="1">
        <v>5.4706999999999999</v>
      </c>
    </row>
    <row r="188" spans="2:10" x14ac:dyDescent="0.3">
      <c r="B188" s="10">
        <f t="shared" si="4"/>
        <v>2025</v>
      </c>
      <c r="C188" s="10">
        <f t="shared" si="5"/>
        <v>8</v>
      </c>
      <c r="D188" s="3">
        <v>45889</v>
      </c>
      <c r="E188" s="1">
        <v>66.84</v>
      </c>
      <c r="F188" s="1">
        <v>63.21</v>
      </c>
      <c r="G188" s="1">
        <v>2.2795999999999998</v>
      </c>
      <c r="H188" s="1">
        <v>2.1282999999999999</v>
      </c>
      <c r="I188" s="1">
        <v>2.7519999999999998</v>
      </c>
      <c r="J188" s="1">
        <v>5.4824000000000002</v>
      </c>
    </row>
    <row r="189" spans="2:10" x14ac:dyDescent="0.3">
      <c r="B189" s="10">
        <f t="shared" si="4"/>
        <v>2025</v>
      </c>
      <c r="C189" s="10">
        <f t="shared" si="5"/>
        <v>8</v>
      </c>
      <c r="D189" s="3">
        <v>45888</v>
      </c>
      <c r="E189" s="1">
        <v>65.790000000000006</v>
      </c>
      <c r="F189" s="1">
        <v>62.35</v>
      </c>
      <c r="G189" s="1">
        <v>2.2511000000000001</v>
      </c>
      <c r="H189" s="1">
        <v>2.089</v>
      </c>
      <c r="I189" s="1">
        <v>2.766</v>
      </c>
      <c r="J189" s="1">
        <v>5.5035999999999996</v>
      </c>
    </row>
    <row r="190" spans="2:10" x14ac:dyDescent="0.3">
      <c r="B190" s="10">
        <f t="shared" si="4"/>
        <v>2025</v>
      </c>
      <c r="C190" s="10">
        <f t="shared" si="5"/>
        <v>8</v>
      </c>
      <c r="D190" s="3">
        <v>45887</v>
      </c>
      <c r="E190" s="1">
        <v>66.599999999999994</v>
      </c>
      <c r="F190" s="1">
        <v>63.42</v>
      </c>
      <c r="G190" s="1">
        <v>2.2403</v>
      </c>
      <c r="H190" s="1">
        <v>2.0987</v>
      </c>
      <c r="I190" s="1">
        <v>2.89</v>
      </c>
      <c r="J190" s="1">
        <v>5.4363000000000001</v>
      </c>
    </row>
    <row r="191" spans="2:10" x14ac:dyDescent="0.3">
      <c r="B191" s="10">
        <f t="shared" si="4"/>
        <v>2025</v>
      </c>
      <c r="C191" s="10">
        <f t="shared" si="5"/>
        <v>8</v>
      </c>
      <c r="D191" s="3">
        <v>45884</v>
      </c>
      <c r="E191" s="1">
        <v>65.849999999999994</v>
      </c>
      <c r="F191" s="1">
        <v>62.8</v>
      </c>
      <c r="G191" s="1">
        <v>2.2250000000000001</v>
      </c>
      <c r="H191" s="1">
        <v>2.0724999999999998</v>
      </c>
      <c r="I191" s="1">
        <v>2.9159999999999999</v>
      </c>
      <c r="J191" s="1">
        <v>5.4005000000000001</v>
      </c>
    </row>
    <row r="192" spans="2:10" x14ac:dyDescent="0.3">
      <c r="B192" s="10">
        <f t="shared" si="4"/>
        <v>2025</v>
      </c>
      <c r="C192" s="10">
        <f t="shared" si="5"/>
        <v>8</v>
      </c>
      <c r="D192" s="3">
        <v>45883</v>
      </c>
      <c r="E192" s="1">
        <v>66.84</v>
      </c>
      <c r="F192" s="1">
        <v>63.96</v>
      </c>
      <c r="G192" s="1">
        <v>2.2345000000000002</v>
      </c>
      <c r="H192" s="1">
        <v>2.1092</v>
      </c>
      <c r="I192" s="1">
        <v>2.8410000000000002</v>
      </c>
      <c r="J192" s="1">
        <v>5.4154999999999998</v>
      </c>
    </row>
    <row r="193" spans="2:10" x14ac:dyDescent="0.3">
      <c r="B193" s="10">
        <f t="shared" si="4"/>
        <v>2025</v>
      </c>
      <c r="C193" s="10">
        <f t="shared" si="5"/>
        <v>8</v>
      </c>
      <c r="D193" s="3">
        <v>45882</v>
      </c>
      <c r="E193" s="1">
        <v>65.63</v>
      </c>
      <c r="F193" s="1">
        <v>62.65</v>
      </c>
      <c r="G193" s="1">
        <v>2.2427999999999999</v>
      </c>
      <c r="H193" s="1">
        <v>2.0703999999999998</v>
      </c>
      <c r="I193" s="1">
        <v>2.8279999999999998</v>
      </c>
      <c r="J193" s="1">
        <v>5.3986000000000001</v>
      </c>
    </row>
    <row r="194" spans="2:10" x14ac:dyDescent="0.3">
      <c r="B194" s="10">
        <f t="shared" si="4"/>
        <v>2025</v>
      </c>
      <c r="C194" s="10">
        <f t="shared" si="5"/>
        <v>8</v>
      </c>
      <c r="D194" s="3">
        <v>45881</v>
      </c>
      <c r="E194" s="1">
        <v>66.12</v>
      </c>
      <c r="F194" s="1">
        <v>63.17</v>
      </c>
      <c r="G194" s="1">
        <v>2.2441</v>
      </c>
      <c r="H194" s="1">
        <v>2.0743999999999998</v>
      </c>
      <c r="I194" s="1">
        <v>2.8079999999999998</v>
      </c>
      <c r="J194" s="1">
        <v>5.3890000000000002</v>
      </c>
    </row>
    <row r="195" spans="2:10" x14ac:dyDescent="0.3">
      <c r="B195" s="10">
        <f t="shared" si="4"/>
        <v>2025</v>
      </c>
      <c r="C195" s="10">
        <f t="shared" si="5"/>
        <v>8</v>
      </c>
      <c r="D195" s="3">
        <v>45880</v>
      </c>
      <c r="E195" s="1">
        <v>66.63</v>
      </c>
      <c r="F195" s="1">
        <v>63.96</v>
      </c>
      <c r="G195" s="1">
        <v>2.2909999999999999</v>
      </c>
      <c r="H195" s="1">
        <v>2.0766</v>
      </c>
      <c r="I195" s="1">
        <v>2.9540000000000002</v>
      </c>
      <c r="J195" s="1">
        <v>5.4419000000000004</v>
      </c>
    </row>
    <row r="196" spans="2:10" x14ac:dyDescent="0.3">
      <c r="B196" s="10">
        <f t="shared" si="4"/>
        <v>2025</v>
      </c>
      <c r="C196" s="10">
        <f t="shared" si="5"/>
        <v>8</v>
      </c>
      <c r="D196" s="3">
        <v>45877</v>
      </c>
      <c r="E196" s="1">
        <v>66.59</v>
      </c>
      <c r="F196" s="1">
        <v>63.88</v>
      </c>
      <c r="G196" s="1">
        <v>2.2793000000000001</v>
      </c>
      <c r="H196" s="1">
        <v>2.0861000000000001</v>
      </c>
      <c r="I196" s="1">
        <v>2.99</v>
      </c>
      <c r="J196" s="1">
        <v>5.4333</v>
      </c>
    </row>
    <row r="197" spans="2:10" x14ac:dyDescent="0.3">
      <c r="B197" s="10">
        <f t="shared" si="4"/>
        <v>2025</v>
      </c>
      <c r="C197" s="10">
        <f t="shared" si="5"/>
        <v>8</v>
      </c>
      <c r="D197" s="3">
        <v>45876</v>
      </c>
      <c r="E197" s="1">
        <v>66.430000000000007</v>
      </c>
      <c r="F197" s="1">
        <v>63.88</v>
      </c>
      <c r="G197" s="1">
        <v>2.2667999999999999</v>
      </c>
      <c r="H197" s="1">
        <v>2.0775000000000001</v>
      </c>
      <c r="I197" s="1">
        <v>3.0670000000000002</v>
      </c>
      <c r="J197" s="1">
        <v>5.4230999999999998</v>
      </c>
    </row>
    <row r="198" spans="2:10" x14ac:dyDescent="0.3">
      <c r="B198" s="10">
        <f t="shared" ref="B198:B261" si="6">YEAR(D198)</f>
        <v>2025</v>
      </c>
      <c r="C198" s="10">
        <f t="shared" ref="C198:C261" si="7">MONTH(D198)</f>
        <v>8</v>
      </c>
      <c r="D198" s="3">
        <v>45875</v>
      </c>
      <c r="E198" s="1">
        <v>66.89</v>
      </c>
      <c r="F198" s="1">
        <v>64.349999999999994</v>
      </c>
      <c r="G198" s="1">
        <v>2.2627999999999999</v>
      </c>
      <c r="H198" s="1">
        <v>2.0903999999999998</v>
      </c>
      <c r="I198" s="1">
        <v>3.077</v>
      </c>
      <c r="J198" s="1">
        <v>5.4625000000000004</v>
      </c>
    </row>
    <row r="199" spans="2:10" x14ac:dyDescent="0.3">
      <c r="B199" s="10">
        <f t="shared" si="6"/>
        <v>2025</v>
      </c>
      <c r="C199" s="10">
        <f t="shared" si="7"/>
        <v>8</v>
      </c>
      <c r="D199" s="3">
        <v>45874</v>
      </c>
      <c r="E199" s="1">
        <v>67.64</v>
      </c>
      <c r="F199" s="1">
        <v>65.16</v>
      </c>
      <c r="G199" s="1">
        <v>2.2502</v>
      </c>
      <c r="H199" s="1">
        <v>2.0914999999999999</v>
      </c>
      <c r="I199" s="1">
        <v>3.01</v>
      </c>
      <c r="J199" s="1">
        <v>5.5069999999999997</v>
      </c>
    </row>
    <row r="200" spans="2:10" x14ac:dyDescent="0.3">
      <c r="B200" s="10">
        <f t="shared" si="6"/>
        <v>2025</v>
      </c>
      <c r="C200" s="10">
        <f t="shared" si="7"/>
        <v>8</v>
      </c>
      <c r="D200" s="3">
        <v>45873</v>
      </c>
      <c r="E200" s="1">
        <v>68.760000000000005</v>
      </c>
      <c r="F200" s="1">
        <v>66.290000000000006</v>
      </c>
      <c r="G200" s="1">
        <v>2.3176000000000001</v>
      </c>
      <c r="H200" s="1">
        <v>2.1021999999999998</v>
      </c>
      <c r="I200" s="1">
        <v>2.9319999999999999</v>
      </c>
      <c r="J200" s="1">
        <v>5.4980000000000002</v>
      </c>
    </row>
    <row r="201" spans="2:10" x14ac:dyDescent="0.3">
      <c r="B201" s="10">
        <f t="shared" si="6"/>
        <v>2025</v>
      </c>
      <c r="C201" s="10">
        <f t="shared" si="7"/>
        <v>8</v>
      </c>
      <c r="D201" s="3">
        <v>45870</v>
      </c>
      <c r="E201" s="1">
        <v>69.67</v>
      </c>
      <c r="F201" s="1">
        <v>67.33</v>
      </c>
      <c r="G201" s="1">
        <v>2.2999000000000001</v>
      </c>
      <c r="H201" s="1">
        <v>2.1185999999999998</v>
      </c>
      <c r="I201" s="1">
        <v>3.0830000000000002</v>
      </c>
      <c r="J201" s="1">
        <v>5.5412999999999997</v>
      </c>
    </row>
    <row r="202" spans="2:10" x14ac:dyDescent="0.3">
      <c r="B202" s="10">
        <f t="shared" si="6"/>
        <v>2025</v>
      </c>
      <c r="C202" s="10">
        <f t="shared" si="7"/>
        <v>7</v>
      </c>
      <c r="D202" s="3">
        <v>45869</v>
      </c>
      <c r="E202" s="1">
        <v>72.53</v>
      </c>
      <c r="F202" s="1">
        <v>69.260000000000005</v>
      </c>
      <c r="G202" s="1">
        <v>2.3995000000000002</v>
      </c>
      <c r="H202" s="1">
        <v>2.2155999999999998</v>
      </c>
      <c r="I202" s="1">
        <v>3.1059999999999999</v>
      </c>
      <c r="J202" s="1">
        <v>5.6007999999999996</v>
      </c>
    </row>
    <row r="203" spans="2:10" x14ac:dyDescent="0.3">
      <c r="B203" s="10">
        <f t="shared" si="6"/>
        <v>2025</v>
      </c>
      <c r="C203" s="10">
        <f t="shared" si="7"/>
        <v>7</v>
      </c>
      <c r="D203" s="3">
        <v>45868</v>
      </c>
      <c r="E203" s="1">
        <v>73.239999999999995</v>
      </c>
      <c r="F203" s="1">
        <v>70</v>
      </c>
      <c r="G203" s="1">
        <v>2.4184999999999999</v>
      </c>
      <c r="H203" s="1">
        <v>2.2690999999999999</v>
      </c>
      <c r="I203" s="1">
        <v>3.0449999999999999</v>
      </c>
      <c r="J203" s="1">
        <v>5.5690999999999997</v>
      </c>
    </row>
    <row r="204" spans="2:10" x14ac:dyDescent="0.3">
      <c r="B204" s="10">
        <f t="shared" si="6"/>
        <v>2025</v>
      </c>
      <c r="C204" s="10">
        <f t="shared" si="7"/>
        <v>7</v>
      </c>
      <c r="D204" s="3">
        <v>45867</v>
      </c>
      <c r="E204" s="1">
        <v>72.510000000000005</v>
      </c>
      <c r="F204" s="1">
        <v>69.209999999999994</v>
      </c>
      <c r="G204" s="1">
        <v>2.4638</v>
      </c>
      <c r="H204" s="1">
        <v>2.2183999999999999</v>
      </c>
      <c r="I204" s="1">
        <v>3.081</v>
      </c>
      <c r="J204" s="1">
        <v>5.5742000000000003</v>
      </c>
    </row>
    <row r="205" spans="2:10" x14ac:dyDescent="0.3">
      <c r="B205" s="10">
        <f t="shared" si="6"/>
        <v>2025</v>
      </c>
      <c r="C205" s="10">
        <f t="shared" si="7"/>
        <v>7</v>
      </c>
      <c r="D205" s="3">
        <v>45866</v>
      </c>
      <c r="E205" s="1">
        <v>70.040000000000006</v>
      </c>
      <c r="F205" s="1">
        <v>66.709999999999994</v>
      </c>
      <c r="G205" s="1">
        <v>2.4266000000000001</v>
      </c>
      <c r="H205" s="1">
        <v>2.1352000000000002</v>
      </c>
      <c r="I205" s="1">
        <v>2.988</v>
      </c>
      <c r="J205" s="1">
        <v>5.5883000000000003</v>
      </c>
    </row>
    <row r="206" spans="2:10" x14ac:dyDescent="0.3">
      <c r="B206" s="10">
        <f t="shared" si="6"/>
        <v>2025</v>
      </c>
      <c r="C206" s="10">
        <f t="shared" si="7"/>
        <v>7</v>
      </c>
      <c r="D206" s="3">
        <v>45863</v>
      </c>
      <c r="E206" s="1">
        <v>68.44</v>
      </c>
      <c r="F206" s="1">
        <v>65.16</v>
      </c>
      <c r="G206" s="1">
        <v>2.4062000000000001</v>
      </c>
      <c r="H206" s="1">
        <v>2.097</v>
      </c>
      <c r="I206" s="1">
        <v>3.11</v>
      </c>
      <c r="J206" s="1">
        <v>5.5628000000000002</v>
      </c>
    </row>
    <row r="207" spans="2:10" x14ac:dyDescent="0.3">
      <c r="B207" s="10">
        <f t="shared" si="6"/>
        <v>2025</v>
      </c>
      <c r="C207" s="10">
        <f t="shared" si="7"/>
        <v>7</v>
      </c>
      <c r="D207" s="3">
        <v>45862</v>
      </c>
      <c r="E207" s="1">
        <v>69.180000000000007</v>
      </c>
      <c r="F207" s="1">
        <v>66.03</v>
      </c>
      <c r="G207" s="1">
        <v>2.4129</v>
      </c>
      <c r="H207" s="1">
        <v>2.1042000000000001</v>
      </c>
      <c r="I207" s="1">
        <v>3.0939999999999999</v>
      </c>
      <c r="J207" s="1">
        <v>5.5209999999999999</v>
      </c>
    </row>
    <row r="208" spans="2:10" x14ac:dyDescent="0.3">
      <c r="B208" s="10">
        <f t="shared" si="6"/>
        <v>2025</v>
      </c>
      <c r="C208" s="10">
        <f t="shared" si="7"/>
        <v>7</v>
      </c>
      <c r="D208" s="3">
        <v>45861</v>
      </c>
      <c r="E208" s="1">
        <v>68.510000000000005</v>
      </c>
      <c r="F208" s="1">
        <v>65.25</v>
      </c>
      <c r="G208" s="1">
        <v>2.4489999999999998</v>
      </c>
      <c r="H208" s="1">
        <v>2.1213000000000002</v>
      </c>
      <c r="I208" s="1">
        <v>3.077</v>
      </c>
      <c r="J208" s="1">
        <v>5.5198999999999998</v>
      </c>
    </row>
    <row r="209" spans="2:10" x14ac:dyDescent="0.3">
      <c r="B209" s="10">
        <f t="shared" si="6"/>
        <v>2025</v>
      </c>
      <c r="C209" s="10">
        <f t="shared" si="7"/>
        <v>7</v>
      </c>
      <c r="D209" s="3">
        <v>45860</v>
      </c>
      <c r="E209" s="1">
        <v>68.59</v>
      </c>
      <c r="F209" s="1">
        <v>66.209999999999994</v>
      </c>
      <c r="G209" s="1">
        <v>2.4518</v>
      </c>
      <c r="H209" s="1">
        <v>2.1019000000000001</v>
      </c>
      <c r="I209" s="1">
        <v>3.2519999999999998</v>
      </c>
      <c r="J209" s="1">
        <v>5.5648999999999997</v>
      </c>
    </row>
    <row r="210" spans="2:10" x14ac:dyDescent="0.3">
      <c r="B210" s="10">
        <f t="shared" si="6"/>
        <v>2025</v>
      </c>
      <c r="C210" s="10">
        <f t="shared" si="7"/>
        <v>7</v>
      </c>
      <c r="D210" s="3">
        <v>45859</v>
      </c>
      <c r="E210" s="1">
        <v>69.209999999999994</v>
      </c>
      <c r="F210" s="1">
        <v>67.2</v>
      </c>
      <c r="G210" s="1">
        <v>2.5091999999999999</v>
      </c>
      <c r="H210" s="1">
        <v>2.1318999999999999</v>
      </c>
      <c r="I210" s="1">
        <v>3.3250000000000002</v>
      </c>
      <c r="J210" s="1">
        <v>5.5666000000000002</v>
      </c>
    </row>
    <row r="211" spans="2:10" x14ac:dyDescent="0.3">
      <c r="B211" s="10">
        <f t="shared" si="6"/>
        <v>2025</v>
      </c>
      <c r="C211" s="10">
        <f t="shared" si="7"/>
        <v>7</v>
      </c>
      <c r="D211" s="3">
        <v>45856</v>
      </c>
      <c r="E211" s="1">
        <v>69.28</v>
      </c>
      <c r="F211" s="1">
        <v>67.34</v>
      </c>
      <c r="G211" s="1">
        <v>2.4529999999999998</v>
      </c>
      <c r="H211" s="1">
        <v>2.1534</v>
      </c>
      <c r="I211" s="1">
        <v>3.5649999999999999</v>
      </c>
      <c r="J211" s="1">
        <v>5.5785</v>
      </c>
    </row>
    <row r="212" spans="2:10" x14ac:dyDescent="0.3">
      <c r="B212" s="10">
        <f t="shared" si="6"/>
        <v>2025</v>
      </c>
      <c r="C212" s="10">
        <f t="shared" si="7"/>
        <v>7</v>
      </c>
      <c r="D212" s="3">
        <v>45855</v>
      </c>
      <c r="E212" s="1">
        <v>69.52</v>
      </c>
      <c r="F212" s="1">
        <v>67.540000000000006</v>
      </c>
      <c r="G212" s="1">
        <v>2.4645999999999999</v>
      </c>
      <c r="H212" s="1">
        <v>2.1703999999999999</v>
      </c>
      <c r="I212" s="1">
        <v>3.5419999999999998</v>
      </c>
      <c r="J212" s="1">
        <v>5.5435999999999996</v>
      </c>
    </row>
    <row r="213" spans="2:10" x14ac:dyDescent="0.3">
      <c r="B213" s="10">
        <f t="shared" si="6"/>
        <v>2025</v>
      </c>
      <c r="C213" s="10">
        <f t="shared" si="7"/>
        <v>7</v>
      </c>
      <c r="D213" s="3">
        <v>45854</v>
      </c>
      <c r="E213" s="1">
        <v>68.52</v>
      </c>
      <c r="F213" s="1">
        <v>66.38</v>
      </c>
      <c r="G213" s="1">
        <v>2.3915000000000002</v>
      </c>
      <c r="H213" s="1">
        <v>2.1440000000000001</v>
      </c>
      <c r="I213" s="1">
        <v>3.5510000000000002</v>
      </c>
      <c r="J213" s="1">
        <v>5.5682999999999998</v>
      </c>
    </row>
    <row r="214" spans="2:10" x14ac:dyDescent="0.3">
      <c r="B214" s="10">
        <f t="shared" si="6"/>
        <v>2025</v>
      </c>
      <c r="C214" s="10">
        <f t="shared" si="7"/>
        <v>7</v>
      </c>
      <c r="D214" s="3">
        <v>45853</v>
      </c>
      <c r="E214" s="1">
        <v>68.709999999999994</v>
      </c>
      <c r="F214" s="1">
        <v>66.52</v>
      </c>
      <c r="G214" s="1">
        <v>2.4051999999999998</v>
      </c>
      <c r="H214" s="1">
        <v>2.1696</v>
      </c>
      <c r="I214" s="1">
        <v>3.5230000000000001</v>
      </c>
      <c r="J214" s="1">
        <v>5.5566000000000004</v>
      </c>
    </row>
    <row r="215" spans="2:10" x14ac:dyDescent="0.3">
      <c r="B215" s="10">
        <f t="shared" si="6"/>
        <v>2025</v>
      </c>
      <c r="C215" s="10">
        <f t="shared" si="7"/>
        <v>7</v>
      </c>
      <c r="D215" s="3">
        <v>45852</v>
      </c>
      <c r="E215" s="1">
        <v>69.209999999999994</v>
      </c>
      <c r="F215" s="1">
        <v>66.98</v>
      </c>
      <c r="G215" s="1">
        <v>2.3898000000000001</v>
      </c>
      <c r="H215" s="1">
        <v>2.1654</v>
      </c>
      <c r="I215" s="1">
        <v>3.4660000000000002</v>
      </c>
      <c r="J215" s="1">
        <v>5.5888</v>
      </c>
    </row>
    <row r="216" spans="2:10" x14ac:dyDescent="0.3">
      <c r="B216" s="10">
        <f t="shared" si="6"/>
        <v>2025</v>
      </c>
      <c r="C216" s="10">
        <f t="shared" si="7"/>
        <v>7</v>
      </c>
      <c r="D216" s="3">
        <v>45849</v>
      </c>
      <c r="E216" s="1">
        <v>70.36</v>
      </c>
      <c r="F216" s="1">
        <v>68.45</v>
      </c>
      <c r="G216" s="1">
        <v>2.4474</v>
      </c>
      <c r="H216" s="1">
        <v>2.1869999999999998</v>
      </c>
      <c r="I216" s="1">
        <v>3.3140000000000001</v>
      </c>
      <c r="J216" s="1">
        <v>5.5583999999999998</v>
      </c>
    </row>
    <row r="217" spans="2:10" x14ac:dyDescent="0.3">
      <c r="B217" s="10">
        <f t="shared" si="6"/>
        <v>2025</v>
      </c>
      <c r="C217" s="10">
        <f t="shared" si="7"/>
        <v>7</v>
      </c>
      <c r="D217" s="3">
        <v>45848</v>
      </c>
      <c r="E217" s="1">
        <v>68.64</v>
      </c>
      <c r="F217" s="1">
        <v>66.569999999999993</v>
      </c>
      <c r="G217" s="1">
        <v>2.3835000000000002</v>
      </c>
      <c r="H217" s="1">
        <v>2.1524000000000001</v>
      </c>
      <c r="I217" s="1">
        <v>3.3370000000000002</v>
      </c>
      <c r="J217" s="1">
        <v>5.5312999999999999</v>
      </c>
    </row>
    <row r="218" spans="2:10" x14ac:dyDescent="0.3">
      <c r="B218" s="10">
        <f t="shared" si="6"/>
        <v>2025</v>
      </c>
      <c r="C218" s="10">
        <f t="shared" si="7"/>
        <v>7</v>
      </c>
      <c r="D218" s="3">
        <v>45847</v>
      </c>
      <c r="E218" s="1">
        <v>70.19</v>
      </c>
      <c r="F218" s="1">
        <v>68.38</v>
      </c>
      <c r="G218" s="1">
        <v>2.4091999999999998</v>
      </c>
      <c r="H218" s="1">
        <v>2.1879</v>
      </c>
      <c r="I218" s="1">
        <v>3.214</v>
      </c>
      <c r="J218" s="1">
        <v>5.5757000000000003</v>
      </c>
    </row>
    <row r="219" spans="2:10" x14ac:dyDescent="0.3">
      <c r="B219" s="10">
        <f t="shared" si="6"/>
        <v>2025</v>
      </c>
      <c r="C219" s="10">
        <f t="shared" si="7"/>
        <v>7</v>
      </c>
      <c r="D219" s="3">
        <v>45846</v>
      </c>
      <c r="E219" s="1">
        <v>70.150000000000006</v>
      </c>
      <c r="F219" s="1">
        <v>68.33</v>
      </c>
      <c r="G219" s="1">
        <v>2.4413</v>
      </c>
      <c r="H219" s="1">
        <v>2.1850000000000001</v>
      </c>
      <c r="I219" s="1">
        <v>3.34</v>
      </c>
      <c r="J219" s="1">
        <v>5.4466000000000001</v>
      </c>
    </row>
    <row r="220" spans="2:10" x14ac:dyDescent="0.3">
      <c r="B220" s="10">
        <f t="shared" si="6"/>
        <v>2025</v>
      </c>
      <c r="C220" s="10">
        <f t="shared" si="7"/>
        <v>7</v>
      </c>
      <c r="D220" s="3">
        <v>45845</v>
      </c>
      <c r="E220" s="1">
        <v>69.58</v>
      </c>
      <c r="F220" s="1">
        <v>67.930000000000007</v>
      </c>
      <c r="G220" s="1">
        <v>2.4211</v>
      </c>
      <c r="H220" s="1">
        <v>2.1522000000000001</v>
      </c>
      <c r="I220" s="1">
        <v>3.4119999999999999</v>
      </c>
      <c r="J220" s="1">
        <v>5.4871999999999996</v>
      </c>
    </row>
    <row r="221" spans="2:10" x14ac:dyDescent="0.3">
      <c r="B221" s="10">
        <f t="shared" si="6"/>
        <v>2025</v>
      </c>
      <c r="C221" s="10">
        <f t="shared" si="7"/>
        <v>7</v>
      </c>
      <c r="D221" s="3">
        <v>45842</v>
      </c>
      <c r="E221" s="1">
        <v>68.3</v>
      </c>
      <c r="J221" s="1">
        <v>5.4207000000000001</v>
      </c>
    </row>
    <row r="222" spans="2:10" x14ac:dyDescent="0.3">
      <c r="B222" s="10">
        <f t="shared" si="6"/>
        <v>2025</v>
      </c>
      <c r="C222" s="10">
        <f t="shared" si="7"/>
        <v>7</v>
      </c>
      <c r="D222" s="3">
        <v>45841</v>
      </c>
      <c r="E222" s="1">
        <v>68.8</v>
      </c>
      <c r="F222" s="1">
        <v>67</v>
      </c>
      <c r="G222" s="1">
        <v>2.3698000000000001</v>
      </c>
      <c r="H222" s="1">
        <v>2.1185999999999998</v>
      </c>
      <c r="I222" s="1">
        <v>3.4089999999999998</v>
      </c>
      <c r="J222" s="1">
        <v>5.4081999999999999</v>
      </c>
    </row>
    <row r="223" spans="2:10" x14ac:dyDescent="0.3">
      <c r="B223" s="10">
        <f t="shared" si="6"/>
        <v>2025</v>
      </c>
      <c r="C223" s="10">
        <f t="shared" si="7"/>
        <v>7</v>
      </c>
      <c r="D223" s="3">
        <v>45840</v>
      </c>
      <c r="E223" s="1">
        <v>69.11</v>
      </c>
      <c r="F223" s="1">
        <v>67.45</v>
      </c>
      <c r="G223" s="1">
        <v>2.4117000000000002</v>
      </c>
      <c r="H223" s="1">
        <v>2.1229</v>
      </c>
      <c r="I223" s="1">
        <v>3.488</v>
      </c>
      <c r="J223" s="1">
        <v>5.4234999999999998</v>
      </c>
    </row>
    <row r="224" spans="2:10" x14ac:dyDescent="0.3">
      <c r="B224" s="10">
        <f t="shared" si="6"/>
        <v>2025</v>
      </c>
      <c r="C224" s="10">
        <f t="shared" si="7"/>
        <v>7</v>
      </c>
      <c r="D224" s="3">
        <v>45839</v>
      </c>
      <c r="E224" s="1">
        <v>67.11</v>
      </c>
      <c r="F224" s="1">
        <v>65.45</v>
      </c>
      <c r="G224" s="1">
        <v>2.3269000000000002</v>
      </c>
      <c r="H224" s="1">
        <v>2.1002999999999998</v>
      </c>
      <c r="I224" s="1">
        <v>3.415</v>
      </c>
      <c r="J224" s="1">
        <v>5.4580000000000002</v>
      </c>
    </row>
    <row r="225" spans="2:10" x14ac:dyDescent="0.3">
      <c r="B225" s="10">
        <f t="shared" si="6"/>
        <v>2025</v>
      </c>
      <c r="C225" s="10">
        <f t="shared" si="7"/>
        <v>6</v>
      </c>
      <c r="D225" s="3">
        <v>45838</v>
      </c>
      <c r="E225" s="1">
        <v>67.61</v>
      </c>
      <c r="F225" s="1">
        <v>65.11</v>
      </c>
      <c r="G225" s="1">
        <v>2.3458000000000001</v>
      </c>
      <c r="H225" s="1">
        <v>2.0798000000000001</v>
      </c>
      <c r="I225" s="1">
        <v>3.456</v>
      </c>
      <c r="J225" s="1">
        <v>5.4321000000000002</v>
      </c>
    </row>
    <row r="226" spans="2:10" x14ac:dyDescent="0.3">
      <c r="B226" s="10">
        <f t="shared" si="6"/>
        <v>2025</v>
      </c>
      <c r="C226" s="10">
        <f t="shared" si="7"/>
        <v>6</v>
      </c>
      <c r="D226" s="3">
        <v>45835</v>
      </c>
      <c r="E226" s="1">
        <v>67.77</v>
      </c>
      <c r="F226" s="1">
        <v>65.52</v>
      </c>
      <c r="G226" s="1">
        <v>2.3071999999999999</v>
      </c>
      <c r="H226" s="1">
        <v>2.0897999999999999</v>
      </c>
      <c r="I226" s="1">
        <v>3.7389999999999999</v>
      </c>
      <c r="J226" s="1">
        <v>5.4846000000000004</v>
      </c>
    </row>
    <row r="227" spans="2:10" x14ac:dyDescent="0.3">
      <c r="B227" s="10">
        <f t="shared" si="6"/>
        <v>2025</v>
      </c>
      <c r="C227" s="10">
        <f t="shared" si="7"/>
        <v>6</v>
      </c>
      <c r="D227" s="3">
        <v>45834</v>
      </c>
      <c r="E227" s="1">
        <v>67.73</v>
      </c>
      <c r="F227" s="1">
        <v>65.239999999999995</v>
      </c>
      <c r="G227" s="1">
        <v>2.3601000000000001</v>
      </c>
      <c r="H227" s="1">
        <v>2.0990000000000002</v>
      </c>
      <c r="I227" s="1">
        <v>3.2610000000000001</v>
      </c>
      <c r="J227" s="1">
        <v>5.4885000000000002</v>
      </c>
    </row>
    <row r="228" spans="2:10" x14ac:dyDescent="0.3">
      <c r="B228" s="10">
        <f t="shared" si="6"/>
        <v>2025</v>
      </c>
      <c r="C228" s="10">
        <f t="shared" si="7"/>
        <v>6</v>
      </c>
      <c r="D228" s="3">
        <v>45833</v>
      </c>
      <c r="E228" s="1">
        <v>67.680000000000007</v>
      </c>
      <c r="F228" s="1">
        <v>64.92</v>
      </c>
      <c r="G228" s="1">
        <v>2.2964000000000002</v>
      </c>
      <c r="H228" s="1">
        <v>2.0823999999999998</v>
      </c>
      <c r="I228" s="1">
        <v>3.4060000000000001</v>
      </c>
      <c r="J228" s="1">
        <v>5.5629</v>
      </c>
    </row>
    <row r="229" spans="2:10" x14ac:dyDescent="0.3">
      <c r="B229" s="10">
        <f t="shared" si="6"/>
        <v>2025</v>
      </c>
      <c r="C229" s="10">
        <f t="shared" si="7"/>
        <v>6</v>
      </c>
      <c r="D229" s="3">
        <v>45832</v>
      </c>
      <c r="E229" s="1">
        <v>67.14</v>
      </c>
      <c r="F229" s="1">
        <v>64.37</v>
      </c>
      <c r="G229" s="1">
        <v>2.2850999999999999</v>
      </c>
      <c r="H229" s="1">
        <v>2.0857000000000001</v>
      </c>
      <c r="I229" s="1">
        <v>3.5369999999999999</v>
      </c>
      <c r="J229" s="1">
        <v>5.5106000000000002</v>
      </c>
    </row>
    <row r="230" spans="2:10" x14ac:dyDescent="0.3">
      <c r="B230" s="10">
        <f t="shared" si="6"/>
        <v>2025</v>
      </c>
      <c r="C230" s="10">
        <f t="shared" si="7"/>
        <v>6</v>
      </c>
      <c r="D230" s="3">
        <v>45831</v>
      </c>
      <c r="E230" s="1">
        <v>71.48</v>
      </c>
      <c r="F230" s="1">
        <v>68.510000000000005</v>
      </c>
      <c r="G230" s="1">
        <v>2.3631000000000002</v>
      </c>
      <c r="H230" s="1">
        <v>2.2181999999999999</v>
      </c>
      <c r="I230" s="1">
        <v>3.698</v>
      </c>
      <c r="J230" s="1">
        <v>5.4957000000000003</v>
      </c>
    </row>
    <row r="231" spans="2:10" x14ac:dyDescent="0.3">
      <c r="B231" s="10">
        <f t="shared" si="6"/>
        <v>2025</v>
      </c>
      <c r="C231" s="10">
        <f t="shared" si="7"/>
        <v>6</v>
      </c>
      <c r="D231" s="3">
        <v>45828</v>
      </c>
      <c r="E231" s="1">
        <v>77.010000000000005</v>
      </c>
      <c r="F231" s="1">
        <v>74.930000000000007</v>
      </c>
      <c r="G231" s="1">
        <v>2.5417999999999998</v>
      </c>
      <c r="H231" s="1">
        <v>2.3294999999999999</v>
      </c>
      <c r="I231" s="1">
        <v>3.847</v>
      </c>
      <c r="J231" s="1">
        <v>5.5126999999999997</v>
      </c>
    </row>
    <row r="232" spans="2:10" x14ac:dyDescent="0.3">
      <c r="B232" s="10">
        <f t="shared" si="6"/>
        <v>2025</v>
      </c>
      <c r="C232" s="10">
        <f t="shared" si="7"/>
        <v>6</v>
      </c>
      <c r="D232" s="3">
        <v>45827</v>
      </c>
      <c r="E232" s="1">
        <v>78.849999999999994</v>
      </c>
      <c r="J232" s="1">
        <v>5.4909999999999997</v>
      </c>
    </row>
    <row r="233" spans="2:10" x14ac:dyDescent="0.3">
      <c r="B233" s="10">
        <f t="shared" si="6"/>
        <v>2025</v>
      </c>
      <c r="C233" s="10">
        <f t="shared" si="7"/>
        <v>6</v>
      </c>
      <c r="D233" s="3">
        <v>45826</v>
      </c>
      <c r="E233" s="1">
        <v>76.7</v>
      </c>
      <c r="F233" s="1">
        <v>75.14</v>
      </c>
      <c r="G233" s="1">
        <v>2.5333999999999999</v>
      </c>
      <c r="H233" s="1">
        <v>2.3086000000000002</v>
      </c>
      <c r="I233" s="1">
        <v>3.9889999999999999</v>
      </c>
      <c r="J233" s="1">
        <v>5.4908999999999999</v>
      </c>
    </row>
    <row r="234" spans="2:10" x14ac:dyDescent="0.3">
      <c r="B234" s="10">
        <f t="shared" si="6"/>
        <v>2025</v>
      </c>
      <c r="C234" s="10">
        <f t="shared" si="7"/>
        <v>6</v>
      </c>
      <c r="D234" s="3">
        <v>45825</v>
      </c>
      <c r="E234" s="1">
        <v>76.45</v>
      </c>
      <c r="F234" s="1">
        <v>74.84</v>
      </c>
      <c r="G234" s="1">
        <v>2.5051000000000001</v>
      </c>
      <c r="H234" s="1">
        <v>2.2719</v>
      </c>
      <c r="I234" s="1">
        <v>3.851</v>
      </c>
      <c r="J234" s="1">
        <v>5.4992000000000001</v>
      </c>
    </row>
    <row r="235" spans="2:10" x14ac:dyDescent="0.3">
      <c r="B235" s="10">
        <f t="shared" si="6"/>
        <v>2025</v>
      </c>
      <c r="C235" s="10">
        <f t="shared" si="7"/>
        <v>6</v>
      </c>
      <c r="D235" s="3">
        <v>45824</v>
      </c>
      <c r="E235" s="1">
        <v>73.23</v>
      </c>
      <c r="F235" s="1">
        <v>71.77</v>
      </c>
      <c r="G235" s="1">
        <v>2.3933</v>
      </c>
      <c r="H235" s="1">
        <v>2.2199</v>
      </c>
      <c r="I235" s="1">
        <v>3.7480000000000002</v>
      </c>
      <c r="J235" s="1">
        <v>5.4912000000000001</v>
      </c>
    </row>
    <row r="236" spans="2:10" x14ac:dyDescent="0.3">
      <c r="B236" s="10">
        <f t="shared" si="6"/>
        <v>2025</v>
      </c>
      <c r="C236" s="10">
        <f t="shared" si="7"/>
        <v>6</v>
      </c>
      <c r="D236" s="3">
        <v>45821</v>
      </c>
      <c r="E236" s="1">
        <v>74.23</v>
      </c>
      <c r="F236" s="1">
        <v>72.98</v>
      </c>
      <c r="G236" s="1">
        <v>2.3586999999999998</v>
      </c>
      <c r="H236" s="1">
        <v>2.2275999999999998</v>
      </c>
      <c r="I236" s="1">
        <v>3.581</v>
      </c>
      <c r="J236" s="1">
        <v>5.5434000000000001</v>
      </c>
    </row>
    <row r="237" spans="2:10" x14ac:dyDescent="0.3">
      <c r="B237" s="10">
        <f t="shared" si="6"/>
        <v>2025</v>
      </c>
      <c r="C237" s="10">
        <f t="shared" si="7"/>
        <v>6</v>
      </c>
      <c r="D237" s="3">
        <v>45820</v>
      </c>
      <c r="E237" s="1">
        <v>69.36</v>
      </c>
      <c r="F237" s="1">
        <v>68.040000000000006</v>
      </c>
      <c r="G237" s="1">
        <v>2.1886999999999999</v>
      </c>
      <c r="H237" s="1">
        <v>2.1429</v>
      </c>
      <c r="I237" s="1">
        <v>3.492</v>
      </c>
      <c r="J237" s="1">
        <v>5.5369999999999999</v>
      </c>
    </row>
    <row r="238" spans="2:10" x14ac:dyDescent="0.3">
      <c r="B238" s="10">
        <f t="shared" si="6"/>
        <v>2025</v>
      </c>
      <c r="C238" s="10">
        <f t="shared" si="7"/>
        <v>6</v>
      </c>
      <c r="D238" s="3">
        <v>45819</v>
      </c>
      <c r="E238" s="1">
        <v>69.77</v>
      </c>
      <c r="F238" s="1">
        <v>68.150000000000006</v>
      </c>
      <c r="G238" s="1">
        <v>2.2052999999999998</v>
      </c>
      <c r="H238" s="1">
        <v>2.1667999999999998</v>
      </c>
      <c r="I238" s="1">
        <v>3.5070000000000001</v>
      </c>
      <c r="J238" s="1">
        <v>5.5359999999999996</v>
      </c>
    </row>
    <row r="239" spans="2:10" x14ac:dyDescent="0.3">
      <c r="B239" s="10">
        <f t="shared" si="6"/>
        <v>2025</v>
      </c>
      <c r="C239" s="10">
        <f t="shared" si="7"/>
        <v>6</v>
      </c>
      <c r="D239" s="3">
        <v>45818</v>
      </c>
      <c r="E239" s="1">
        <v>66.87</v>
      </c>
      <c r="F239" s="1">
        <v>64.98</v>
      </c>
      <c r="G239" s="1">
        <v>2.1415999999999999</v>
      </c>
      <c r="H239" s="1">
        <v>2.0880000000000001</v>
      </c>
      <c r="I239" s="1">
        <v>3.5329999999999999</v>
      </c>
      <c r="J239" s="1">
        <v>5.5739000000000001</v>
      </c>
    </row>
    <row r="240" spans="2:10" x14ac:dyDescent="0.3">
      <c r="B240" s="10">
        <f t="shared" si="6"/>
        <v>2025</v>
      </c>
      <c r="C240" s="10">
        <f t="shared" si="7"/>
        <v>6</v>
      </c>
      <c r="D240" s="3">
        <v>45817</v>
      </c>
      <c r="E240" s="1">
        <v>67.040000000000006</v>
      </c>
      <c r="F240" s="1">
        <v>65.290000000000006</v>
      </c>
      <c r="G240" s="1">
        <v>2.1463999999999999</v>
      </c>
      <c r="H240" s="1">
        <v>2.0952000000000002</v>
      </c>
      <c r="I240" s="1">
        <v>3.6349999999999998</v>
      </c>
      <c r="J240" s="1">
        <v>5.5583999999999998</v>
      </c>
    </row>
    <row r="241" spans="2:10" x14ac:dyDescent="0.3">
      <c r="B241" s="10">
        <f t="shared" si="6"/>
        <v>2025</v>
      </c>
      <c r="C241" s="10">
        <f t="shared" si="7"/>
        <v>6</v>
      </c>
      <c r="D241" s="3">
        <v>45814</v>
      </c>
      <c r="E241" s="1">
        <v>66.47</v>
      </c>
      <c r="F241" s="1">
        <v>64.58</v>
      </c>
      <c r="G241" s="1">
        <v>2.1253000000000002</v>
      </c>
      <c r="H241" s="1">
        <v>2.0768</v>
      </c>
      <c r="I241" s="1">
        <v>3.7839999999999998</v>
      </c>
      <c r="J241" s="1">
        <v>5.5587</v>
      </c>
    </row>
    <row r="242" spans="2:10" x14ac:dyDescent="0.3">
      <c r="B242" s="10">
        <f t="shared" si="6"/>
        <v>2025</v>
      </c>
      <c r="C242" s="10">
        <f t="shared" si="7"/>
        <v>6</v>
      </c>
      <c r="D242" s="3">
        <v>45813</v>
      </c>
      <c r="E242" s="1">
        <v>65.34</v>
      </c>
      <c r="F242" s="1">
        <v>63.37</v>
      </c>
      <c r="G242" s="1">
        <v>2.0945</v>
      </c>
      <c r="H242" s="1">
        <v>2.0629</v>
      </c>
      <c r="I242" s="1">
        <v>3.677</v>
      </c>
      <c r="J242" s="1">
        <v>5.5884999999999998</v>
      </c>
    </row>
    <row r="243" spans="2:10" x14ac:dyDescent="0.3">
      <c r="B243" s="10">
        <f t="shared" si="6"/>
        <v>2025</v>
      </c>
      <c r="C243" s="10">
        <f t="shared" si="7"/>
        <v>6</v>
      </c>
      <c r="D243" s="3">
        <v>45812</v>
      </c>
      <c r="E243" s="1">
        <v>64.86</v>
      </c>
      <c r="F243" s="1">
        <v>62.85</v>
      </c>
      <c r="G243" s="1">
        <v>2.0701000000000001</v>
      </c>
      <c r="H243" s="1">
        <v>2.0339999999999998</v>
      </c>
      <c r="I243" s="1">
        <v>3.7160000000000002</v>
      </c>
      <c r="J243" s="1">
        <v>5.6361999999999997</v>
      </c>
    </row>
    <row r="244" spans="2:10" x14ac:dyDescent="0.3">
      <c r="B244" s="10">
        <f t="shared" si="6"/>
        <v>2025</v>
      </c>
      <c r="C244" s="10">
        <f t="shared" si="7"/>
        <v>6</v>
      </c>
      <c r="D244" s="3">
        <v>45811</v>
      </c>
      <c r="E244" s="1">
        <v>65.63</v>
      </c>
      <c r="F244" s="1">
        <v>63.41</v>
      </c>
      <c r="G244" s="1">
        <v>2.0998999999999999</v>
      </c>
      <c r="H244" s="1">
        <v>2.0788000000000002</v>
      </c>
      <c r="I244" s="1">
        <v>3.722</v>
      </c>
      <c r="J244" s="1">
        <v>5.6383000000000001</v>
      </c>
    </row>
    <row r="245" spans="2:10" x14ac:dyDescent="0.3">
      <c r="B245" s="10">
        <f t="shared" si="6"/>
        <v>2025</v>
      </c>
      <c r="C245" s="10">
        <f t="shared" si="7"/>
        <v>6</v>
      </c>
      <c r="D245" s="3">
        <v>45810</v>
      </c>
      <c r="E245" s="1">
        <v>64.63</v>
      </c>
      <c r="F245" s="1">
        <v>62.52</v>
      </c>
      <c r="G245" s="1">
        <v>2.0445000000000002</v>
      </c>
      <c r="H245" s="1">
        <v>2.0525000000000002</v>
      </c>
      <c r="I245" s="1">
        <v>3.694</v>
      </c>
      <c r="J245" s="1">
        <v>5.6726000000000001</v>
      </c>
    </row>
    <row r="246" spans="2:10" x14ac:dyDescent="0.3">
      <c r="B246" s="10">
        <f t="shared" si="6"/>
        <v>2025</v>
      </c>
      <c r="C246" s="10">
        <f t="shared" si="7"/>
        <v>5</v>
      </c>
      <c r="D246" s="3">
        <v>45807</v>
      </c>
      <c r="E246" s="1">
        <v>63.9</v>
      </c>
      <c r="F246" s="1">
        <v>60.79</v>
      </c>
      <c r="G246" s="1">
        <v>2.0171999999999999</v>
      </c>
      <c r="H246" s="1">
        <v>2.0384000000000002</v>
      </c>
      <c r="I246" s="1">
        <v>3.4470000000000001</v>
      </c>
      <c r="J246" s="1">
        <v>5.7224000000000004</v>
      </c>
    </row>
    <row r="247" spans="2:10" x14ac:dyDescent="0.3">
      <c r="B247" s="10">
        <f t="shared" si="6"/>
        <v>2025</v>
      </c>
      <c r="C247" s="10">
        <f t="shared" si="7"/>
        <v>5</v>
      </c>
      <c r="D247" s="3">
        <v>45806</v>
      </c>
      <c r="E247" s="1">
        <v>64.150000000000006</v>
      </c>
      <c r="F247" s="1">
        <v>60.94</v>
      </c>
      <c r="G247" s="1">
        <v>2.0482</v>
      </c>
      <c r="H247" s="1">
        <v>2.0594000000000001</v>
      </c>
      <c r="I247" s="1">
        <v>3.5219999999999998</v>
      </c>
      <c r="J247" s="1">
        <v>5.6661999999999999</v>
      </c>
    </row>
    <row r="248" spans="2:10" x14ac:dyDescent="0.3">
      <c r="B248" s="10">
        <f t="shared" si="6"/>
        <v>2025</v>
      </c>
      <c r="C248" s="10">
        <f t="shared" si="7"/>
        <v>5</v>
      </c>
      <c r="D248" s="3">
        <v>45805</v>
      </c>
      <c r="E248" s="1">
        <v>64.900000000000006</v>
      </c>
      <c r="F248" s="1">
        <v>61.84</v>
      </c>
      <c r="G248" s="1">
        <v>2.0880999999999998</v>
      </c>
      <c r="H248" s="1">
        <v>2.0891999999999999</v>
      </c>
      <c r="I248" s="1">
        <v>3.2040000000000002</v>
      </c>
      <c r="J248" s="1">
        <v>5.6886999999999999</v>
      </c>
    </row>
    <row r="249" spans="2:10" x14ac:dyDescent="0.3">
      <c r="B249" s="10">
        <f t="shared" si="6"/>
        <v>2025</v>
      </c>
      <c r="C249" s="10">
        <f t="shared" si="7"/>
        <v>5</v>
      </c>
      <c r="D249" s="3">
        <v>45804</v>
      </c>
      <c r="E249" s="1">
        <v>64.09</v>
      </c>
      <c r="F249" s="1">
        <v>60.89</v>
      </c>
      <c r="G249" s="1">
        <v>2.0794000000000001</v>
      </c>
      <c r="H249" s="1">
        <v>2.0714999999999999</v>
      </c>
      <c r="I249" s="1">
        <v>3.3980000000000001</v>
      </c>
      <c r="J249" s="1">
        <v>5.6414</v>
      </c>
    </row>
    <row r="250" spans="2:10" x14ac:dyDescent="0.3">
      <c r="B250" s="10">
        <f t="shared" si="6"/>
        <v>2025</v>
      </c>
      <c r="C250" s="10">
        <f t="shared" si="7"/>
        <v>5</v>
      </c>
      <c r="D250" s="3">
        <v>45803</v>
      </c>
      <c r="E250" s="1">
        <v>64.739999999999995</v>
      </c>
      <c r="J250" s="1">
        <v>5.6688000000000001</v>
      </c>
    </row>
    <row r="251" spans="2:10" x14ac:dyDescent="0.3">
      <c r="B251" s="10">
        <f t="shared" si="6"/>
        <v>2025</v>
      </c>
      <c r="C251" s="10">
        <f t="shared" si="7"/>
        <v>5</v>
      </c>
      <c r="D251" s="3">
        <v>45800</v>
      </c>
      <c r="E251" s="1">
        <v>64.78</v>
      </c>
      <c r="F251" s="1">
        <v>61.53</v>
      </c>
      <c r="G251" s="1">
        <v>2.1048</v>
      </c>
      <c r="H251" s="1">
        <v>2.1092</v>
      </c>
      <c r="I251" s="1">
        <v>3.3340000000000001</v>
      </c>
      <c r="J251" s="1">
        <v>5.6463000000000001</v>
      </c>
    </row>
    <row r="252" spans="2:10" x14ac:dyDescent="0.3">
      <c r="B252" s="10">
        <f t="shared" si="6"/>
        <v>2025</v>
      </c>
      <c r="C252" s="10">
        <f t="shared" si="7"/>
        <v>5</v>
      </c>
      <c r="D252" s="3">
        <v>45799</v>
      </c>
      <c r="E252" s="1">
        <v>64.44</v>
      </c>
      <c r="F252" s="1">
        <v>61.2</v>
      </c>
      <c r="G252" s="1">
        <v>2.1175000000000002</v>
      </c>
      <c r="H252" s="1">
        <v>2.1312000000000002</v>
      </c>
      <c r="I252" s="1">
        <v>3.2530000000000001</v>
      </c>
      <c r="J252" s="1">
        <v>5.7145000000000001</v>
      </c>
    </row>
    <row r="253" spans="2:10" x14ac:dyDescent="0.3">
      <c r="B253" s="10">
        <f t="shared" si="6"/>
        <v>2025</v>
      </c>
      <c r="C253" s="10">
        <f t="shared" si="7"/>
        <v>5</v>
      </c>
      <c r="D253" s="3">
        <v>45798</v>
      </c>
      <c r="E253" s="1">
        <v>64.91</v>
      </c>
      <c r="F253" s="1">
        <v>61.57</v>
      </c>
      <c r="G253" s="1">
        <v>2.1391</v>
      </c>
      <c r="H253" s="1">
        <v>2.1497999999999999</v>
      </c>
      <c r="I253" s="1">
        <v>3.3679999999999999</v>
      </c>
      <c r="J253" s="1">
        <v>5.6448</v>
      </c>
    </row>
    <row r="254" spans="2:10" x14ac:dyDescent="0.3">
      <c r="B254" s="10">
        <f t="shared" si="6"/>
        <v>2025</v>
      </c>
      <c r="C254" s="10">
        <f t="shared" si="7"/>
        <v>5</v>
      </c>
      <c r="D254" s="3">
        <v>45797</v>
      </c>
      <c r="E254" s="1">
        <v>65.38</v>
      </c>
      <c r="F254" s="1">
        <v>62.56</v>
      </c>
      <c r="G254" s="1">
        <v>2.1288999999999998</v>
      </c>
      <c r="H254" s="1">
        <v>2.1520999999999999</v>
      </c>
      <c r="I254" s="1">
        <v>3.427</v>
      </c>
      <c r="J254" s="1">
        <v>5.6677</v>
      </c>
    </row>
    <row r="255" spans="2:10" x14ac:dyDescent="0.3">
      <c r="B255" s="10">
        <f t="shared" si="6"/>
        <v>2025</v>
      </c>
      <c r="C255" s="10">
        <f t="shared" si="7"/>
        <v>5</v>
      </c>
      <c r="D255" s="3">
        <v>45796</v>
      </c>
      <c r="E255" s="1">
        <v>65.540000000000006</v>
      </c>
      <c r="F255" s="1">
        <v>62.69</v>
      </c>
      <c r="G255" s="1">
        <v>2.1276999999999999</v>
      </c>
      <c r="H255" s="1">
        <v>2.1387999999999998</v>
      </c>
      <c r="I255" s="1">
        <v>3.113</v>
      </c>
      <c r="J255" s="1">
        <v>5.6512000000000002</v>
      </c>
    </row>
    <row r="256" spans="2:10" x14ac:dyDescent="0.3">
      <c r="B256" s="10">
        <f t="shared" si="6"/>
        <v>2025</v>
      </c>
      <c r="C256" s="10">
        <f t="shared" si="7"/>
        <v>5</v>
      </c>
      <c r="D256" s="3">
        <v>45793</v>
      </c>
      <c r="E256" s="1">
        <v>65.41</v>
      </c>
      <c r="F256" s="1">
        <v>62.49</v>
      </c>
      <c r="G256" s="1">
        <v>2.1406000000000001</v>
      </c>
      <c r="H256" s="1">
        <v>2.1417999999999999</v>
      </c>
      <c r="I256" s="1">
        <v>3.3340000000000001</v>
      </c>
      <c r="J256" s="1">
        <v>5.6624999999999996</v>
      </c>
    </row>
    <row r="257" spans="2:10" x14ac:dyDescent="0.3">
      <c r="B257" s="10">
        <f t="shared" si="6"/>
        <v>2025</v>
      </c>
      <c r="C257" s="10">
        <f t="shared" si="7"/>
        <v>5</v>
      </c>
      <c r="D257" s="3">
        <v>45792</v>
      </c>
      <c r="E257" s="1">
        <v>64.53</v>
      </c>
      <c r="F257" s="1">
        <v>61.62</v>
      </c>
      <c r="G257" s="1">
        <v>2.1659999999999999</v>
      </c>
      <c r="H257" s="1">
        <v>2.1343999999999999</v>
      </c>
      <c r="I257" s="1">
        <v>3.3620000000000001</v>
      </c>
      <c r="J257" s="1">
        <v>5.6813000000000002</v>
      </c>
    </row>
    <row r="258" spans="2:10" x14ac:dyDescent="0.3">
      <c r="B258" s="10">
        <f t="shared" si="6"/>
        <v>2025</v>
      </c>
      <c r="C258" s="10">
        <f t="shared" si="7"/>
        <v>5</v>
      </c>
      <c r="D258" s="3">
        <v>45791</v>
      </c>
      <c r="E258" s="1">
        <v>66.09</v>
      </c>
      <c r="F258" s="1">
        <v>63.15</v>
      </c>
      <c r="G258" s="1">
        <v>2.2061000000000002</v>
      </c>
      <c r="H258" s="1">
        <v>2.17</v>
      </c>
      <c r="I258" s="1">
        <v>3.492</v>
      </c>
      <c r="J258" s="1">
        <v>5.6380999999999997</v>
      </c>
    </row>
    <row r="259" spans="2:10" x14ac:dyDescent="0.3">
      <c r="B259" s="10">
        <f t="shared" si="6"/>
        <v>2025</v>
      </c>
      <c r="C259" s="10">
        <f t="shared" si="7"/>
        <v>5</v>
      </c>
      <c r="D259" s="3">
        <v>45790</v>
      </c>
      <c r="E259" s="1">
        <v>66.63</v>
      </c>
      <c r="F259" s="1">
        <v>63.67</v>
      </c>
      <c r="G259" s="1">
        <v>2.1713</v>
      </c>
      <c r="H259" s="1">
        <v>2.1659999999999999</v>
      </c>
      <c r="I259" s="1">
        <v>3.6469999999999998</v>
      </c>
      <c r="J259" s="1">
        <v>5.6079999999999997</v>
      </c>
    </row>
    <row r="260" spans="2:10" x14ac:dyDescent="0.3">
      <c r="B260" s="10">
        <f t="shared" si="6"/>
        <v>2025</v>
      </c>
      <c r="C260" s="10">
        <f t="shared" si="7"/>
        <v>5</v>
      </c>
      <c r="D260" s="3">
        <v>45789</v>
      </c>
      <c r="E260" s="1">
        <v>64.959999999999994</v>
      </c>
      <c r="F260" s="1">
        <v>61.95</v>
      </c>
      <c r="G260" s="1">
        <v>2.1111</v>
      </c>
      <c r="H260" s="1">
        <v>2.1331000000000002</v>
      </c>
      <c r="I260" s="1">
        <v>3.6459999999999999</v>
      </c>
      <c r="J260" s="1">
        <v>5.6746999999999996</v>
      </c>
    </row>
    <row r="261" spans="2:10" x14ac:dyDescent="0.3">
      <c r="B261" s="10">
        <f t="shared" si="6"/>
        <v>2025</v>
      </c>
      <c r="C261" s="10">
        <f t="shared" si="7"/>
        <v>5</v>
      </c>
      <c r="D261" s="3">
        <v>45786</v>
      </c>
      <c r="E261" s="1">
        <v>63.91</v>
      </c>
      <c r="F261" s="1">
        <v>61.02</v>
      </c>
      <c r="G261" s="1">
        <v>2.0663999999999998</v>
      </c>
      <c r="H261" s="1">
        <v>2.1084000000000001</v>
      </c>
      <c r="I261" s="1">
        <v>3.7949999999999999</v>
      </c>
      <c r="J261" s="1">
        <v>5.6553000000000004</v>
      </c>
    </row>
    <row r="262" spans="2:10" x14ac:dyDescent="0.3">
      <c r="B262" s="10">
        <f t="shared" ref="B262:B325" si="8">YEAR(D262)</f>
        <v>2025</v>
      </c>
      <c r="C262" s="10">
        <f t="shared" ref="C262:C325" si="9">MONTH(D262)</f>
        <v>5</v>
      </c>
      <c r="D262" s="3">
        <v>45785</v>
      </c>
      <c r="E262" s="1">
        <v>62.84</v>
      </c>
      <c r="F262" s="1">
        <v>59.91</v>
      </c>
      <c r="G262" s="1">
        <v>2.04</v>
      </c>
      <c r="H262" s="1">
        <v>2.0853999999999999</v>
      </c>
      <c r="I262" s="1">
        <v>3.5920000000000001</v>
      </c>
      <c r="J262" s="1">
        <v>5.6604000000000001</v>
      </c>
    </row>
    <row r="263" spans="2:10" x14ac:dyDescent="0.3">
      <c r="B263" s="10">
        <f t="shared" si="8"/>
        <v>2025</v>
      </c>
      <c r="C263" s="10">
        <f t="shared" si="9"/>
        <v>5</v>
      </c>
      <c r="D263" s="3">
        <v>45784</v>
      </c>
      <c r="E263" s="1">
        <v>61.12</v>
      </c>
      <c r="F263" s="1">
        <v>58.07</v>
      </c>
      <c r="G263" s="1">
        <v>1.9765999999999999</v>
      </c>
      <c r="H263" s="1">
        <v>2.0278</v>
      </c>
      <c r="I263" s="1">
        <v>3.621</v>
      </c>
      <c r="J263" s="1">
        <v>5.7453000000000003</v>
      </c>
    </row>
    <row r="264" spans="2:10" x14ac:dyDescent="0.3">
      <c r="B264" s="10">
        <f t="shared" si="8"/>
        <v>2025</v>
      </c>
      <c r="C264" s="10">
        <f t="shared" si="9"/>
        <v>5</v>
      </c>
      <c r="D264" s="3">
        <v>45783</v>
      </c>
      <c r="E264" s="1">
        <v>62.15</v>
      </c>
      <c r="F264" s="1">
        <v>59.09</v>
      </c>
      <c r="G264" s="1">
        <v>2.0087999999999999</v>
      </c>
      <c r="H264" s="1">
        <v>2.0644999999999998</v>
      </c>
      <c r="I264" s="1">
        <v>3.4630000000000001</v>
      </c>
      <c r="J264" s="1">
        <v>5.7127999999999997</v>
      </c>
    </row>
    <row r="265" spans="2:10" x14ac:dyDescent="0.3">
      <c r="B265" s="10">
        <f t="shared" si="8"/>
        <v>2025</v>
      </c>
      <c r="C265" s="10">
        <f t="shared" si="9"/>
        <v>5</v>
      </c>
      <c r="D265" s="3">
        <v>45782</v>
      </c>
      <c r="E265" s="1">
        <v>60.23</v>
      </c>
      <c r="F265" s="1">
        <v>57.13</v>
      </c>
      <c r="G265" s="1">
        <v>1.9744999999999999</v>
      </c>
      <c r="H265" s="1">
        <v>2.0228000000000002</v>
      </c>
      <c r="I265" s="1">
        <v>3.55</v>
      </c>
      <c r="J265" s="1">
        <v>5.6878000000000002</v>
      </c>
    </row>
    <row r="266" spans="2:10" x14ac:dyDescent="0.3">
      <c r="B266" s="10">
        <f t="shared" si="8"/>
        <v>2025</v>
      </c>
      <c r="C266" s="10">
        <f t="shared" si="9"/>
        <v>5</v>
      </c>
      <c r="D266" s="3">
        <v>45779</v>
      </c>
      <c r="E266" s="1">
        <v>61.29</v>
      </c>
      <c r="F266" s="1">
        <v>58.29</v>
      </c>
      <c r="G266" s="1">
        <v>1.9932000000000001</v>
      </c>
      <c r="H266" s="1">
        <v>2.0198999999999998</v>
      </c>
      <c r="I266" s="1">
        <v>3.63</v>
      </c>
      <c r="J266" s="1">
        <v>5.6570999999999998</v>
      </c>
    </row>
    <row r="267" spans="2:10" x14ac:dyDescent="0.3">
      <c r="B267" s="10">
        <f t="shared" si="8"/>
        <v>2025</v>
      </c>
      <c r="C267" s="10">
        <f t="shared" si="9"/>
        <v>5</v>
      </c>
      <c r="D267" s="3">
        <v>45778</v>
      </c>
      <c r="E267" s="1">
        <v>62.13</v>
      </c>
      <c r="F267" s="1">
        <v>59.24</v>
      </c>
      <c r="G267" s="1">
        <v>2.012</v>
      </c>
      <c r="H267" s="1">
        <v>2.0491999999999999</v>
      </c>
      <c r="I267" s="1">
        <v>3.4790000000000001</v>
      </c>
      <c r="J267" s="1">
        <v>5.6729000000000003</v>
      </c>
    </row>
    <row r="268" spans="2:10" x14ac:dyDescent="0.3">
      <c r="B268" s="10">
        <f t="shared" si="8"/>
        <v>2025</v>
      </c>
      <c r="C268" s="10">
        <f t="shared" si="9"/>
        <v>4</v>
      </c>
      <c r="D268" s="3">
        <v>45777</v>
      </c>
      <c r="E268" s="1">
        <v>63.12</v>
      </c>
      <c r="F268" s="1">
        <v>58.21</v>
      </c>
      <c r="G268" s="1">
        <v>2.0367000000000002</v>
      </c>
      <c r="H268" s="1">
        <v>2.0369999999999999</v>
      </c>
      <c r="I268" s="1">
        <v>3.3260000000000001</v>
      </c>
      <c r="J268" s="1">
        <v>5.6740000000000004</v>
      </c>
    </row>
    <row r="269" spans="2:10" x14ac:dyDescent="0.3">
      <c r="B269" s="10">
        <f t="shared" si="8"/>
        <v>2025</v>
      </c>
      <c r="C269" s="10">
        <f t="shared" si="9"/>
        <v>4</v>
      </c>
      <c r="D269" s="3">
        <v>45776</v>
      </c>
      <c r="E269" s="1">
        <v>64.25</v>
      </c>
      <c r="F269" s="1">
        <v>60.42</v>
      </c>
      <c r="G269" s="1">
        <v>2.1204000000000001</v>
      </c>
      <c r="H269" s="1">
        <v>2.0712000000000002</v>
      </c>
      <c r="I269" s="1">
        <v>3.3860000000000001</v>
      </c>
      <c r="J269" s="1">
        <v>5.6204999999999998</v>
      </c>
    </row>
    <row r="270" spans="2:10" x14ac:dyDescent="0.3">
      <c r="B270" s="10">
        <f t="shared" si="8"/>
        <v>2025</v>
      </c>
      <c r="C270" s="10">
        <f t="shared" si="9"/>
        <v>4</v>
      </c>
      <c r="D270" s="3">
        <v>45775</v>
      </c>
      <c r="E270" s="1">
        <v>65.86</v>
      </c>
      <c r="F270" s="1">
        <v>62.05</v>
      </c>
      <c r="G270" s="1">
        <v>2.1755</v>
      </c>
      <c r="H270" s="1">
        <v>2.1057999999999999</v>
      </c>
      <c r="I270" s="1">
        <v>3.17</v>
      </c>
      <c r="J270" s="1">
        <v>5.6542000000000003</v>
      </c>
    </row>
    <row r="271" spans="2:10" x14ac:dyDescent="0.3">
      <c r="B271" s="10">
        <f t="shared" si="8"/>
        <v>2025</v>
      </c>
      <c r="C271" s="10">
        <f t="shared" si="9"/>
        <v>4</v>
      </c>
      <c r="D271" s="3">
        <v>45772</v>
      </c>
      <c r="E271" s="1">
        <v>66.87</v>
      </c>
      <c r="F271" s="1">
        <v>63.02</v>
      </c>
      <c r="G271" s="1">
        <v>2.1673</v>
      </c>
      <c r="H271" s="1">
        <v>2.1189</v>
      </c>
      <c r="I271" s="1">
        <v>2.9369999999999998</v>
      </c>
      <c r="J271" s="1">
        <v>5.6833</v>
      </c>
    </row>
    <row r="272" spans="2:10" x14ac:dyDescent="0.3">
      <c r="B272" s="10">
        <f t="shared" si="8"/>
        <v>2025</v>
      </c>
      <c r="C272" s="10">
        <f t="shared" si="9"/>
        <v>4</v>
      </c>
      <c r="D272" s="3">
        <v>45771</v>
      </c>
      <c r="E272" s="1">
        <v>66.55</v>
      </c>
      <c r="F272" s="1">
        <v>62.79</v>
      </c>
      <c r="G272" s="1">
        <v>2.1436999999999999</v>
      </c>
      <c r="H272" s="1">
        <v>2.1057000000000001</v>
      </c>
      <c r="I272" s="1">
        <v>2.93</v>
      </c>
      <c r="J272" s="1">
        <v>5.6825000000000001</v>
      </c>
    </row>
    <row r="273" spans="2:10" x14ac:dyDescent="0.3">
      <c r="B273" s="10">
        <f t="shared" si="8"/>
        <v>2025</v>
      </c>
      <c r="C273" s="10">
        <f t="shared" si="9"/>
        <v>4</v>
      </c>
      <c r="D273" s="3">
        <v>45770</v>
      </c>
      <c r="E273" s="1">
        <v>66.12</v>
      </c>
      <c r="F273" s="1">
        <v>62.27</v>
      </c>
      <c r="G273" s="1">
        <v>2.1269</v>
      </c>
      <c r="H273" s="1">
        <v>2.0838999999999999</v>
      </c>
      <c r="I273" s="1">
        <v>3.0219999999999998</v>
      </c>
      <c r="J273" s="1">
        <v>5.7089999999999996</v>
      </c>
    </row>
    <row r="274" spans="2:10" x14ac:dyDescent="0.3">
      <c r="B274" s="10">
        <f t="shared" si="8"/>
        <v>2025</v>
      </c>
      <c r="C274" s="10">
        <f t="shared" si="9"/>
        <v>4</v>
      </c>
      <c r="D274" s="3">
        <v>45769</v>
      </c>
      <c r="E274" s="1">
        <v>67.44</v>
      </c>
      <c r="F274" s="1">
        <v>64.31</v>
      </c>
      <c r="G274" s="1">
        <v>2.1486000000000001</v>
      </c>
      <c r="H274" s="1">
        <v>2.0996000000000001</v>
      </c>
      <c r="I274" s="1">
        <v>3.0070000000000001</v>
      </c>
      <c r="J274" s="1">
        <v>5.7249999999999996</v>
      </c>
    </row>
    <row r="275" spans="2:10" x14ac:dyDescent="0.3">
      <c r="B275" s="10">
        <f t="shared" si="8"/>
        <v>2025</v>
      </c>
      <c r="C275" s="10">
        <f t="shared" si="9"/>
        <v>4</v>
      </c>
      <c r="D275" s="3">
        <v>45768</v>
      </c>
      <c r="E275" s="1">
        <v>66.260000000000005</v>
      </c>
      <c r="F275" s="1">
        <v>63.08</v>
      </c>
      <c r="G275" s="1">
        <v>2.1089000000000002</v>
      </c>
      <c r="H275" s="1">
        <v>2.0653000000000001</v>
      </c>
      <c r="I275" s="1">
        <v>3.016</v>
      </c>
      <c r="J275" s="1">
        <v>5.8067000000000002</v>
      </c>
    </row>
    <row r="276" spans="2:10" x14ac:dyDescent="0.3">
      <c r="B276" s="10">
        <f t="shared" si="8"/>
        <v>2025</v>
      </c>
      <c r="C276" s="10">
        <f t="shared" si="9"/>
        <v>4</v>
      </c>
      <c r="D276" s="3">
        <v>45765</v>
      </c>
      <c r="J276" s="1">
        <v>5.8067000000000002</v>
      </c>
    </row>
    <row r="277" spans="2:10" x14ac:dyDescent="0.3">
      <c r="B277" s="10">
        <f t="shared" si="8"/>
        <v>2025</v>
      </c>
      <c r="C277" s="10">
        <f t="shared" si="9"/>
        <v>4</v>
      </c>
      <c r="D277" s="3">
        <v>45764</v>
      </c>
      <c r="E277" s="1">
        <v>67.959999999999994</v>
      </c>
      <c r="F277" s="1">
        <v>64.680000000000007</v>
      </c>
      <c r="G277" s="1">
        <v>2.1522999999999999</v>
      </c>
      <c r="H277" s="1">
        <v>2.0988000000000002</v>
      </c>
      <c r="I277" s="1">
        <v>3.2450000000000001</v>
      </c>
      <c r="J277" s="1">
        <v>5.8063000000000002</v>
      </c>
    </row>
    <row r="278" spans="2:10" x14ac:dyDescent="0.3">
      <c r="B278" s="10">
        <f t="shared" si="8"/>
        <v>2025</v>
      </c>
      <c r="C278" s="10">
        <f t="shared" si="9"/>
        <v>4</v>
      </c>
      <c r="D278" s="3">
        <v>45763</v>
      </c>
      <c r="E278" s="1">
        <v>65.849999999999994</v>
      </c>
      <c r="F278" s="1">
        <v>62.47</v>
      </c>
      <c r="G278" s="1">
        <v>2.1154000000000002</v>
      </c>
      <c r="H278" s="1">
        <v>2.0434000000000001</v>
      </c>
      <c r="I278" s="1">
        <v>3.2469999999999999</v>
      </c>
      <c r="J278" s="1">
        <v>5.8663999999999996</v>
      </c>
    </row>
    <row r="279" spans="2:10" x14ac:dyDescent="0.3">
      <c r="B279" s="10">
        <f t="shared" si="8"/>
        <v>2025</v>
      </c>
      <c r="C279" s="10">
        <f t="shared" si="9"/>
        <v>4</v>
      </c>
      <c r="D279" s="3">
        <v>45762</v>
      </c>
      <c r="E279" s="1">
        <v>64.67</v>
      </c>
      <c r="F279" s="1">
        <v>61.33</v>
      </c>
      <c r="G279" s="1">
        <v>2.0783999999999998</v>
      </c>
      <c r="H279" s="1">
        <v>2.0244</v>
      </c>
      <c r="I279" s="1">
        <v>3.3290000000000002</v>
      </c>
      <c r="J279" s="1">
        <v>5.8859000000000004</v>
      </c>
    </row>
    <row r="280" spans="2:10" x14ac:dyDescent="0.3">
      <c r="B280" s="10">
        <f t="shared" si="8"/>
        <v>2025</v>
      </c>
      <c r="C280" s="10">
        <f t="shared" si="9"/>
        <v>4</v>
      </c>
      <c r="D280" s="3">
        <v>45761</v>
      </c>
      <c r="E280" s="1">
        <v>64.88</v>
      </c>
      <c r="F280" s="1">
        <v>61.53</v>
      </c>
      <c r="G280" s="1">
        <v>2.0916999999999999</v>
      </c>
      <c r="H280" s="1">
        <v>2.0222000000000002</v>
      </c>
      <c r="I280" s="1">
        <v>3.3250000000000002</v>
      </c>
      <c r="J280" s="1">
        <v>5.8551000000000002</v>
      </c>
    </row>
    <row r="281" spans="2:10" x14ac:dyDescent="0.3">
      <c r="B281" s="10">
        <f t="shared" si="8"/>
        <v>2025</v>
      </c>
      <c r="C281" s="10">
        <f t="shared" si="9"/>
        <v>4</v>
      </c>
      <c r="D281" s="3">
        <v>45758</v>
      </c>
      <c r="E281" s="1">
        <v>64.760000000000005</v>
      </c>
      <c r="F281" s="1">
        <v>61.5</v>
      </c>
      <c r="G281" s="1">
        <v>2.0653000000000001</v>
      </c>
      <c r="H281" s="1">
        <v>1.9991000000000001</v>
      </c>
      <c r="I281" s="1">
        <v>3.5270000000000001</v>
      </c>
      <c r="J281" s="1">
        <v>5.8647999999999998</v>
      </c>
    </row>
    <row r="282" spans="2:10" x14ac:dyDescent="0.3">
      <c r="B282" s="10">
        <f t="shared" si="8"/>
        <v>2025</v>
      </c>
      <c r="C282" s="10">
        <f t="shared" si="9"/>
        <v>4</v>
      </c>
      <c r="D282" s="3">
        <v>45757</v>
      </c>
      <c r="E282" s="1">
        <v>63.33</v>
      </c>
      <c r="F282" s="1">
        <v>60.07</v>
      </c>
      <c r="G282" s="1">
        <v>2.0464000000000002</v>
      </c>
      <c r="H282" s="1">
        <v>1.9613</v>
      </c>
      <c r="I282" s="1">
        <v>3.5569999999999999</v>
      </c>
      <c r="J282" s="1">
        <v>5.8856000000000002</v>
      </c>
    </row>
    <row r="283" spans="2:10" x14ac:dyDescent="0.3">
      <c r="B283" s="10">
        <f t="shared" si="8"/>
        <v>2025</v>
      </c>
      <c r="C283" s="10">
        <f t="shared" si="9"/>
        <v>4</v>
      </c>
      <c r="D283" s="3">
        <v>45756</v>
      </c>
      <c r="E283" s="1">
        <v>65.48</v>
      </c>
      <c r="F283" s="1">
        <v>62.35</v>
      </c>
      <c r="G283" s="1">
        <v>2.1135999999999999</v>
      </c>
      <c r="H283" s="1">
        <v>2.0384000000000002</v>
      </c>
      <c r="I283" s="1">
        <v>3.8159999999999998</v>
      </c>
      <c r="J283" s="1">
        <v>5.8215000000000003</v>
      </c>
    </row>
    <row r="284" spans="2:10" x14ac:dyDescent="0.3">
      <c r="B284" s="10">
        <f t="shared" si="8"/>
        <v>2025</v>
      </c>
      <c r="C284" s="10">
        <f t="shared" si="9"/>
        <v>4</v>
      </c>
      <c r="D284" s="3">
        <v>45755</v>
      </c>
      <c r="E284" s="1">
        <v>62.82</v>
      </c>
      <c r="F284" s="1">
        <v>59.58</v>
      </c>
      <c r="G284" s="1">
        <v>2.0569999999999999</v>
      </c>
      <c r="H284" s="1">
        <v>1.9914000000000001</v>
      </c>
      <c r="I284" s="1">
        <v>3.4649999999999999</v>
      </c>
      <c r="J284" s="1">
        <v>6.0109000000000004</v>
      </c>
    </row>
    <row r="285" spans="2:10" x14ac:dyDescent="0.3">
      <c r="B285" s="10">
        <f t="shared" si="8"/>
        <v>2025</v>
      </c>
      <c r="C285" s="10">
        <f t="shared" si="9"/>
        <v>4</v>
      </c>
      <c r="D285" s="3">
        <v>45754</v>
      </c>
      <c r="E285" s="1">
        <v>64.209999999999994</v>
      </c>
      <c r="F285" s="1">
        <v>60.7</v>
      </c>
      <c r="G285" s="1">
        <v>2.0699000000000001</v>
      </c>
      <c r="H285" s="1">
        <v>2.0200999999999998</v>
      </c>
      <c r="I285" s="1">
        <v>3.6549999999999998</v>
      </c>
      <c r="J285" s="1">
        <v>5.9138999999999999</v>
      </c>
    </row>
    <row r="286" spans="2:10" x14ac:dyDescent="0.3">
      <c r="B286" s="10">
        <f t="shared" si="8"/>
        <v>2025</v>
      </c>
      <c r="C286" s="10">
        <f t="shared" si="9"/>
        <v>4</v>
      </c>
      <c r="D286" s="3">
        <v>45751</v>
      </c>
      <c r="E286" s="1">
        <v>65.58</v>
      </c>
      <c r="F286" s="1">
        <v>61.99</v>
      </c>
      <c r="G286" s="1">
        <v>2.0819000000000001</v>
      </c>
      <c r="H286" s="1">
        <v>2.0545</v>
      </c>
      <c r="I286" s="1">
        <v>3.8370000000000002</v>
      </c>
      <c r="J286" s="1">
        <v>5.8425000000000002</v>
      </c>
    </row>
    <row r="287" spans="2:10" x14ac:dyDescent="0.3">
      <c r="B287" s="10">
        <f t="shared" si="8"/>
        <v>2025</v>
      </c>
      <c r="C287" s="10">
        <f t="shared" si="9"/>
        <v>4</v>
      </c>
      <c r="D287" s="3">
        <v>45750</v>
      </c>
      <c r="E287" s="1">
        <v>70.14</v>
      </c>
      <c r="F287" s="1">
        <v>66.95</v>
      </c>
      <c r="G287" s="1">
        <v>2.1888999999999998</v>
      </c>
      <c r="H287" s="1">
        <v>2.1642999999999999</v>
      </c>
      <c r="I287" s="1">
        <v>4.1379999999999999</v>
      </c>
      <c r="J287" s="1">
        <v>5.6289999999999996</v>
      </c>
    </row>
    <row r="288" spans="2:10" x14ac:dyDescent="0.3">
      <c r="B288" s="10">
        <f t="shared" si="8"/>
        <v>2025</v>
      </c>
      <c r="C288" s="10">
        <f t="shared" si="9"/>
        <v>4</v>
      </c>
      <c r="D288" s="3">
        <v>45749</v>
      </c>
      <c r="E288" s="1">
        <v>74.95</v>
      </c>
      <c r="F288" s="1">
        <v>71.709999999999994</v>
      </c>
      <c r="G288" s="1">
        <v>2.3220000000000001</v>
      </c>
      <c r="H288" s="1">
        <v>2.331</v>
      </c>
      <c r="I288" s="1">
        <v>4.0549999999999997</v>
      </c>
      <c r="J288" s="1">
        <v>5.6607000000000003</v>
      </c>
    </row>
    <row r="289" spans="2:10" x14ac:dyDescent="0.3">
      <c r="B289" s="10">
        <f t="shared" si="8"/>
        <v>2025</v>
      </c>
      <c r="C289" s="10">
        <f t="shared" si="9"/>
        <v>4</v>
      </c>
      <c r="D289" s="3">
        <v>45748</v>
      </c>
      <c r="E289" s="1">
        <v>74.489999999999995</v>
      </c>
      <c r="F289" s="1">
        <v>71.2</v>
      </c>
      <c r="G289" s="1">
        <v>2.2888999999999999</v>
      </c>
      <c r="H289" s="1">
        <v>2.3025000000000002</v>
      </c>
      <c r="I289" s="1">
        <v>3.9510000000000001</v>
      </c>
      <c r="J289" s="1">
        <v>5.6814999999999998</v>
      </c>
    </row>
    <row r="290" spans="2:10" x14ac:dyDescent="0.3">
      <c r="B290" s="10">
        <f t="shared" si="8"/>
        <v>2025</v>
      </c>
      <c r="C290" s="10">
        <f t="shared" si="9"/>
        <v>3</v>
      </c>
      <c r="D290" s="3">
        <v>45747</v>
      </c>
      <c r="E290" s="1">
        <v>74.739999999999995</v>
      </c>
      <c r="F290" s="1">
        <v>71.48</v>
      </c>
      <c r="G290" s="1">
        <v>2.3140000000000001</v>
      </c>
      <c r="H290" s="1">
        <v>2.2831000000000001</v>
      </c>
      <c r="I290" s="1">
        <v>4.1189999999999998</v>
      </c>
      <c r="J290" s="1">
        <v>5.7046999999999999</v>
      </c>
    </row>
    <row r="291" spans="2:10" x14ac:dyDescent="0.3">
      <c r="B291" s="10">
        <f t="shared" si="8"/>
        <v>2025</v>
      </c>
      <c r="C291" s="10">
        <f t="shared" si="9"/>
        <v>3</v>
      </c>
      <c r="D291" s="3">
        <v>45744</v>
      </c>
      <c r="E291" s="1">
        <v>73.63</v>
      </c>
      <c r="F291" s="1">
        <v>69.36</v>
      </c>
      <c r="G291" s="1">
        <v>2.2608999999999999</v>
      </c>
      <c r="H291" s="1">
        <v>2.2347000000000001</v>
      </c>
      <c r="I291" s="1">
        <v>4.0650000000000004</v>
      </c>
      <c r="J291" s="1">
        <v>5.7603999999999997</v>
      </c>
    </row>
    <row r="292" spans="2:10" x14ac:dyDescent="0.3">
      <c r="B292" s="10">
        <f t="shared" si="8"/>
        <v>2025</v>
      </c>
      <c r="C292" s="10">
        <f t="shared" si="9"/>
        <v>3</v>
      </c>
      <c r="D292" s="3">
        <v>45743</v>
      </c>
      <c r="E292" s="1">
        <v>74.03</v>
      </c>
      <c r="F292" s="1">
        <v>69.92</v>
      </c>
      <c r="G292" s="1">
        <v>2.2847</v>
      </c>
      <c r="H292" s="1">
        <v>2.2464</v>
      </c>
      <c r="I292" s="1">
        <v>3.95</v>
      </c>
      <c r="J292" s="1">
        <v>5.7451999999999996</v>
      </c>
    </row>
    <row r="293" spans="2:10" x14ac:dyDescent="0.3">
      <c r="B293" s="10">
        <f t="shared" si="8"/>
        <v>2025</v>
      </c>
      <c r="C293" s="10">
        <f t="shared" si="9"/>
        <v>3</v>
      </c>
      <c r="D293" s="3">
        <v>45742</v>
      </c>
      <c r="E293" s="1">
        <v>73.790000000000006</v>
      </c>
      <c r="F293" s="1">
        <v>69.650000000000006</v>
      </c>
      <c r="G293" s="1">
        <v>2.2887</v>
      </c>
      <c r="H293" s="1">
        <v>2.2328000000000001</v>
      </c>
      <c r="I293" s="1">
        <v>3.8610000000000002</v>
      </c>
      <c r="J293" s="1">
        <v>5.7359</v>
      </c>
    </row>
    <row r="294" spans="2:10" x14ac:dyDescent="0.3">
      <c r="B294" s="10">
        <f t="shared" si="8"/>
        <v>2025</v>
      </c>
      <c r="C294" s="10">
        <f t="shared" si="9"/>
        <v>3</v>
      </c>
      <c r="D294" s="3">
        <v>45741</v>
      </c>
      <c r="E294" s="1">
        <v>73.02</v>
      </c>
      <c r="F294" s="1">
        <v>69</v>
      </c>
      <c r="G294" s="1">
        <v>2.2858999999999998</v>
      </c>
      <c r="H294" s="1">
        <v>2.2086999999999999</v>
      </c>
      <c r="I294" s="1">
        <v>3.84</v>
      </c>
      <c r="J294" s="1">
        <v>5.6989000000000001</v>
      </c>
    </row>
    <row r="295" spans="2:10" x14ac:dyDescent="0.3">
      <c r="B295" s="10">
        <f t="shared" si="8"/>
        <v>2025</v>
      </c>
      <c r="C295" s="10">
        <f t="shared" si="9"/>
        <v>3</v>
      </c>
      <c r="D295" s="3">
        <v>45740</v>
      </c>
      <c r="E295" s="1">
        <v>73</v>
      </c>
      <c r="F295" s="1">
        <v>69.11</v>
      </c>
      <c r="G295" s="1">
        <v>2.2570999999999999</v>
      </c>
      <c r="H295" s="1">
        <v>2.2065999999999999</v>
      </c>
      <c r="I295" s="1">
        <v>3.9140000000000001</v>
      </c>
      <c r="J295" s="1">
        <v>5.7645999999999997</v>
      </c>
    </row>
    <row r="296" spans="2:10" x14ac:dyDescent="0.3">
      <c r="B296" s="10">
        <f t="shared" si="8"/>
        <v>2025</v>
      </c>
      <c r="C296" s="10">
        <f t="shared" si="9"/>
        <v>3</v>
      </c>
      <c r="D296" s="3">
        <v>45737</v>
      </c>
      <c r="E296" s="1">
        <v>72.16</v>
      </c>
      <c r="F296" s="1">
        <v>68.28</v>
      </c>
      <c r="G296" s="1">
        <v>2.2496</v>
      </c>
      <c r="H296" s="1">
        <v>2.1953999999999998</v>
      </c>
      <c r="I296" s="1">
        <v>3.98</v>
      </c>
      <c r="J296" s="1">
        <v>5.7290999999999999</v>
      </c>
    </row>
    <row r="297" spans="2:10" x14ac:dyDescent="0.3">
      <c r="B297" s="10">
        <f t="shared" si="8"/>
        <v>2025</v>
      </c>
      <c r="C297" s="10">
        <f t="shared" si="9"/>
        <v>3</v>
      </c>
      <c r="D297" s="3">
        <v>45736</v>
      </c>
      <c r="E297" s="1">
        <v>72</v>
      </c>
      <c r="F297" s="1">
        <v>68.260000000000005</v>
      </c>
      <c r="G297" s="1">
        <v>2.2543000000000002</v>
      </c>
      <c r="H297" s="1">
        <v>2.1911</v>
      </c>
      <c r="I297" s="1">
        <v>3.9750000000000001</v>
      </c>
      <c r="J297" s="1">
        <v>5.6797000000000004</v>
      </c>
    </row>
    <row r="298" spans="2:10" x14ac:dyDescent="0.3">
      <c r="B298" s="10">
        <f t="shared" si="8"/>
        <v>2025</v>
      </c>
      <c r="C298" s="10">
        <f t="shared" si="9"/>
        <v>3</v>
      </c>
      <c r="D298" s="3">
        <v>45735</v>
      </c>
      <c r="E298" s="1">
        <v>70.78</v>
      </c>
      <c r="F298" s="1">
        <v>67.16</v>
      </c>
      <c r="G298" s="1">
        <v>2.2319</v>
      </c>
      <c r="H298" s="1">
        <v>2.1696</v>
      </c>
      <c r="I298" s="1">
        <v>4.2469999999999999</v>
      </c>
      <c r="J298" s="1">
        <v>5.6485000000000003</v>
      </c>
    </row>
    <row r="299" spans="2:10" x14ac:dyDescent="0.3">
      <c r="B299" s="10">
        <f t="shared" si="8"/>
        <v>2025</v>
      </c>
      <c r="C299" s="10">
        <f t="shared" si="9"/>
        <v>3</v>
      </c>
      <c r="D299" s="3">
        <v>45734</v>
      </c>
      <c r="E299" s="1">
        <v>70.56</v>
      </c>
      <c r="F299" s="1">
        <v>66.900000000000006</v>
      </c>
      <c r="G299" s="1">
        <v>2.1945000000000001</v>
      </c>
      <c r="H299" s="1">
        <v>2.1684000000000001</v>
      </c>
      <c r="I299" s="1">
        <v>4.0519999999999996</v>
      </c>
      <c r="J299" s="1">
        <v>5.6704999999999997</v>
      </c>
    </row>
    <row r="300" spans="2:10" x14ac:dyDescent="0.3">
      <c r="B300" s="10">
        <f t="shared" si="8"/>
        <v>2025</v>
      </c>
      <c r="C300" s="10">
        <f t="shared" si="9"/>
        <v>3</v>
      </c>
      <c r="D300" s="3">
        <v>45733</v>
      </c>
      <c r="E300" s="1">
        <v>71.069999999999993</v>
      </c>
      <c r="F300" s="1">
        <v>67.58</v>
      </c>
      <c r="G300" s="1">
        <v>2.2038000000000002</v>
      </c>
      <c r="H300" s="1">
        <v>2.1812</v>
      </c>
      <c r="I300" s="1">
        <v>4.0179999999999998</v>
      </c>
      <c r="J300" s="1">
        <v>5.6835000000000004</v>
      </c>
    </row>
    <row r="301" spans="2:10" x14ac:dyDescent="0.3">
      <c r="B301" s="10">
        <f t="shared" si="8"/>
        <v>2025</v>
      </c>
      <c r="C301" s="10">
        <f t="shared" si="9"/>
        <v>3</v>
      </c>
      <c r="D301" s="3">
        <v>45730</v>
      </c>
      <c r="E301" s="1">
        <v>70.58</v>
      </c>
      <c r="F301" s="1">
        <v>67.180000000000007</v>
      </c>
      <c r="G301" s="1">
        <v>2.1665999999999999</v>
      </c>
      <c r="H301" s="1">
        <v>2.1486999999999998</v>
      </c>
      <c r="I301" s="1">
        <v>4.1040000000000001</v>
      </c>
      <c r="J301" s="1">
        <v>5.7385000000000002</v>
      </c>
    </row>
    <row r="302" spans="2:10" x14ac:dyDescent="0.3">
      <c r="B302" s="10">
        <f t="shared" si="8"/>
        <v>2025</v>
      </c>
      <c r="C302" s="10">
        <f t="shared" si="9"/>
        <v>3</v>
      </c>
      <c r="D302" s="3">
        <v>45729</v>
      </c>
      <c r="E302" s="1">
        <v>69.88</v>
      </c>
      <c r="F302" s="1">
        <v>66.55</v>
      </c>
      <c r="G302" s="1">
        <v>2.1621999999999999</v>
      </c>
      <c r="H302" s="1">
        <v>2.1331000000000002</v>
      </c>
      <c r="I302" s="1">
        <v>4.1109999999999998</v>
      </c>
      <c r="J302" s="1">
        <v>5.7990000000000004</v>
      </c>
    </row>
    <row r="303" spans="2:10" x14ac:dyDescent="0.3">
      <c r="B303" s="10">
        <f t="shared" si="8"/>
        <v>2025</v>
      </c>
      <c r="C303" s="10">
        <f t="shared" si="9"/>
        <v>3</v>
      </c>
      <c r="D303" s="3">
        <v>45728</v>
      </c>
      <c r="E303" s="1">
        <v>70.95</v>
      </c>
      <c r="F303" s="1">
        <v>67.680000000000007</v>
      </c>
      <c r="G303" s="1">
        <v>2.2063000000000001</v>
      </c>
      <c r="H303" s="1">
        <v>2.1501000000000001</v>
      </c>
      <c r="I303" s="1">
        <v>4.0839999999999996</v>
      </c>
      <c r="J303" s="1">
        <v>5.7977999999999996</v>
      </c>
    </row>
    <row r="304" spans="2:10" x14ac:dyDescent="0.3">
      <c r="B304" s="10">
        <f t="shared" si="8"/>
        <v>2025</v>
      </c>
      <c r="C304" s="10">
        <f t="shared" si="9"/>
        <v>3</v>
      </c>
      <c r="D304" s="3">
        <v>45727</v>
      </c>
      <c r="E304" s="1">
        <v>69.56</v>
      </c>
      <c r="F304" s="1">
        <v>66.25</v>
      </c>
      <c r="G304" s="1">
        <v>2.1968000000000001</v>
      </c>
      <c r="H304" s="1">
        <v>2.105</v>
      </c>
      <c r="I304" s="1">
        <v>4.4530000000000003</v>
      </c>
      <c r="J304" s="1">
        <v>5.8102999999999998</v>
      </c>
    </row>
    <row r="305" spans="2:10" x14ac:dyDescent="0.3">
      <c r="B305" s="10">
        <f t="shared" si="8"/>
        <v>2025</v>
      </c>
      <c r="C305" s="10">
        <f t="shared" si="9"/>
        <v>3</v>
      </c>
      <c r="D305" s="3">
        <v>45726</v>
      </c>
      <c r="E305" s="1">
        <v>69.28</v>
      </c>
      <c r="F305" s="1">
        <v>66.03</v>
      </c>
      <c r="G305" s="1">
        <v>2.1798999999999999</v>
      </c>
      <c r="H305" s="1">
        <v>2.0924999999999998</v>
      </c>
      <c r="I305" s="1">
        <v>4.4909999999999997</v>
      </c>
      <c r="J305" s="1">
        <v>5.8555000000000001</v>
      </c>
    </row>
    <row r="306" spans="2:10" x14ac:dyDescent="0.3">
      <c r="B306" s="10">
        <f t="shared" si="8"/>
        <v>2025</v>
      </c>
      <c r="C306" s="10">
        <f t="shared" si="9"/>
        <v>3</v>
      </c>
      <c r="D306" s="3">
        <v>45723</v>
      </c>
      <c r="E306" s="1">
        <v>70.36</v>
      </c>
      <c r="F306" s="1">
        <v>67.040000000000006</v>
      </c>
      <c r="G306" s="1">
        <v>2.2160000000000002</v>
      </c>
      <c r="H306" s="1">
        <v>2.1086999999999998</v>
      </c>
      <c r="I306" s="1">
        <v>4.399</v>
      </c>
      <c r="J306" s="1">
        <v>5.7873999999999999</v>
      </c>
    </row>
    <row r="307" spans="2:10" x14ac:dyDescent="0.3">
      <c r="B307" s="10">
        <f t="shared" si="8"/>
        <v>2025</v>
      </c>
      <c r="C307" s="10">
        <f t="shared" si="9"/>
        <v>3</v>
      </c>
      <c r="D307" s="3">
        <v>45722</v>
      </c>
      <c r="E307" s="1">
        <v>69.459999999999994</v>
      </c>
      <c r="F307" s="1">
        <v>66.36</v>
      </c>
      <c r="G307" s="1">
        <v>2.2238000000000002</v>
      </c>
      <c r="H307" s="1">
        <v>2.1012</v>
      </c>
      <c r="I307" s="1">
        <v>4.3019999999999996</v>
      </c>
      <c r="J307" s="1">
        <v>5.7638999999999996</v>
      </c>
    </row>
    <row r="308" spans="2:10" x14ac:dyDescent="0.3">
      <c r="B308" s="10">
        <f t="shared" si="8"/>
        <v>2025</v>
      </c>
      <c r="C308" s="10">
        <f t="shared" si="9"/>
        <v>3</v>
      </c>
      <c r="D308" s="3">
        <v>45721</v>
      </c>
      <c r="E308" s="1">
        <v>69.3</v>
      </c>
      <c r="F308" s="1">
        <v>66.31</v>
      </c>
      <c r="G308" s="1">
        <v>2.2408000000000001</v>
      </c>
      <c r="H308" s="1">
        <v>2.137</v>
      </c>
      <c r="I308" s="1">
        <v>4.45</v>
      </c>
      <c r="J308" s="1">
        <v>5.7393999999999998</v>
      </c>
    </row>
    <row r="309" spans="2:10" x14ac:dyDescent="0.3">
      <c r="B309" s="10">
        <f t="shared" si="8"/>
        <v>2025</v>
      </c>
      <c r="C309" s="10">
        <f t="shared" si="9"/>
        <v>3</v>
      </c>
      <c r="D309" s="3">
        <v>45720</v>
      </c>
      <c r="E309" s="1">
        <v>71.040000000000006</v>
      </c>
      <c r="F309" s="1">
        <v>68.260000000000005</v>
      </c>
      <c r="G309" s="1">
        <v>2.2871999999999999</v>
      </c>
      <c r="H309" s="1">
        <v>2.1941999999999999</v>
      </c>
      <c r="I309" s="1">
        <v>4.3499999999999996</v>
      </c>
      <c r="J309" s="1">
        <v>5.8852000000000002</v>
      </c>
    </row>
    <row r="310" spans="2:10" x14ac:dyDescent="0.3">
      <c r="B310" s="10">
        <f t="shared" si="8"/>
        <v>2025</v>
      </c>
      <c r="C310" s="10">
        <f t="shared" si="9"/>
        <v>3</v>
      </c>
      <c r="D310" s="3">
        <v>45719</v>
      </c>
      <c r="E310" s="1">
        <v>71.62</v>
      </c>
      <c r="F310" s="1">
        <v>68.37</v>
      </c>
      <c r="G310" s="1">
        <v>2.2604000000000002</v>
      </c>
      <c r="H310" s="1">
        <v>2.1878000000000002</v>
      </c>
      <c r="I310" s="1">
        <v>4.1219999999999999</v>
      </c>
      <c r="J310" s="1">
        <v>5.8852000000000002</v>
      </c>
    </row>
    <row r="311" spans="2:10" x14ac:dyDescent="0.3">
      <c r="B311" s="10">
        <f t="shared" si="8"/>
        <v>2025</v>
      </c>
      <c r="C311" s="10">
        <f t="shared" si="9"/>
        <v>2</v>
      </c>
      <c r="D311" s="3">
        <v>45716</v>
      </c>
      <c r="E311" s="1">
        <v>73.180000000000007</v>
      </c>
      <c r="F311" s="1">
        <v>69.760000000000005</v>
      </c>
      <c r="G311" s="1">
        <v>2.3549000000000002</v>
      </c>
      <c r="H311" s="1">
        <v>1.9702999999999999</v>
      </c>
      <c r="I311" s="1">
        <v>3.8340000000000001</v>
      </c>
      <c r="J311" s="1">
        <v>5.8852000000000002</v>
      </c>
    </row>
    <row r="312" spans="2:10" x14ac:dyDescent="0.3">
      <c r="B312" s="10">
        <f t="shared" si="8"/>
        <v>2025</v>
      </c>
      <c r="C312" s="10">
        <f t="shared" si="9"/>
        <v>2</v>
      </c>
      <c r="D312" s="3">
        <v>45715</v>
      </c>
      <c r="E312" s="1">
        <v>74.040000000000006</v>
      </c>
      <c r="F312" s="1">
        <v>70.349999999999994</v>
      </c>
      <c r="G312" s="1">
        <v>2.3959000000000001</v>
      </c>
      <c r="H312" s="1">
        <v>1.9965999999999999</v>
      </c>
      <c r="I312" s="1">
        <v>3.9340000000000002</v>
      </c>
      <c r="J312" s="1">
        <v>5.8400999999999996</v>
      </c>
    </row>
    <row r="313" spans="2:10" x14ac:dyDescent="0.3">
      <c r="B313" s="10">
        <f t="shared" si="8"/>
        <v>2025</v>
      </c>
      <c r="C313" s="10">
        <f t="shared" si="9"/>
        <v>2</v>
      </c>
      <c r="D313" s="3">
        <v>45714</v>
      </c>
      <c r="E313" s="1">
        <v>72.53</v>
      </c>
      <c r="F313" s="1">
        <v>68.62</v>
      </c>
      <c r="G313" s="1">
        <v>2.3443000000000001</v>
      </c>
      <c r="H313" s="1">
        <v>1.9489000000000001</v>
      </c>
      <c r="I313" s="1">
        <v>3.9060000000000001</v>
      </c>
      <c r="J313" s="1">
        <v>5.8034999999999997</v>
      </c>
    </row>
    <row r="314" spans="2:10" x14ac:dyDescent="0.3">
      <c r="B314" s="10">
        <f t="shared" si="8"/>
        <v>2025</v>
      </c>
      <c r="C314" s="10">
        <f t="shared" si="9"/>
        <v>2</v>
      </c>
      <c r="D314" s="3">
        <v>45713</v>
      </c>
      <c r="E314" s="1">
        <v>73.02</v>
      </c>
      <c r="F314" s="1">
        <v>68.930000000000007</v>
      </c>
      <c r="G314" s="1">
        <v>2.3902999999999999</v>
      </c>
      <c r="H314" s="1">
        <v>1.9673</v>
      </c>
      <c r="I314" s="1">
        <v>4.1740000000000004</v>
      </c>
      <c r="J314" s="1">
        <v>5.7396000000000003</v>
      </c>
    </row>
    <row r="315" spans="2:10" x14ac:dyDescent="0.3">
      <c r="B315" s="10">
        <f t="shared" si="8"/>
        <v>2025</v>
      </c>
      <c r="C315" s="10">
        <f t="shared" si="9"/>
        <v>2</v>
      </c>
      <c r="D315" s="3">
        <v>45712</v>
      </c>
      <c r="E315" s="1">
        <v>74.78</v>
      </c>
      <c r="F315" s="1">
        <v>70.7</v>
      </c>
      <c r="G315" s="1">
        <v>2.4358</v>
      </c>
      <c r="H315" s="1">
        <v>2.0110000000000001</v>
      </c>
      <c r="I315" s="1">
        <v>3.9940000000000002</v>
      </c>
      <c r="J315" s="1">
        <v>5.7785000000000002</v>
      </c>
    </row>
    <row r="316" spans="2:10" x14ac:dyDescent="0.3">
      <c r="B316" s="10">
        <f t="shared" si="8"/>
        <v>2025</v>
      </c>
      <c r="C316" s="10">
        <f t="shared" si="9"/>
        <v>2</v>
      </c>
      <c r="D316" s="3">
        <v>45709</v>
      </c>
      <c r="E316" s="1">
        <v>74.430000000000007</v>
      </c>
      <c r="F316" s="1">
        <v>70.400000000000006</v>
      </c>
      <c r="G316" s="1">
        <v>2.4323000000000001</v>
      </c>
      <c r="H316" s="1">
        <v>2.0266999999999999</v>
      </c>
      <c r="I316" s="1">
        <v>4.234</v>
      </c>
      <c r="J316" s="1">
        <v>5.7320000000000002</v>
      </c>
    </row>
    <row r="317" spans="2:10" x14ac:dyDescent="0.3">
      <c r="B317" s="10">
        <f t="shared" si="8"/>
        <v>2025</v>
      </c>
      <c r="C317" s="10">
        <f t="shared" si="9"/>
        <v>2</v>
      </c>
      <c r="D317" s="3">
        <v>45708</v>
      </c>
      <c r="E317" s="1">
        <v>76.48</v>
      </c>
      <c r="F317" s="1">
        <v>72.569999999999993</v>
      </c>
      <c r="G317" s="1">
        <v>2.5034000000000001</v>
      </c>
      <c r="H317" s="1">
        <v>2.0865</v>
      </c>
      <c r="I317" s="1">
        <v>4.1520000000000001</v>
      </c>
      <c r="J317" s="1">
        <v>5.7028999999999996</v>
      </c>
    </row>
    <row r="318" spans="2:10" x14ac:dyDescent="0.3">
      <c r="B318" s="10">
        <f t="shared" si="8"/>
        <v>2025</v>
      </c>
      <c r="C318" s="10">
        <f t="shared" si="9"/>
        <v>2</v>
      </c>
      <c r="D318" s="3">
        <v>45707</v>
      </c>
      <c r="E318" s="1">
        <v>76.040000000000006</v>
      </c>
      <c r="F318" s="1">
        <v>72.25</v>
      </c>
      <c r="G318" s="1">
        <v>2.4565000000000001</v>
      </c>
      <c r="H318" s="1">
        <v>2.0865</v>
      </c>
      <c r="I318" s="1">
        <v>4.28</v>
      </c>
      <c r="J318" s="1">
        <v>5.7214</v>
      </c>
    </row>
    <row r="319" spans="2:10" x14ac:dyDescent="0.3">
      <c r="B319" s="10">
        <f t="shared" si="8"/>
        <v>2025</v>
      </c>
      <c r="C319" s="10">
        <f t="shared" si="9"/>
        <v>2</v>
      </c>
      <c r="D319" s="3">
        <v>45706</v>
      </c>
      <c r="E319" s="1">
        <v>75.84</v>
      </c>
      <c r="F319" s="1">
        <v>71.849999999999994</v>
      </c>
      <c r="G319" s="1">
        <v>2.4405999999999999</v>
      </c>
      <c r="H319" s="1">
        <v>2.0867</v>
      </c>
      <c r="I319" s="1">
        <v>4.0069999999999997</v>
      </c>
      <c r="J319" s="1">
        <v>5.6891999999999996</v>
      </c>
    </row>
    <row r="320" spans="2:10" x14ac:dyDescent="0.3">
      <c r="B320" s="10">
        <f t="shared" si="8"/>
        <v>2025</v>
      </c>
      <c r="C320" s="10">
        <f t="shared" si="9"/>
        <v>2</v>
      </c>
      <c r="D320" s="3">
        <v>45705</v>
      </c>
      <c r="E320" s="1">
        <v>75.22</v>
      </c>
      <c r="J320" s="1">
        <v>5.7130000000000001</v>
      </c>
    </row>
    <row r="321" spans="2:10" x14ac:dyDescent="0.3">
      <c r="B321" s="10">
        <f t="shared" si="8"/>
        <v>2025</v>
      </c>
      <c r="C321" s="10">
        <f t="shared" si="9"/>
        <v>2</v>
      </c>
      <c r="D321" s="3">
        <v>45702</v>
      </c>
      <c r="E321" s="1">
        <v>74.739999999999995</v>
      </c>
      <c r="F321" s="1">
        <v>70.739999999999995</v>
      </c>
      <c r="G321" s="1">
        <v>2.4618000000000002</v>
      </c>
      <c r="H321" s="1">
        <v>2.0899000000000001</v>
      </c>
      <c r="I321" s="1">
        <v>3.7250000000000001</v>
      </c>
      <c r="J321" s="1">
        <v>5.7042000000000002</v>
      </c>
    </row>
    <row r="322" spans="2:10" x14ac:dyDescent="0.3">
      <c r="B322" s="10">
        <f t="shared" si="8"/>
        <v>2025</v>
      </c>
      <c r="C322" s="10">
        <f t="shared" si="9"/>
        <v>2</v>
      </c>
      <c r="D322" s="3">
        <v>45701</v>
      </c>
      <c r="E322" s="1">
        <v>75.02</v>
      </c>
      <c r="F322" s="1">
        <v>71.290000000000006</v>
      </c>
      <c r="G322" s="1">
        <v>2.4487000000000001</v>
      </c>
      <c r="H322" s="1">
        <v>2.1107</v>
      </c>
      <c r="I322" s="1">
        <v>3.6280000000000001</v>
      </c>
      <c r="J322" s="1">
        <v>5.7668999999999997</v>
      </c>
    </row>
    <row r="323" spans="2:10" x14ac:dyDescent="0.3">
      <c r="B323" s="10">
        <f t="shared" si="8"/>
        <v>2025</v>
      </c>
      <c r="C323" s="10">
        <f t="shared" si="9"/>
        <v>2</v>
      </c>
      <c r="D323" s="3">
        <v>45700</v>
      </c>
      <c r="E323" s="1">
        <v>75.180000000000007</v>
      </c>
      <c r="F323" s="1">
        <v>71.37</v>
      </c>
      <c r="G323" s="1">
        <v>2.452</v>
      </c>
      <c r="H323" s="1">
        <v>2.0895999999999999</v>
      </c>
      <c r="I323" s="1">
        <v>3.5649999999999999</v>
      </c>
      <c r="J323" s="1">
        <v>5.7648999999999999</v>
      </c>
    </row>
    <row r="324" spans="2:10" x14ac:dyDescent="0.3">
      <c r="B324" s="10">
        <f t="shared" si="8"/>
        <v>2025</v>
      </c>
      <c r="C324" s="10">
        <f t="shared" si="9"/>
        <v>2</v>
      </c>
      <c r="D324" s="3">
        <v>45699</v>
      </c>
      <c r="E324" s="1">
        <v>77</v>
      </c>
      <c r="F324" s="1">
        <v>73.319999999999993</v>
      </c>
      <c r="G324" s="1">
        <v>2.5146000000000002</v>
      </c>
      <c r="H324" s="1">
        <v>2.1473</v>
      </c>
      <c r="I324" s="1">
        <v>3.5190000000000001</v>
      </c>
      <c r="J324" s="1">
        <v>5.7634999999999996</v>
      </c>
    </row>
    <row r="325" spans="2:10" x14ac:dyDescent="0.3">
      <c r="B325" s="10">
        <f t="shared" si="8"/>
        <v>2025</v>
      </c>
      <c r="C325" s="10">
        <f t="shared" si="9"/>
        <v>2</v>
      </c>
      <c r="D325" s="3">
        <v>45698</v>
      </c>
      <c r="E325" s="1">
        <v>75.87</v>
      </c>
      <c r="F325" s="1">
        <v>72.319999999999993</v>
      </c>
      <c r="G325" s="1">
        <v>2.4508999999999999</v>
      </c>
      <c r="H325" s="1">
        <v>2.1042000000000001</v>
      </c>
      <c r="I325" s="1">
        <v>3.444</v>
      </c>
      <c r="J325" s="1">
        <v>5.7873999999999999</v>
      </c>
    </row>
    <row r="326" spans="2:10" x14ac:dyDescent="0.3">
      <c r="B326" s="10">
        <f t="shared" ref="B326:B389" si="10">YEAR(D326)</f>
        <v>2025</v>
      </c>
      <c r="C326" s="10">
        <f t="shared" ref="C326:C389" si="11">MONTH(D326)</f>
        <v>2</v>
      </c>
      <c r="D326" s="3">
        <v>45695</v>
      </c>
      <c r="E326" s="1">
        <v>74.66</v>
      </c>
      <c r="F326" s="1">
        <v>71</v>
      </c>
      <c r="G326" s="1">
        <v>2.4308000000000001</v>
      </c>
      <c r="H326" s="1">
        <v>2.105</v>
      </c>
      <c r="I326" s="1">
        <v>3.3090000000000002</v>
      </c>
      <c r="J326" s="1">
        <v>5.8057999999999996</v>
      </c>
    </row>
    <row r="327" spans="2:10" x14ac:dyDescent="0.3">
      <c r="B327" s="10">
        <f t="shared" si="10"/>
        <v>2025</v>
      </c>
      <c r="C327" s="10">
        <f t="shared" si="11"/>
        <v>2</v>
      </c>
      <c r="D327" s="3">
        <v>45694</v>
      </c>
      <c r="E327" s="1">
        <v>74.290000000000006</v>
      </c>
      <c r="F327" s="1">
        <v>70.61</v>
      </c>
      <c r="G327" s="1">
        <v>2.3980000000000001</v>
      </c>
      <c r="H327" s="1">
        <v>2.0747</v>
      </c>
      <c r="I327" s="1">
        <v>3.4079999999999999</v>
      </c>
      <c r="J327" s="1">
        <v>5.7617000000000003</v>
      </c>
    </row>
    <row r="328" spans="2:10" x14ac:dyDescent="0.3">
      <c r="B328" s="10">
        <f t="shared" si="10"/>
        <v>2025</v>
      </c>
      <c r="C328" s="10">
        <f t="shared" si="11"/>
        <v>2</v>
      </c>
      <c r="D328" s="3">
        <v>45693</v>
      </c>
      <c r="E328" s="1">
        <v>74.61</v>
      </c>
      <c r="F328" s="1">
        <v>71.03</v>
      </c>
      <c r="G328" s="1">
        <v>2.3841999999999999</v>
      </c>
      <c r="H328" s="1">
        <v>2.0507</v>
      </c>
      <c r="I328" s="1">
        <v>3.36</v>
      </c>
      <c r="J328" s="1">
        <v>5.7972999999999999</v>
      </c>
    </row>
    <row r="329" spans="2:10" x14ac:dyDescent="0.3">
      <c r="B329" s="10">
        <f t="shared" si="10"/>
        <v>2025</v>
      </c>
      <c r="C329" s="10">
        <f t="shared" si="11"/>
        <v>2</v>
      </c>
      <c r="D329" s="3">
        <v>45692</v>
      </c>
      <c r="E329" s="1">
        <v>76.2</v>
      </c>
      <c r="F329" s="1">
        <v>72.7</v>
      </c>
      <c r="G329" s="1">
        <v>2.4298000000000002</v>
      </c>
      <c r="H329" s="1">
        <v>2.0990000000000002</v>
      </c>
      <c r="I329" s="1">
        <v>3.2530000000000001</v>
      </c>
      <c r="J329" s="1">
        <v>5.7539999999999996</v>
      </c>
    </row>
    <row r="330" spans="2:10" x14ac:dyDescent="0.3">
      <c r="B330" s="10">
        <f t="shared" si="10"/>
        <v>2025</v>
      </c>
      <c r="C330" s="10">
        <f t="shared" si="11"/>
        <v>2</v>
      </c>
      <c r="D330" s="3">
        <v>45691</v>
      </c>
      <c r="E330" s="1">
        <v>75.959999999999994</v>
      </c>
      <c r="F330" s="1">
        <v>73.16</v>
      </c>
      <c r="G330" s="1">
        <v>2.4630999999999998</v>
      </c>
      <c r="H330" s="1">
        <v>2.1177000000000001</v>
      </c>
      <c r="I330" s="1">
        <v>3.3519999999999999</v>
      </c>
      <c r="J330" s="1">
        <v>5.8066000000000004</v>
      </c>
    </row>
    <row r="331" spans="2:10" x14ac:dyDescent="0.3">
      <c r="B331" s="10">
        <f t="shared" si="10"/>
        <v>2025</v>
      </c>
      <c r="C331" s="10">
        <f t="shared" si="11"/>
        <v>1</v>
      </c>
      <c r="D331" s="3">
        <v>45688</v>
      </c>
      <c r="E331" s="1">
        <v>76.760000000000005</v>
      </c>
      <c r="F331" s="1">
        <v>72.53</v>
      </c>
      <c r="G331" s="1">
        <v>2.4845000000000002</v>
      </c>
      <c r="H331" s="1">
        <v>2.0365000000000002</v>
      </c>
      <c r="I331" s="1">
        <v>3.044</v>
      </c>
      <c r="J331" s="1">
        <v>5.8410000000000002</v>
      </c>
    </row>
    <row r="332" spans="2:10" x14ac:dyDescent="0.3">
      <c r="B332" s="10">
        <f t="shared" si="10"/>
        <v>2025</v>
      </c>
      <c r="C332" s="10">
        <f t="shared" si="11"/>
        <v>1</v>
      </c>
      <c r="D332" s="3">
        <v>45687</v>
      </c>
      <c r="E332" s="1">
        <v>76.87</v>
      </c>
      <c r="F332" s="1">
        <v>72.73</v>
      </c>
      <c r="G332" s="1">
        <v>2.4754</v>
      </c>
      <c r="H332" s="1">
        <v>2.0373999999999999</v>
      </c>
      <c r="I332" s="1">
        <v>3.0470000000000002</v>
      </c>
      <c r="J332" s="1">
        <v>5.8739999999999997</v>
      </c>
    </row>
    <row r="333" spans="2:10" x14ac:dyDescent="0.3">
      <c r="B333" s="10">
        <f t="shared" si="10"/>
        <v>2025</v>
      </c>
      <c r="C333" s="10">
        <f t="shared" si="11"/>
        <v>1</v>
      </c>
      <c r="D333" s="3">
        <v>45686</v>
      </c>
      <c r="E333" s="1">
        <v>76.58</v>
      </c>
      <c r="F333" s="1">
        <v>72.62</v>
      </c>
      <c r="G333" s="1">
        <v>2.4540000000000002</v>
      </c>
      <c r="H333" s="1">
        <v>2.0356999999999998</v>
      </c>
      <c r="I333" s="1">
        <v>3.5350000000000001</v>
      </c>
      <c r="J333" s="1">
        <v>5.8563000000000001</v>
      </c>
    </row>
    <row r="334" spans="2:10" x14ac:dyDescent="0.3">
      <c r="B334" s="10">
        <f t="shared" si="10"/>
        <v>2025</v>
      </c>
      <c r="C334" s="10">
        <f t="shared" si="11"/>
        <v>1</v>
      </c>
      <c r="D334" s="3">
        <v>45685</v>
      </c>
      <c r="E334" s="1">
        <v>77.489999999999995</v>
      </c>
      <c r="F334" s="1">
        <v>73.77</v>
      </c>
      <c r="G334" s="1">
        <v>2.4500999999999999</v>
      </c>
      <c r="H334" s="1">
        <v>2.0526</v>
      </c>
      <c r="I334" s="1">
        <v>3.4710000000000001</v>
      </c>
      <c r="J334" s="1">
        <v>5.8571</v>
      </c>
    </row>
    <row r="335" spans="2:10" x14ac:dyDescent="0.3">
      <c r="B335" s="10">
        <f t="shared" si="10"/>
        <v>2025</v>
      </c>
      <c r="C335" s="10">
        <f t="shared" si="11"/>
        <v>1</v>
      </c>
      <c r="D335" s="3">
        <v>45684</v>
      </c>
      <c r="E335" s="1">
        <v>77.08</v>
      </c>
      <c r="F335" s="1">
        <v>73.17</v>
      </c>
      <c r="G335" s="1">
        <v>2.46</v>
      </c>
      <c r="H335" s="1">
        <v>2.0282</v>
      </c>
      <c r="I335" s="1">
        <v>3.6970000000000001</v>
      </c>
      <c r="J335" s="1">
        <v>5.8925999999999998</v>
      </c>
    </row>
    <row r="336" spans="2:10" x14ac:dyDescent="0.3">
      <c r="B336" s="10">
        <f t="shared" si="10"/>
        <v>2025</v>
      </c>
      <c r="C336" s="10">
        <f t="shared" si="11"/>
        <v>1</v>
      </c>
      <c r="D336" s="3">
        <v>45681</v>
      </c>
      <c r="E336" s="1">
        <v>78.5</v>
      </c>
      <c r="F336" s="1">
        <v>74.66</v>
      </c>
      <c r="G336" s="1">
        <v>2.5162</v>
      </c>
      <c r="H336" s="1">
        <v>2.0489999999999999</v>
      </c>
      <c r="I336" s="1">
        <v>4.0270000000000001</v>
      </c>
      <c r="J336" s="1">
        <v>5.9108999999999998</v>
      </c>
    </row>
    <row r="337" spans="2:10" x14ac:dyDescent="0.3">
      <c r="B337" s="10">
        <f t="shared" si="10"/>
        <v>2025</v>
      </c>
      <c r="C337" s="10">
        <f t="shared" si="11"/>
        <v>1</v>
      </c>
      <c r="D337" s="3">
        <v>45680</v>
      </c>
      <c r="E337" s="1">
        <v>78.290000000000006</v>
      </c>
      <c r="F337" s="1">
        <v>74.62</v>
      </c>
      <c r="G337" s="1">
        <v>2.4714999999999998</v>
      </c>
      <c r="H337" s="1">
        <v>2.0655999999999999</v>
      </c>
      <c r="I337" s="1">
        <v>3.9449999999999998</v>
      </c>
      <c r="J337" s="1">
        <v>5.9242999999999997</v>
      </c>
    </row>
    <row r="338" spans="2:10" x14ac:dyDescent="0.3">
      <c r="B338" s="10">
        <f t="shared" si="10"/>
        <v>2025</v>
      </c>
      <c r="C338" s="10">
        <f t="shared" si="11"/>
        <v>1</v>
      </c>
      <c r="D338" s="3">
        <v>45679</v>
      </c>
      <c r="E338" s="1">
        <v>79</v>
      </c>
      <c r="F338" s="1">
        <v>75.44</v>
      </c>
      <c r="G338" s="1">
        <v>2.4842</v>
      </c>
      <c r="H338" s="1">
        <v>2.0577999999999999</v>
      </c>
      <c r="I338" s="1">
        <v>3.96</v>
      </c>
      <c r="J338" s="1">
        <v>5.9414999999999996</v>
      </c>
    </row>
    <row r="339" spans="2:10" x14ac:dyDescent="0.3">
      <c r="B339" s="10">
        <f t="shared" si="10"/>
        <v>2025</v>
      </c>
      <c r="C339" s="10">
        <f t="shared" si="11"/>
        <v>1</v>
      </c>
      <c r="D339" s="3">
        <v>45678</v>
      </c>
      <c r="E339" s="1">
        <v>79.290000000000006</v>
      </c>
      <c r="F339" s="1">
        <v>75.89</v>
      </c>
      <c r="G339" s="1">
        <v>2.5581</v>
      </c>
      <c r="H339" s="1">
        <v>2.0842999999999998</v>
      </c>
      <c r="I339" s="1">
        <v>3.7559999999999998</v>
      </c>
      <c r="J339" s="1">
        <v>6.0220000000000002</v>
      </c>
    </row>
    <row r="340" spans="2:10" x14ac:dyDescent="0.3">
      <c r="B340" s="10">
        <f t="shared" si="10"/>
        <v>2025</v>
      </c>
      <c r="C340" s="10">
        <f t="shared" si="11"/>
        <v>1</v>
      </c>
      <c r="D340" s="3">
        <v>45677</v>
      </c>
      <c r="E340" s="1">
        <v>80.150000000000006</v>
      </c>
      <c r="J340" s="1">
        <v>6.0315000000000003</v>
      </c>
    </row>
    <row r="341" spans="2:10" x14ac:dyDescent="0.3">
      <c r="B341" s="10">
        <f t="shared" si="10"/>
        <v>2025</v>
      </c>
      <c r="C341" s="10">
        <f t="shared" si="11"/>
        <v>1</v>
      </c>
      <c r="D341" s="3">
        <v>45674</v>
      </c>
      <c r="E341" s="1">
        <v>80.790000000000006</v>
      </c>
      <c r="F341" s="1">
        <v>77.88</v>
      </c>
      <c r="G341" s="1">
        <v>2.621</v>
      </c>
      <c r="H341" s="1">
        <v>2.1122000000000001</v>
      </c>
      <c r="I341" s="1">
        <v>3.948</v>
      </c>
      <c r="J341" s="1">
        <v>6.0704000000000002</v>
      </c>
    </row>
    <row r="342" spans="2:10" x14ac:dyDescent="0.3">
      <c r="B342" s="10">
        <f t="shared" si="10"/>
        <v>2025</v>
      </c>
      <c r="C342" s="10">
        <f t="shared" si="11"/>
        <v>1</v>
      </c>
      <c r="D342" s="3">
        <v>45673</v>
      </c>
      <c r="E342" s="1">
        <v>81.290000000000006</v>
      </c>
      <c r="F342" s="1">
        <v>78.680000000000007</v>
      </c>
      <c r="G342" s="1">
        <v>2.6172</v>
      </c>
      <c r="H342" s="1">
        <v>2.1232000000000002</v>
      </c>
      <c r="I342" s="1">
        <v>4.258</v>
      </c>
      <c r="J342" s="1">
        <v>6.0499000000000001</v>
      </c>
    </row>
    <row r="343" spans="2:10" x14ac:dyDescent="0.3">
      <c r="B343" s="10">
        <f t="shared" si="10"/>
        <v>2025</v>
      </c>
      <c r="C343" s="10">
        <f t="shared" si="11"/>
        <v>1</v>
      </c>
      <c r="D343" s="3">
        <v>45672</v>
      </c>
      <c r="E343" s="1">
        <v>82.03</v>
      </c>
      <c r="F343" s="1">
        <v>80.040000000000006</v>
      </c>
      <c r="G343" s="1">
        <v>2.6135000000000002</v>
      </c>
      <c r="H343" s="1">
        <v>2.1589</v>
      </c>
      <c r="I343" s="1">
        <v>4.0830000000000002</v>
      </c>
      <c r="J343" s="1">
        <v>6.0098000000000003</v>
      </c>
    </row>
    <row r="344" spans="2:10" x14ac:dyDescent="0.3">
      <c r="B344" s="10">
        <f t="shared" si="10"/>
        <v>2025</v>
      </c>
      <c r="C344" s="10">
        <f t="shared" si="11"/>
        <v>1</v>
      </c>
      <c r="D344" s="3">
        <v>45671</v>
      </c>
      <c r="E344" s="1">
        <v>79.92</v>
      </c>
      <c r="F344" s="1">
        <v>77.5</v>
      </c>
      <c r="G344" s="1">
        <v>2.5253000000000001</v>
      </c>
      <c r="H344" s="1">
        <v>2.1046</v>
      </c>
      <c r="I344" s="1">
        <v>3.968</v>
      </c>
      <c r="J344" s="1">
        <v>6.0559000000000003</v>
      </c>
    </row>
    <row r="345" spans="2:10" x14ac:dyDescent="0.3">
      <c r="B345" s="10">
        <f t="shared" si="10"/>
        <v>2025</v>
      </c>
      <c r="C345" s="10">
        <f t="shared" si="11"/>
        <v>1</v>
      </c>
      <c r="D345" s="3">
        <v>45670</v>
      </c>
      <c r="E345" s="1">
        <v>81.010000000000005</v>
      </c>
      <c r="F345" s="1">
        <v>78.819999999999993</v>
      </c>
      <c r="G345" s="1">
        <v>2.5333000000000001</v>
      </c>
      <c r="H345" s="1">
        <v>2.1002999999999998</v>
      </c>
      <c r="I345" s="1">
        <v>3.9340000000000002</v>
      </c>
      <c r="J345" s="1">
        <v>6.0944000000000003</v>
      </c>
    </row>
    <row r="346" spans="2:10" x14ac:dyDescent="0.3">
      <c r="B346" s="10">
        <f t="shared" si="10"/>
        <v>2025</v>
      </c>
      <c r="C346" s="10">
        <f t="shared" si="11"/>
        <v>1</v>
      </c>
      <c r="D346" s="3">
        <v>45667</v>
      </c>
      <c r="E346" s="1">
        <v>79.760000000000005</v>
      </c>
      <c r="F346" s="1">
        <v>76.569999999999993</v>
      </c>
      <c r="G346" s="1">
        <v>2.5017</v>
      </c>
      <c r="H346" s="1">
        <v>2.0749</v>
      </c>
      <c r="I346" s="1">
        <v>3.9889999999999999</v>
      </c>
      <c r="J346" s="1">
        <v>6.1052999999999997</v>
      </c>
    </row>
    <row r="347" spans="2:10" x14ac:dyDescent="0.3">
      <c r="B347" s="10">
        <f t="shared" si="10"/>
        <v>2025</v>
      </c>
      <c r="C347" s="10">
        <f t="shared" si="11"/>
        <v>1</v>
      </c>
      <c r="D347" s="3">
        <v>45666</v>
      </c>
      <c r="E347" s="1">
        <v>76.92</v>
      </c>
      <c r="F347" s="1">
        <v>73.92</v>
      </c>
      <c r="G347" s="1">
        <v>2.3782000000000001</v>
      </c>
      <c r="H347" s="1">
        <v>2.0283000000000002</v>
      </c>
      <c r="I347" s="1">
        <v>3.7010000000000001</v>
      </c>
      <c r="J347" s="1">
        <v>6.0364000000000004</v>
      </c>
    </row>
    <row r="348" spans="2:10" x14ac:dyDescent="0.3">
      <c r="B348" s="10">
        <f t="shared" si="10"/>
        <v>2025</v>
      </c>
      <c r="C348" s="10">
        <f t="shared" si="11"/>
        <v>1</v>
      </c>
      <c r="D348" s="3">
        <v>45665</v>
      </c>
      <c r="E348" s="1">
        <v>76.16</v>
      </c>
      <c r="F348" s="1">
        <v>73.319999999999993</v>
      </c>
      <c r="G348" s="1">
        <v>2.3506999999999998</v>
      </c>
      <c r="H348" s="1">
        <v>2.0102000000000002</v>
      </c>
      <c r="I348" s="1">
        <v>3.6509999999999998</v>
      </c>
      <c r="J348" s="1">
        <v>6.1055000000000001</v>
      </c>
    </row>
    <row r="349" spans="2:10" x14ac:dyDescent="0.3">
      <c r="B349" s="10">
        <f t="shared" si="10"/>
        <v>2025</v>
      </c>
      <c r="C349" s="10">
        <f t="shared" si="11"/>
        <v>1</v>
      </c>
      <c r="D349" s="3">
        <v>45664</v>
      </c>
      <c r="E349" s="1">
        <v>77.05</v>
      </c>
      <c r="F349" s="1">
        <v>74.25</v>
      </c>
      <c r="G349" s="1">
        <v>2.3662999999999998</v>
      </c>
      <c r="H349" s="1">
        <v>2.0266000000000002</v>
      </c>
      <c r="I349" s="1">
        <v>3.4489999999999998</v>
      </c>
      <c r="J349" s="1">
        <v>6.101</v>
      </c>
    </row>
    <row r="350" spans="2:10" x14ac:dyDescent="0.3">
      <c r="B350" s="10">
        <f t="shared" si="10"/>
        <v>2025</v>
      </c>
      <c r="C350" s="10">
        <f t="shared" si="11"/>
        <v>1</v>
      </c>
      <c r="D350" s="3">
        <v>45663</v>
      </c>
      <c r="E350" s="1">
        <v>76.3</v>
      </c>
      <c r="F350" s="1">
        <v>73.56</v>
      </c>
      <c r="G350" s="1">
        <v>2.3552</v>
      </c>
      <c r="H350" s="1">
        <v>2.0354999999999999</v>
      </c>
      <c r="I350" s="1">
        <v>3.6720000000000002</v>
      </c>
      <c r="J350" s="1">
        <v>6.1151999999999997</v>
      </c>
    </row>
    <row r="351" spans="2:10" x14ac:dyDescent="0.3">
      <c r="B351" s="10">
        <f t="shared" si="10"/>
        <v>2025</v>
      </c>
      <c r="C351" s="10">
        <f t="shared" si="11"/>
        <v>1</v>
      </c>
      <c r="D351" s="3">
        <v>45660</v>
      </c>
      <c r="E351" s="1">
        <v>76.510000000000005</v>
      </c>
      <c r="F351" s="1">
        <v>73.959999999999994</v>
      </c>
      <c r="G351" s="1">
        <v>2.3477999999999999</v>
      </c>
      <c r="H351" s="1">
        <v>2.0537000000000001</v>
      </c>
      <c r="I351" s="1">
        <v>3.3540000000000001</v>
      </c>
      <c r="J351" s="1">
        <v>6.1798000000000002</v>
      </c>
    </row>
    <row r="352" spans="2:10" x14ac:dyDescent="0.3">
      <c r="B352" s="10">
        <f t="shared" si="10"/>
        <v>2025</v>
      </c>
      <c r="C352" s="10">
        <f t="shared" si="11"/>
        <v>1</v>
      </c>
      <c r="D352" s="3">
        <v>45659</v>
      </c>
      <c r="E352" s="1">
        <v>75.930000000000007</v>
      </c>
      <c r="F352" s="1">
        <v>73.13</v>
      </c>
      <c r="G352" s="1">
        <v>2.3540000000000001</v>
      </c>
      <c r="H352" s="1">
        <v>2.0518999999999998</v>
      </c>
      <c r="I352" s="1">
        <v>3.66</v>
      </c>
      <c r="J352" s="1">
        <v>6.1519000000000004</v>
      </c>
    </row>
    <row r="353" spans="2:10" x14ac:dyDescent="0.3">
      <c r="B353" s="10">
        <f t="shared" si="10"/>
        <v>2025</v>
      </c>
      <c r="C353" s="10">
        <f t="shared" si="11"/>
        <v>1</v>
      </c>
      <c r="D353" s="3">
        <v>45658</v>
      </c>
      <c r="J353" s="1">
        <v>6.1840000000000002</v>
      </c>
    </row>
    <row r="354" spans="2:10" x14ac:dyDescent="0.3">
      <c r="B354" s="10">
        <f t="shared" si="10"/>
        <v>2024</v>
      </c>
      <c r="C354" s="10">
        <f t="shared" si="11"/>
        <v>12</v>
      </c>
      <c r="D354" s="3">
        <v>45657</v>
      </c>
      <c r="E354" s="1">
        <v>74.64</v>
      </c>
      <c r="F354" s="1">
        <v>71.72</v>
      </c>
      <c r="G354" s="1">
        <v>2.3206000000000002</v>
      </c>
      <c r="H354" s="1">
        <v>2.0015000000000001</v>
      </c>
      <c r="I354" s="1">
        <v>3.633</v>
      </c>
      <c r="J354" s="1">
        <v>6.1778000000000004</v>
      </c>
    </row>
    <row r="355" spans="2:10" x14ac:dyDescent="0.3">
      <c r="B355" s="10">
        <f t="shared" si="10"/>
        <v>2024</v>
      </c>
      <c r="C355" s="10">
        <f t="shared" si="11"/>
        <v>12</v>
      </c>
      <c r="D355" s="3">
        <v>45656</v>
      </c>
      <c r="E355" s="1">
        <v>74.39</v>
      </c>
      <c r="F355" s="1">
        <v>70.989999999999995</v>
      </c>
      <c r="G355" s="1">
        <v>2.2995000000000001</v>
      </c>
      <c r="H355" s="1">
        <v>1.9762999999999999</v>
      </c>
      <c r="I355" s="1">
        <v>3.9359999999999999</v>
      </c>
      <c r="J355" s="1">
        <v>6.1778000000000004</v>
      </c>
    </row>
    <row r="356" spans="2:10" x14ac:dyDescent="0.3">
      <c r="B356" s="10">
        <f t="shared" si="10"/>
        <v>2024</v>
      </c>
      <c r="C356" s="10">
        <f t="shared" si="11"/>
        <v>12</v>
      </c>
      <c r="D356" s="3">
        <v>45653</v>
      </c>
      <c r="E356" s="1">
        <v>74.17</v>
      </c>
      <c r="F356" s="1">
        <v>70.599999999999994</v>
      </c>
      <c r="G356" s="1">
        <v>2.2448000000000001</v>
      </c>
      <c r="H356" s="1">
        <v>1.9581999999999999</v>
      </c>
      <c r="I356" s="1">
        <v>3.5139999999999998</v>
      </c>
      <c r="J356" s="1">
        <v>6.1963999999999997</v>
      </c>
    </row>
    <row r="357" spans="2:10" x14ac:dyDescent="0.3">
      <c r="B357" s="10">
        <f t="shared" si="10"/>
        <v>2024</v>
      </c>
      <c r="C357" s="10">
        <f t="shared" si="11"/>
        <v>12</v>
      </c>
      <c r="D357" s="3">
        <v>45652</v>
      </c>
      <c r="E357" s="1">
        <v>73.260000000000005</v>
      </c>
      <c r="F357" s="1">
        <v>69.62</v>
      </c>
      <c r="G357" s="1">
        <v>2.2052999999999998</v>
      </c>
      <c r="H357" s="1">
        <v>1.9458</v>
      </c>
      <c r="I357" s="1">
        <v>3.7149999999999999</v>
      </c>
      <c r="J357" s="1">
        <v>6.1828000000000003</v>
      </c>
    </row>
    <row r="358" spans="2:10" x14ac:dyDescent="0.3">
      <c r="B358" s="10">
        <f t="shared" si="10"/>
        <v>2024</v>
      </c>
      <c r="C358" s="10">
        <f t="shared" si="11"/>
        <v>12</v>
      </c>
      <c r="D358" s="3">
        <v>45651</v>
      </c>
      <c r="J358" s="1">
        <v>6.1905999999999999</v>
      </c>
    </row>
    <row r="359" spans="2:10" x14ac:dyDescent="0.3">
      <c r="B359" s="10">
        <f t="shared" si="10"/>
        <v>2024</v>
      </c>
      <c r="C359" s="10">
        <f t="shared" si="11"/>
        <v>12</v>
      </c>
      <c r="D359" s="3">
        <v>45650</v>
      </c>
      <c r="E359" s="1">
        <v>73.58</v>
      </c>
      <c r="F359" s="1">
        <v>70.099999999999994</v>
      </c>
      <c r="G359" s="1">
        <v>2.2214999999999998</v>
      </c>
      <c r="H359" s="1">
        <v>1.9589000000000001</v>
      </c>
      <c r="I359" s="1">
        <v>3.9460000000000002</v>
      </c>
      <c r="J359" s="1">
        <v>6.1905999999999999</v>
      </c>
    </row>
    <row r="360" spans="2:10" x14ac:dyDescent="0.3">
      <c r="B360" s="10">
        <f t="shared" si="10"/>
        <v>2024</v>
      </c>
      <c r="C360" s="10">
        <f t="shared" si="11"/>
        <v>12</v>
      </c>
      <c r="D360" s="3">
        <v>45649</v>
      </c>
      <c r="E360" s="1">
        <v>72.63</v>
      </c>
      <c r="F360" s="1">
        <v>69.239999999999995</v>
      </c>
      <c r="G360" s="1">
        <v>2.2263000000000002</v>
      </c>
      <c r="H360" s="1">
        <v>1.9382999999999999</v>
      </c>
      <c r="I360" s="1">
        <v>3.6560000000000001</v>
      </c>
      <c r="J360" s="1">
        <v>6.1939000000000002</v>
      </c>
    </row>
    <row r="361" spans="2:10" x14ac:dyDescent="0.3">
      <c r="B361" s="10">
        <f t="shared" si="10"/>
        <v>2024</v>
      </c>
      <c r="C361" s="10">
        <f t="shared" si="11"/>
        <v>12</v>
      </c>
      <c r="D361" s="3">
        <v>45646</v>
      </c>
      <c r="E361" s="1">
        <v>72.94</v>
      </c>
      <c r="F361" s="1">
        <v>69.459999999999994</v>
      </c>
      <c r="G361" s="1">
        <v>2.2317</v>
      </c>
      <c r="H361" s="1">
        <v>1.9416</v>
      </c>
      <c r="I361" s="1">
        <v>3.7480000000000002</v>
      </c>
      <c r="J361" s="1">
        <v>6.0853000000000002</v>
      </c>
    </row>
    <row r="362" spans="2:10" x14ac:dyDescent="0.3">
      <c r="B362" s="10">
        <f t="shared" si="10"/>
        <v>2024</v>
      </c>
      <c r="C362" s="10">
        <f t="shared" si="11"/>
        <v>12</v>
      </c>
      <c r="D362" s="3">
        <v>45645</v>
      </c>
      <c r="E362" s="1">
        <v>72.88</v>
      </c>
      <c r="F362" s="1">
        <v>69.91</v>
      </c>
      <c r="G362" s="1">
        <v>2.2376999999999998</v>
      </c>
      <c r="H362" s="1">
        <v>1.9228000000000001</v>
      </c>
      <c r="I362" s="1">
        <v>3.5840000000000001</v>
      </c>
      <c r="J362" s="1">
        <v>6.1524999999999999</v>
      </c>
    </row>
    <row r="363" spans="2:10" x14ac:dyDescent="0.3">
      <c r="B363" s="10">
        <f t="shared" si="10"/>
        <v>2024</v>
      </c>
      <c r="C363" s="10">
        <f t="shared" si="11"/>
        <v>12</v>
      </c>
      <c r="D363" s="3">
        <v>45644</v>
      </c>
      <c r="E363" s="1">
        <v>73.39</v>
      </c>
      <c r="F363" s="1">
        <v>70.58</v>
      </c>
      <c r="G363" s="1">
        <v>2.2549999999999999</v>
      </c>
      <c r="H363" s="1">
        <v>1.9428000000000001</v>
      </c>
      <c r="I363" s="1">
        <v>3.3740000000000001</v>
      </c>
      <c r="J363" s="1">
        <v>6.2896000000000001</v>
      </c>
    </row>
    <row r="364" spans="2:10" x14ac:dyDescent="0.3">
      <c r="B364" s="10">
        <f t="shared" si="10"/>
        <v>2024</v>
      </c>
      <c r="C364" s="10">
        <f t="shared" si="11"/>
        <v>12</v>
      </c>
      <c r="D364" s="3">
        <v>45643</v>
      </c>
      <c r="E364" s="1">
        <v>73.19</v>
      </c>
      <c r="F364" s="1">
        <v>70.08</v>
      </c>
      <c r="G364" s="1">
        <v>2.2279</v>
      </c>
      <c r="H364" s="1">
        <v>1.9439</v>
      </c>
      <c r="I364" s="1">
        <v>3.3079999999999998</v>
      </c>
      <c r="J364" s="1">
        <v>6.1048</v>
      </c>
    </row>
    <row r="365" spans="2:10" x14ac:dyDescent="0.3">
      <c r="B365" s="10">
        <f t="shared" si="10"/>
        <v>2024</v>
      </c>
      <c r="C365" s="10">
        <f t="shared" si="11"/>
        <v>12</v>
      </c>
      <c r="D365" s="3">
        <v>45642</v>
      </c>
      <c r="E365" s="1">
        <v>73.91</v>
      </c>
      <c r="F365" s="1">
        <v>70.709999999999994</v>
      </c>
      <c r="G365" s="1">
        <v>2.2639999999999998</v>
      </c>
      <c r="H365" s="1">
        <v>1.9757</v>
      </c>
      <c r="I365" s="1">
        <v>3.214</v>
      </c>
      <c r="J365" s="1">
        <v>6.1478999999999999</v>
      </c>
    </row>
    <row r="366" spans="2:10" x14ac:dyDescent="0.3">
      <c r="B366" s="10">
        <f t="shared" si="10"/>
        <v>2024</v>
      </c>
      <c r="C366" s="10">
        <f t="shared" si="11"/>
        <v>12</v>
      </c>
      <c r="D366" s="3">
        <v>45639</v>
      </c>
      <c r="E366" s="1">
        <v>74.489999999999995</v>
      </c>
      <c r="F366" s="1">
        <v>71.290000000000006</v>
      </c>
      <c r="G366" s="1">
        <v>2.27</v>
      </c>
      <c r="H366" s="1">
        <v>2.0017999999999998</v>
      </c>
      <c r="I366" s="1">
        <v>3.28</v>
      </c>
      <c r="J366" s="1">
        <v>6.0419</v>
      </c>
    </row>
    <row r="367" spans="2:10" x14ac:dyDescent="0.3">
      <c r="B367" s="10">
        <f t="shared" si="10"/>
        <v>2024</v>
      </c>
      <c r="C367" s="10">
        <f t="shared" si="11"/>
        <v>12</v>
      </c>
      <c r="D367" s="3">
        <v>45638</v>
      </c>
      <c r="E367" s="1">
        <v>73.41</v>
      </c>
      <c r="F367" s="1">
        <v>70.02</v>
      </c>
      <c r="G367" s="1">
        <v>2.2366000000000001</v>
      </c>
      <c r="H367" s="1">
        <v>1.9884999999999999</v>
      </c>
      <c r="I367" s="1">
        <v>3.4550000000000001</v>
      </c>
      <c r="J367" s="1">
        <v>5.9915000000000003</v>
      </c>
    </row>
    <row r="368" spans="2:10" x14ac:dyDescent="0.3">
      <c r="B368" s="10">
        <f t="shared" si="10"/>
        <v>2024</v>
      </c>
      <c r="C368" s="10">
        <f t="shared" si="11"/>
        <v>12</v>
      </c>
      <c r="D368" s="3">
        <v>45637</v>
      </c>
      <c r="E368" s="1">
        <v>73.52</v>
      </c>
      <c r="F368" s="1">
        <v>70.290000000000006</v>
      </c>
      <c r="G368" s="1">
        <v>2.2233000000000001</v>
      </c>
      <c r="H368" s="1">
        <v>1.9858</v>
      </c>
      <c r="I368" s="1">
        <v>3.3780000000000001</v>
      </c>
      <c r="J368" s="1">
        <v>5.9542999999999999</v>
      </c>
    </row>
    <row r="369" spans="2:10" x14ac:dyDescent="0.3">
      <c r="B369" s="10">
        <f t="shared" si="10"/>
        <v>2024</v>
      </c>
      <c r="C369" s="10">
        <f t="shared" si="11"/>
        <v>12</v>
      </c>
      <c r="D369" s="3">
        <v>45636</v>
      </c>
      <c r="E369" s="1">
        <v>72.19</v>
      </c>
      <c r="F369" s="1">
        <v>68.59</v>
      </c>
      <c r="G369" s="1">
        <v>2.1861000000000002</v>
      </c>
      <c r="H369" s="1">
        <v>1.9568000000000001</v>
      </c>
      <c r="I369" s="1">
        <v>3.1629999999999998</v>
      </c>
      <c r="J369" s="1">
        <v>6.0449999999999999</v>
      </c>
    </row>
    <row r="370" spans="2:10" x14ac:dyDescent="0.3">
      <c r="B370" s="10">
        <f t="shared" si="10"/>
        <v>2024</v>
      </c>
      <c r="C370" s="10">
        <f t="shared" si="11"/>
        <v>12</v>
      </c>
      <c r="D370" s="3">
        <v>45635</v>
      </c>
      <c r="E370" s="1">
        <v>72.14</v>
      </c>
      <c r="F370" s="1">
        <v>68.37</v>
      </c>
      <c r="G370" s="1">
        <v>2.1835</v>
      </c>
      <c r="H370" s="1">
        <v>1.9524999999999999</v>
      </c>
      <c r="I370" s="1">
        <v>3.1819999999999999</v>
      </c>
      <c r="J370" s="1">
        <v>6.0788000000000002</v>
      </c>
    </row>
    <row r="371" spans="2:10" x14ac:dyDescent="0.3">
      <c r="B371" s="10">
        <f t="shared" si="10"/>
        <v>2024</v>
      </c>
      <c r="C371" s="10">
        <f t="shared" si="11"/>
        <v>12</v>
      </c>
      <c r="D371" s="3">
        <v>45632</v>
      </c>
      <c r="E371" s="1">
        <v>71.12</v>
      </c>
      <c r="F371" s="1">
        <v>67.2</v>
      </c>
      <c r="G371" s="1">
        <v>2.1326000000000001</v>
      </c>
      <c r="H371" s="1">
        <v>1.9061999999999999</v>
      </c>
      <c r="I371" s="1">
        <v>3.0760000000000001</v>
      </c>
      <c r="J371" s="1">
        <v>6.0894000000000004</v>
      </c>
    </row>
    <row r="372" spans="2:10" x14ac:dyDescent="0.3">
      <c r="B372" s="10">
        <f t="shared" si="10"/>
        <v>2024</v>
      </c>
      <c r="C372" s="10">
        <f t="shared" si="11"/>
        <v>12</v>
      </c>
      <c r="D372" s="3">
        <v>45631</v>
      </c>
      <c r="E372" s="1">
        <v>72.09</v>
      </c>
      <c r="F372" s="1">
        <v>68.3</v>
      </c>
      <c r="G372" s="1">
        <v>2.1556999999999999</v>
      </c>
      <c r="H372" s="1">
        <v>1.9325000000000001</v>
      </c>
      <c r="I372" s="1">
        <v>3.0790000000000002</v>
      </c>
      <c r="J372" s="1">
        <v>6.0113000000000003</v>
      </c>
    </row>
    <row r="373" spans="2:10" x14ac:dyDescent="0.3">
      <c r="B373" s="10">
        <f t="shared" si="10"/>
        <v>2024</v>
      </c>
      <c r="C373" s="10">
        <f t="shared" si="11"/>
        <v>12</v>
      </c>
      <c r="D373" s="3">
        <v>45630</v>
      </c>
      <c r="E373" s="1">
        <v>72.31</v>
      </c>
      <c r="F373" s="1">
        <v>68.540000000000006</v>
      </c>
      <c r="G373" s="1">
        <v>2.1674000000000002</v>
      </c>
      <c r="H373" s="1">
        <v>1.9391</v>
      </c>
      <c r="I373" s="1">
        <v>3.0430000000000001</v>
      </c>
      <c r="J373" s="1">
        <v>6.0408999999999997</v>
      </c>
    </row>
    <row r="374" spans="2:10" x14ac:dyDescent="0.3">
      <c r="B374" s="10">
        <f t="shared" si="10"/>
        <v>2024</v>
      </c>
      <c r="C374" s="10">
        <f t="shared" si="11"/>
        <v>12</v>
      </c>
      <c r="D374" s="3">
        <v>45629</v>
      </c>
      <c r="E374" s="1">
        <v>73.62</v>
      </c>
      <c r="F374" s="1">
        <v>69.94</v>
      </c>
      <c r="G374" s="1">
        <v>2.2176999999999998</v>
      </c>
      <c r="H374" s="1">
        <v>1.9623999999999999</v>
      </c>
      <c r="I374" s="1">
        <v>3.0419999999999998</v>
      </c>
      <c r="J374" s="1">
        <v>6.0439999999999996</v>
      </c>
    </row>
    <row r="375" spans="2:10" x14ac:dyDescent="0.3">
      <c r="B375" s="10">
        <f t="shared" si="10"/>
        <v>2024</v>
      </c>
      <c r="C375" s="10">
        <f t="shared" si="11"/>
        <v>12</v>
      </c>
      <c r="D375" s="3">
        <v>45628</v>
      </c>
      <c r="E375" s="1">
        <v>71.83</v>
      </c>
      <c r="F375" s="1">
        <v>68.099999999999994</v>
      </c>
      <c r="G375" s="1">
        <v>2.1777000000000002</v>
      </c>
      <c r="H375" s="1">
        <v>1.9172</v>
      </c>
      <c r="I375" s="1">
        <v>3.2130000000000001</v>
      </c>
      <c r="J375" s="1">
        <v>6.0579999999999998</v>
      </c>
    </row>
    <row r="376" spans="2:10" x14ac:dyDescent="0.3">
      <c r="B376" s="10">
        <f t="shared" si="10"/>
        <v>2024</v>
      </c>
      <c r="C376" s="10">
        <f t="shared" si="11"/>
        <v>11</v>
      </c>
      <c r="D376" s="3">
        <v>45625</v>
      </c>
      <c r="E376" s="1">
        <v>72.94</v>
      </c>
      <c r="F376" s="1">
        <v>68</v>
      </c>
      <c r="G376" s="1">
        <v>2.1930000000000001</v>
      </c>
      <c r="H376" s="1">
        <v>1.9437</v>
      </c>
      <c r="I376" s="1">
        <v>3.363</v>
      </c>
      <c r="J376" s="1">
        <v>5.9729999999999999</v>
      </c>
    </row>
    <row r="377" spans="2:10" x14ac:dyDescent="0.3">
      <c r="B377" s="10">
        <f t="shared" si="10"/>
        <v>2024</v>
      </c>
      <c r="C377" s="10">
        <f t="shared" si="11"/>
        <v>11</v>
      </c>
      <c r="D377" s="3">
        <v>45624</v>
      </c>
      <c r="E377" s="1">
        <v>73.28</v>
      </c>
      <c r="J377" s="1">
        <v>6.0141999999999998</v>
      </c>
    </row>
    <row r="378" spans="2:10" x14ac:dyDescent="0.3">
      <c r="B378" s="10">
        <f t="shared" si="10"/>
        <v>2024</v>
      </c>
      <c r="C378" s="10">
        <f t="shared" si="11"/>
        <v>11</v>
      </c>
      <c r="D378" s="3">
        <v>45623</v>
      </c>
      <c r="E378" s="1">
        <v>72.83</v>
      </c>
      <c r="F378" s="1">
        <v>68.72</v>
      </c>
      <c r="G378" s="1">
        <v>2.2035999999999998</v>
      </c>
      <c r="H378" s="1">
        <v>1.9734</v>
      </c>
      <c r="I378" s="1">
        <v>3.2040000000000002</v>
      </c>
      <c r="J378" s="1">
        <v>5.9377000000000004</v>
      </c>
    </row>
    <row r="379" spans="2:10" x14ac:dyDescent="0.3">
      <c r="B379" s="10">
        <f t="shared" si="10"/>
        <v>2024</v>
      </c>
      <c r="C379" s="10">
        <f t="shared" si="11"/>
        <v>11</v>
      </c>
      <c r="D379" s="3">
        <v>45622</v>
      </c>
      <c r="E379" s="1">
        <v>72.81</v>
      </c>
      <c r="F379" s="1">
        <v>68.77</v>
      </c>
      <c r="G379" s="1">
        <v>2.2404000000000002</v>
      </c>
      <c r="H379" s="1">
        <v>1.9918</v>
      </c>
      <c r="I379" s="1">
        <v>3.431</v>
      </c>
      <c r="J379" s="1">
        <v>5.8094999999999999</v>
      </c>
    </row>
    <row r="380" spans="2:10" x14ac:dyDescent="0.3">
      <c r="B380" s="10">
        <f t="shared" si="10"/>
        <v>2024</v>
      </c>
      <c r="C380" s="10">
        <f t="shared" si="11"/>
        <v>11</v>
      </c>
      <c r="D380" s="3">
        <v>45621</v>
      </c>
      <c r="E380" s="1">
        <v>73.010000000000005</v>
      </c>
      <c r="F380" s="1">
        <v>68.94</v>
      </c>
      <c r="G380" s="1">
        <v>2.2353000000000001</v>
      </c>
      <c r="H380" s="1">
        <v>2.0005000000000002</v>
      </c>
      <c r="I380" s="1">
        <v>3.3690000000000002</v>
      </c>
      <c r="J380" s="1">
        <v>5.7983000000000002</v>
      </c>
    </row>
    <row r="381" spans="2:10" x14ac:dyDescent="0.3">
      <c r="B381" s="10">
        <f t="shared" si="10"/>
        <v>2024</v>
      </c>
      <c r="C381" s="10">
        <f t="shared" si="11"/>
        <v>11</v>
      </c>
      <c r="D381" s="3">
        <v>45618</v>
      </c>
      <c r="E381" s="1">
        <v>75.17</v>
      </c>
      <c r="F381" s="1">
        <v>71.239999999999995</v>
      </c>
      <c r="G381" s="1">
        <v>2.2749000000000001</v>
      </c>
      <c r="H381" s="1">
        <v>2.0613999999999999</v>
      </c>
      <c r="I381" s="1">
        <v>3.129</v>
      </c>
      <c r="J381" s="1">
        <v>5.8010000000000002</v>
      </c>
    </row>
    <row r="382" spans="2:10" x14ac:dyDescent="0.3">
      <c r="B382" s="10">
        <f t="shared" si="10"/>
        <v>2024</v>
      </c>
      <c r="C382" s="10">
        <f t="shared" si="11"/>
        <v>11</v>
      </c>
      <c r="D382" s="3">
        <v>45617</v>
      </c>
      <c r="E382" s="1">
        <v>74.23</v>
      </c>
      <c r="F382" s="1">
        <v>70.099999999999994</v>
      </c>
      <c r="G382" s="1">
        <v>2.2744</v>
      </c>
      <c r="H382" s="1">
        <v>2.0594000000000001</v>
      </c>
      <c r="I382" s="1">
        <v>3.339</v>
      </c>
      <c r="J382" s="1">
        <v>5.8144</v>
      </c>
    </row>
    <row r="383" spans="2:10" x14ac:dyDescent="0.3">
      <c r="B383" s="10">
        <f t="shared" si="10"/>
        <v>2024</v>
      </c>
      <c r="C383" s="10">
        <f t="shared" si="11"/>
        <v>11</v>
      </c>
      <c r="D383" s="3">
        <v>45616</v>
      </c>
      <c r="E383" s="1">
        <v>72.81</v>
      </c>
      <c r="F383" s="1">
        <v>68.87</v>
      </c>
      <c r="G383" s="1">
        <v>2.2263000000000002</v>
      </c>
      <c r="H383" s="1">
        <v>2.0457999999999998</v>
      </c>
      <c r="I383" s="1">
        <v>3.1930000000000001</v>
      </c>
      <c r="J383" s="1">
        <v>5.7725</v>
      </c>
    </row>
    <row r="384" spans="2:10" x14ac:dyDescent="0.3">
      <c r="B384" s="10">
        <f t="shared" si="10"/>
        <v>2024</v>
      </c>
      <c r="C384" s="10">
        <f t="shared" si="11"/>
        <v>11</v>
      </c>
      <c r="D384" s="3">
        <v>45615</v>
      </c>
      <c r="E384" s="1">
        <v>73.31</v>
      </c>
      <c r="F384" s="1">
        <v>69.39</v>
      </c>
      <c r="G384" s="1">
        <v>2.2402000000000002</v>
      </c>
      <c r="H384" s="1">
        <v>2.0377000000000001</v>
      </c>
      <c r="I384" s="1">
        <v>2.9980000000000002</v>
      </c>
      <c r="J384" s="1">
        <v>5.7694000000000001</v>
      </c>
    </row>
    <row r="385" spans="2:10" x14ac:dyDescent="0.3">
      <c r="B385" s="10">
        <f t="shared" si="10"/>
        <v>2024</v>
      </c>
      <c r="C385" s="10">
        <f t="shared" si="11"/>
        <v>11</v>
      </c>
      <c r="D385" s="3">
        <v>45614</v>
      </c>
      <c r="E385" s="1">
        <v>73.3</v>
      </c>
      <c r="F385" s="1">
        <v>69.16</v>
      </c>
      <c r="G385" s="1">
        <v>2.2513999999999998</v>
      </c>
      <c r="H385" s="1">
        <v>2.0183</v>
      </c>
      <c r="I385" s="1">
        <v>2.9729999999999999</v>
      </c>
      <c r="J385" s="1">
        <v>5.7473000000000001</v>
      </c>
    </row>
    <row r="386" spans="2:10" x14ac:dyDescent="0.3">
      <c r="B386" s="10">
        <f t="shared" si="10"/>
        <v>2024</v>
      </c>
      <c r="C386" s="10">
        <f t="shared" si="11"/>
        <v>11</v>
      </c>
      <c r="D386" s="3">
        <v>45611</v>
      </c>
      <c r="E386" s="1">
        <v>71.040000000000006</v>
      </c>
      <c r="F386" s="1">
        <v>67.02</v>
      </c>
      <c r="G386" s="1">
        <v>2.1709000000000001</v>
      </c>
      <c r="H386" s="1">
        <v>1.9493</v>
      </c>
      <c r="I386" s="1">
        <v>2.823</v>
      </c>
      <c r="J386" s="1">
        <v>5.7946999999999997</v>
      </c>
    </row>
    <row r="387" spans="2:10" x14ac:dyDescent="0.3">
      <c r="B387" s="10">
        <f t="shared" si="10"/>
        <v>2024</v>
      </c>
      <c r="C387" s="10">
        <f t="shared" si="11"/>
        <v>11</v>
      </c>
      <c r="D387" s="3">
        <v>45610</v>
      </c>
      <c r="E387" s="1">
        <v>72.56</v>
      </c>
      <c r="F387" s="1">
        <v>68.7</v>
      </c>
      <c r="G387" s="1">
        <v>2.2122999999999999</v>
      </c>
      <c r="H387" s="1">
        <v>1.9817</v>
      </c>
      <c r="I387" s="1">
        <v>2.7850000000000001</v>
      </c>
      <c r="J387" s="1">
        <v>5.7889999999999997</v>
      </c>
    </row>
    <row r="388" spans="2:10" x14ac:dyDescent="0.3">
      <c r="B388" s="10">
        <f t="shared" si="10"/>
        <v>2024</v>
      </c>
      <c r="C388" s="10">
        <f t="shared" si="11"/>
        <v>11</v>
      </c>
      <c r="D388" s="3">
        <v>45609</v>
      </c>
      <c r="E388" s="1">
        <v>72.28</v>
      </c>
      <c r="F388" s="1">
        <v>68.430000000000007</v>
      </c>
      <c r="G388" s="1">
        <v>2.2193000000000001</v>
      </c>
      <c r="H388" s="1">
        <v>1.9651000000000001</v>
      </c>
      <c r="I388" s="1">
        <v>2.9830000000000001</v>
      </c>
      <c r="J388" s="1">
        <v>5.8060999999999998</v>
      </c>
    </row>
    <row r="389" spans="2:10" x14ac:dyDescent="0.3">
      <c r="B389" s="10">
        <f t="shared" si="10"/>
        <v>2024</v>
      </c>
      <c r="C389" s="10">
        <f t="shared" si="11"/>
        <v>11</v>
      </c>
      <c r="D389" s="3">
        <v>45608</v>
      </c>
      <c r="E389" s="1">
        <v>71.89</v>
      </c>
      <c r="F389" s="1">
        <v>68.12</v>
      </c>
      <c r="G389" s="1">
        <v>2.2107999999999999</v>
      </c>
      <c r="H389" s="1">
        <v>1.9642999999999999</v>
      </c>
      <c r="I389" s="1">
        <v>2.907</v>
      </c>
      <c r="J389" s="1">
        <v>5.7489999999999997</v>
      </c>
    </row>
    <row r="390" spans="2:10" x14ac:dyDescent="0.3">
      <c r="B390" s="10">
        <f t="shared" ref="B390:B453" si="12">YEAR(D390)</f>
        <v>2024</v>
      </c>
      <c r="C390" s="10">
        <f t="shared" ref="C390:C453" si="13">MONTH(D390)</f>
        <v>11</v>
      </c>
      <c r="D390" s="3">
        <v>45607</v>
      </c>
      <c r="E390" s="1">
        <v>71.83</v>
      </c>
      <c r="F390" s="1">
        <v>68.040000000000006</v>
      </c>
      <c r="G390" s="1">
        <v>2.1976</v>
      </c>
      <c r="H390" s="1">
        <v>1.9570000000000001</v>
      </c>
      <c r="I390" s="1">
        <v>2.92</v>
      </c>
      <c r="J390" s="1">
        <v>5.7558999999999996</v>
      </c>
    </row>
    <row r="391" spans="2:10" x14ac:dyDescent="0.3">
      <c r="B391" s="10">
        <f t="shared" si="12"/>
        <v>2024</v>
      </c>
      <c r="C391" s="10">
        <f t="shared" si="13"/>
        <v>11</v>
      </c>
      <c r="D391" s="3">
        <v>45604</v>
      </c>
      <c r="E391" s="1">
        <v>73.87</v>
      </c>
      <c r="F391" s="1">
        <v>70.38</v>
      </c>
      <c r="G391" s="1">
        <v>2.2389000000000001</v>
      </c>
      <c r="H391" s="1">
        <v>2.0125000000000002</v>
      </c>
      <c r="I391" s="1">
        <v>2.669</v>
      </c>
      <c r="J391" s="1">
        <v>5.7375999999999996</v>
      </c>
    </row>
    <row r="392" spans="2:10" x14ac:dyDescent="0.3">
      <c r="B392" s="10">
        <f t="shared" si="12"/>
        <v>2024</v>
      </c>
      <c r="C392" s="10">
        <f t="shared" si="13"/>
        <v>11</v>
      </c>
      <c r="D392" s="3">
        <v>45603</v>
      </c>
      <c r="E392" s="1">
        <v>75.63</v>
      </c>
      <c r="F392" s="1">
        <v>72.36</v>
      </c>
      <c r="G392" s="1">
        <v>2.2864</v>
      </c>
      <c r="H392" s="1">
        <v>2.0535999999999999</v>
      </c>
      <c r="I392" s="1">
        <v>2.6930000000000001</v>
      </c>
      <c r="J392" s="1">
        <v>5.6923000000000004</v>
      </c>
    </row>
    <row r="393" spans="2:10" x14ac:dyDescent="0.3">
      <c r="B393" s="10">
        <f t="shared" si="12"/>
        <v>2024</v>
      </c>
      <c r="C393" s="10">
        <f t="shared" si="13"/>
        <v>11</v>
      </c>
      <c r="D393" s="3">
        <v>45602</v>
      </c>
      <c r="E393" s="1">
        <v>74.92</v>
      </c>
      <c r="F393" s="1">
        <v>71.69</v>
      </c>
      <c r="G393" s="1">
        <v>2.27</v>
      </c>
      <c r="H393" s="1">
        <v>2.0354000000000001</v>
      </c>
      <c r="I393" s="1">
        <v>2.7469999999999999</v>
      </c>
      <c r="J393" s="1">
        <v>5.6792999999999996</v>
      </c>
    </row>
    <row r="394" spans="2:10" x14ac:dyDescent="0.3">
      <c r="B394" s="10">
        <f t="shared" si="12"/>
        <v>2024</v>
      </c>
      <c r="C394" s="10">
        <f t="shared" si="13"/>
        <v>11</v>
      </c>
      <c r="D394" s="3">
        <v>45601</v>
      </c>
      <c r="E394" s="1">
        <v>75.53</v>
      </c>
      <c r="F394" s="1">
        <v>71.989999999999995</v>
      </c>
      <c r="G394" s="1">
        <v>2.3041999999999998</v>
      </c>
      <c r="H394" s="1">
        <v>2.0446</v>
      </c>
      <c r="I394" s="1">
        <v>2.67</v>
      </c>
      <c r="J394" s="1">
        <v>5.7507999999999999</v>
      </c>
    </row>
    <row r="395" spans="2:10" x14ac:dyDescent="0.3">
      <c r="B395" s="10">
        <f t="shared" si="12"/>
        <v>2024</v>
      </c>
      <c r="C395" s="10">
        <f t="shared" si="13"/>
        <v>11</v>
      </c>
      <c r="D395" s="3">
        <v>45600</v>
      </c>
      <c r="E395" s="1">
        <v>75.08</v>
      </c>
      <c r="F395" s="1">
        <v>71.47</v>
      </c>
      <c r="G395" s="1">
        <v>2.2841</v>
      </c>
      <c r="H395" s="1">
        <v>2.0192000000000001</v>
      </c>
      <c r="I395" s="1">
        <v>2.7810000000000001</v>
      </c>
      <c r="J395" s="1">
        <v>5.7915999999999999</v>
      </c>
    </row>
    <row r="396" spans="2:10" x14ac:dyDescent="0.3">
      <c r="B396" s="10">
        <f t="shared" si="12"/>
        <v>2024</v>
      </c>
      <c r="C396" s="10">
        <f t="shared" si="13"/>
        <v>11</v>
      </c>
      <c r="D396" s="3">
        <v>45597</v>
      </c>
      <c r="E396" s="1">
        <v>73.099999999999994</v>
      </c>
      <c r="F396" s="1">
        <v>69.489999999999995</v>
      </c>
      <c r="G396" s="1">
        <v>2.2342</v>
      </c>
      <c r="H396" s="1">
        <v>1.9664999999999999</v>
      </c>
      <c r="I396" s="1">
        <v>2.6629999999999998</v>
      </c>
      <c r="J396" s="1">
        <v>5.8681000000000001</v>
      </c>
    </row>
    <row r="397" spans="2:10" x14ac:dyDescent="0.3">
      <c r="B397" s="10">
        <f t="shared" si="12"/>
        <v>2024</v>
      </c>
      <c r="C397" s="10">
        <f t="shared" si="13"/>
        <v>10</v>
      </c>
      <c r="D397" s="3">
        <v>45596</v>
      </c>
      <c r="E397" s="1">
        <v>73.16</v>
      </c>
      <c r="F397" s="1">
        <v>69.260000000000005</v>
      </c>
      <c r="G397" s="1">
        <v>2.2195</v>
      </c>
      <c r="H397" s="1">
        <v>2.0034999999999998</v>
      </c>
      <c r="I397" s="1">
        <v>2.7069999999999999</v>
      </c>
      <c r="J397" s="1">
        <v>5.7866999999999997</v>
      </c>
    </row>
    <row r="398" spans="2:10" x14ac:dyDescent="0.3">
      <c r="B398" s="10">
        <f t="shared" si="12"/>
        <v>2024</v>
      </c>
      <c r="C398" s="10">
        <f t="shared" si="13"/>
        <v>10</v>
      </c>
      <c r="D398" s="3">
        <v>45595</v>
      </c>
      <c r="E398" s="1">
        <v>72.55</v>
      </c>
      <c r="F398" s="1">
        <v>68.61</v>
      </c>
      <c r="G398" s="1">
        <v>2.1876000000000002</v>
      </c>
      <c r="H398" s="1">
        <v>1.9957</v>
      </c>
      <c r="I398" s="1">
        <v>2.8450000000000002</v>
      </c>
      <c r="J398" s="1">
        <v>5.7629999999999999</v>
      </c>
    </row>
    <row r="399" spans="2:10" x14ac:dyDescent="0.3">
      <c r="B399" s="10">
        <f t="shared" si="12"/>
        <v>2024</v>
      </c>
      <c r="C399" s="10">
        <f t="shared" si="13"/>
        <v>10</v>
      </c>
      <c r="D399" s="3">
        <v>45594</v>
      </c>
      <c r="E399" s="1">
        <v>71.12</v>
      </c>
      <c r="F399" s="1">
        <v>67.209999999999994</v>
      </c>
      <c r="G399" s="1">
        <v>2.1337000000000002</v>
      </c>
      <c r="H399" s="1">
        <v>1.9518</v>
      </c>
      <c r="I399" s="1">
        <v>2.3460000000000001</v>
      </c>
      <c r="J399" s="1">
        <v>5.7603999999999997</v>
      </c>
    </row>
    <row r="400" spans="2:10" x14ac:dyDescent="0.3">
      <c r="B400" s="10">
        <f t="shared" si="12"/>
        <v>2024</v>
      </c>
      <c r="C400" s="10">
        <f t="shared" si="13"/>
        <v>10</v>
      </c>
      <c r="D400" s="3">
        <v>45593</v>
      </c>
      <c r="E400" s="1">
        <v>71.42</v>
      </c>
      <c r="F400" s="1">
        <v>67.38</v>
      </c>
      <c r="G400" s="1">
        <v>2.1286</v>
      </c>
      <c r="H400" s="1">
        <v>1.9663999999999999</v>
      </c>
      <c r="I400" s="1">
        <v>2.3090000000000002</v>
      </c>
      <c r="J400" s="1">
        <v>5.7096</v>
      </c>
    </row>
    <row r="401" spans="2:10" x14ac:dyDescent="0.3">
      <c r="B401" s="10">
        <f t="shared" si="12"/>
        <v>2024</v>
      </c>
      <c r="C401" s="10">
        <f t="shared" si="13"/>
        <v>10</v>
      </c>
      <c r="D401" s="3">
        <v>45590</v>
      </c>
      <c r="E401" s="1">
        <v>76.05</v>
      </c>
      <c r="F401" s="1">
        <v>71.78</v>
      </c>
      <c r="G401" s="1">
        <v>2.2381000000000002</v>
      </c>
      <c r="H401" s="1">
        <v>2.0785</v>
      </c>
      <c r="I401" s="1">
        <v>2.56</v>
      </c>
      <c r="J401" s="1">
        <v>5.7073</v>
      </c>
    </row>
    <row r="402" spans="2:10" x14ac:dyDescent="0.3">
      <c r="B402" s="10">
        <f t="shared" si="12"/>
        <v>2024</v>
      </c>
      <c r="C402" s="10">
        <f t="shared" si="13"/>
        <v>10</v>
      </c>
      <c r="D402" s="3">
        <v>45589</v>
      </c>
      <c r="E402" s="1">
        <v>74.38</v>
      </c>
      <c r="F402" s="1">
        <v>70.19</v>
      </c>
      <c r="G402" s="1">
        <v>2.2023000000000001</v>
      </c>
      <c r="H402" s="1">
        <v>2.0276999999999998</v>
      </c>
      <c r="I402" s="1">
        <v>2.5219999999999998</v>
      </c>
      <c r="J402" s="1">
        <v>5.6642999999999999</v>
      </c>
    </row>
    <row r="403" spans="2:10" x14ac:dyDescent="0.3">
      <c r="B403" s="10">
        <f t="shared" si="12"/>
        <v>2024</v>
      </c>
      <c r="C403" s="10">
        <f t="shared" si="13"/>
        <v>10</v>
      </c>
      <c r="D403" s="3">
        <v>45588</v>
      </c>
      <c r="E403" s="1">
        <v>74.959999999999994</v>
      </c>
      <c r="F403" s="1">
        <v>70.77</v>
      </c>
      <c r="G403" s="1">
        <v>2.2216</v>
      </c>
      <c r="H403" s="1">
        <v>2.0413999999999999</v>
      </c>
      <c r="I403" s="1">
        <v>2.3420000000000001</v>
      </c>
      <c r="J403" s="1">
        <v>5.6883999999999997</v>
      </c>
    </row>
    <row r="404" spans="2:10" x14ac:dyDescent="0.3">
      <c r="B404" s="10">
        <f t="shared" si="12"/>
        <v>2024</v>
      </c>
      <c r="C404" s="10">
        <f t="shared" si="13"/>
        <v>10</v>
      </c>
      <c r="D404" s="3">
        <v>45587</v>
      </c>
      <c r="E404" s="1">
        <v>76.040000000000006</v>
      </c>
      <c r="F404" s="1">
        <v>72.09</v>
      </c>
      <c r="G404" s="1">
        <v>2.2370000000000001</v>
      </c>
      <c r="H404" s="1">
        <v>2.0714999999999999</v>
      </c>
      <c r="I404" s="1">
        <v>2.3109999999999999</v>
      </c>
      <c r="J404" s="1">
        <v>5.6894</v>
      </c>
    </row>
    <row r="405" spans="2:10" x14ac:dyDescent="0.3">
      <c r="B405" s="10">
        <f t="shared" si="12"/>
        <v>2024</v>
      </c>
      <c r="C405" s="10">
        <f t="shared" si="13"/>
        <v>10</v>
      </c>
      <c r="D405" s="3">
        <v>45586</v>
      </c>
      <c r="E405" s="1">
        <v>74.290000000000006</v>
      </c>
      <c r="F405" s="1">
        <v>70.56</v>
      </c>
      <c r="G405" s="1">
        <v>2.1833</v>
      </c>
      <c r="H405" s="1">
        <v>2.0146999999999999</v>
      </c>
      <c r="I405" s="1">
        <v>2.3119999999999998</v>
      </c>
      <c r="J405" s="1">
        <v>5.6939000000000002</v>
      </c>
    </row>
    <row r="406" spans="2:10" x14ac:dyDescent="0.3">
      <c r="B406" s="10">
        <f t="shared" si="12"/>
        <v>2024</v>
      </c>
      <c r="C406" s="10">
        <f t="shared" si="13"/>
        <v>10</v>
      </c>
      <c r="D406" s="3">
        <v>45583</v>
      </c>
      <c r="E406" s="1">
        <v>73.06</v>
      </c>
      <c r="F406" s="1">
        <v>69.22</v>
      </c>
      <c r="G406" s="1">
        <v>2.1522000000000001</v>
      </c>
      <c r="H406" s="1">
        <v>2.0019999999999998</v>
      </c>
      <c r="I406" s="1">
        <v>2.258</v>
      </c>
      <c r="J406" s="1">
        <v>5.6912000000000003</v>
      </c>
    </row>
    <row r="407" spans="2:10" x14ac:dyDescent="0.3">
      <c r="B407" s="10">
        <f t="shared" si="12"/>
        <v>2024</v>
      </c>
      <c r="C407" s="10">
        <f t="shared" si="13"/>
        <v>10</v>
      </c>
      <c r="D407" s="3">
        <v>45582</v>
      </c>
      <c r="E407" s="1">
        <v>74.45</v>
      </c>
      <c r="F407" s="1">
        <v>70.67</v>
      </c>
      <c r="G407" s="1">
        <v>2.1945000000000001</v>
      </c>
      <c r="H407" s="1">
        <v>2.0468000000000002</v>
      </c>
      <c r="I407" s="1">
        <v>2.347</v>
      </c>
      <c r="J407" s="1">
        <v>5.6546000000000003</v>
      </c>
    </row>
    <row r="408" spans="2:10" x14ac:dyDescent="0.3">
      <c r="B408" s="10">
        <f t="shared" si="12"/>
        <v>2024</v>
      </c>
      <c r="C408" s="10">
        <f t="shared" si="13"/>
        <v>10</v>
      </c>
      <c r="D408" s="3">
        <v>45581</v>
      </c>
      <c r="E408" s="1">
        <v>74.22</v>
      </c>
      <c r="F408" s="1">
        <v>70.39</v>
      </c>
      <c r="G408" s="1">
        <v>2.1747000000000001</v>
      </c>
      <c r="H408" s="1">
        <v>2.0402999999999998</v>
      </c>
      <c r="I408" s="1">
        <v>2.367</v>
      </c>
      <c r="J408" s="1">
        <v>5.6651999999999996</v>
      </c>
    </row>
    <row r="409" spans="2:10" x14ac:dyDescent="0.3">
      <c r="B409" s="10">
        <f t="shared" si="12"/>
        <v>2024</v>
      </c>
      <c r="C409" s="10">
        <f t="shared" si="13"/>
        <v>10</v>
      </c>
      <c r="D409" s="3">
        <v>45580</v>
      </c>
      <c r="E409" s="1">
        <v>74.25</v>
      </c>
      <c r="F409" s="1">
        <v>70.58</v>
      </c>
      <c r="G409" s="1">
        <v>2.1877</v>
      </c>
      <c r="H409" s="1">
        <v>2.0377000000000001</v>
      </c>
      <c r="I409" s="1">
        <v>2.4980000000000002</v>
      </c>
      <c r="J409" s="1">
        <v>5.6501999999999999</v>
      </c>
    </row>
    <row r="410" spans="2:10" x14ac:dyDescent="0.3">
      <c r="B410" s="10">
        <f t="shared" si="12"/>
        <v>2024</v>
      </c>
      <c r="C410" s="10">
        <f t="shared" si="13"/>
        <v>10</v>
      </c>
      <c r="D410" s="3">
        <v>45579</v>
      </c>
      <c r="E410" s="1">
        <v>77.459999999999994</v>
      </c>
      <c r="F410" s="1">
        <v>73.83</v>
      </c>
      <c r="G410" s="1">
        <v>2.2742</v>
      </c>
      <c r="H410" s="1">
        <v>2.1086</v>
      </c>
      <c r="I410" s="1">
        <v>2.4940000000000002</v>
      </c>
      <c r="J410" s="1">
        <v>5.5928000000000004</v>
      </c>
    </row>
    <row r="411" spans="2:10" x14ac:dyDescent="0.3">
      <c r="B411" s="10">
        <f t="shared" si="12"/>
        <v>2024</v>
      </c>
      <c r="C411" s="10">
        <f t="shared" si="13"/>
        <v>10</v>
      </c>
      <c r="D411" s="3">
        <v>45576</v>
      </c>
      <c r="E411" s="1">
        <v>79.040000000000006</v>
      </c>
      <c r="F411" s="1">
        <v>75.56</v>
      </c>
      <c r="G411" s="1">
        <v>2.3439000000000001</v>
      </c>
      <c r="H411" s="1">
        <v>2.1516000000000002</v>
      </c>
      <c r="I411" s="1">
        <v>2.6320000000000001</v>
      </c>
      <c r="J411" s="1">
        <v>5.6125999999999996</v>
      </c>
    </row>
    <row r="412" spans="2:10" x14ac:dyDescent="0.3">
      <c r="B412" s="10">
        <f t="shared" si="12"/>
        <v>2024</v>
      </c>
      <c r="C412" s="10">
        <f t="shared" si="13"/>
        <v>10</v>
      </c>
      <c r="D412" s="3">
        <v>45575</v>
      </c>
      <c r="E412" s="1">
        <v>79.400000000000006</v>
      </c>
      <c r="F412" s="1">
        <v>75.849999999999994</v>
      </c>
      <c r="G412" s="1">
        <v>2.3509000000000002</v>
      </c>
      <c r="H412" s="1">
        <v>2.1509</v>
      </c>
      <c r="I412" s="1">
        <v>2.6749999999999998</v>
      </c>
      <c r="J412" s="1">
        <v>5.5820999999999996</v>
      </c>
    </row>
    <row r="413" spans="2:10" x14ac:dyDescent="0.3">
      <c r="B413" s="10">
        <f t="shared" si="12"/>
        <v>2024</v>
      </c>
      <c r="C413" s="10">
        <f t="shared" si="13"/>
        <v>10</v>
      </c>
      <c r="D413" s="3">
        <v>45574</v>
      </c>
      <c r="E413" s="1">
        <v>76.58</v>
      </c>
      <c r="F413" s="1">
        <v>73.239999999999995</v>
      </c>
      <c r="G413" s="1">
        <v>2.2768999999999999</v>
      </c>
      <c r="H413" s="1">
        <v>2.0663999999999998</v>
      </c>
      <c r="I413" s="1">
        <v>2.66</v>
      </c>
      <c r="J413" s="1">
        <v>5.5941000000000001</v>
      </c>
    </row>
    <row r="414" spans="2:10" x14ac:dyDescent="0.3">
      <c r="B414" s="10">
        <f t="shared" si="12"/>
        <v>2024</v>
      </c>
      <c r="C414" s="10">
        <f t="shared" si="13"/>
        <v>10</v>
      </c>
      <c r="D414" s="3">
        <v>45573</v>
      </c>
      <c r="E414" s="1">
        <v>77.180000000000007</v>
      </c>
      <c r="F414" s="1">
        <v>73.569999999999993</v>
      </c>
      <c r="G414" s="1">
        <v>2.2972000000000001</v>
      </c>
      <c r="H414" s="1">
        <v>2.0680999999999998</v>
      </c>
      <c r="I414" s="1">
        <v>2.7330000000000001</v>
      </c>
      <c r="J414" s="1">
        <v>5.5349000000000004</v>
      </c>
    </row>
    <row r="415" spans="2:10" x14ac:dyDescent="0.3">
      <c r="B415" s="10">
        <f t="shared" si="12"/>
        <v>2024</v>
      </c>
      <c r="C415" s="10">
        <f t="shared" si="13"/>
        <v>10</v>
      </c>
      <c r="D415" s="3">
        <v>45572</v>
      </c>
      <c r="E415" s="1">
        <v>80.930000000000007</v>
      </c>
      <c r="F415" s="1">
        <v>77.14</v>
      </c>
      <c r="G415" s="1">
        <v>2.3961999999999999</v>
      </c>
      <c r="H415" s="1">
        <v>2.1537999999999999</v>
      </c>
      <c r="I415" s="1">
        <v>2.746</v>
      </c>
      <c r="J415" s="1">
        <v>5.49</v>
      </c>
    </row>
    <row r="416" spans="2:10" x14ac:dyDescent="0.3">
      <c r="B416" s="10">
        <f t="shared" si="12"/>
        <v>2024</v>
      </c>
      <c r="C416" s="10">
        <f t="shared" si="13"/>
        <v>10</v>
      </c>
      <c r="D416" s="3">
        <v>45569</v>
      </c>
      <c r="E416" s="1">
        <v>78.05</v>
      </c>
      <c r="F416" s="1">
        <v>74.38</v>
      </c>
      <c r="G416" s="1">
        <v>2.3127</v>
      </c>
      <c r="H416" s="1">
        <v>2.0958000000000001</v>
      </c>
      <c r="I416" s="1">
        <v>2.8540000000000001</v>
      </c>
      <c r="J416" s="1">
        <v>5.4554999999999998</v>
      </c>
    </row>
    <row r="417" spans="2:10" x14ac:dyDescent="0.3">
      <c r="B417" s="10">
        <f t="shared" si="12"/>
        <v>2024</v>
      </c>
      <c r="C417" s="10">
        <f t="shared" si="13"/>
        <v>10</v>
      </c>
      <c r="D417" s="3">
        <v>45568</v>
      </c>
      <c r="E417" s="1">
        <v>77.62</v>
      </c>
      <c r="F417" s="1">
        <v>73.709999999999994</v>
      </c>
      <c r="G417" s="1">
        <v>2.2947000000000002</v>
      </c>
      <c r="H417" s="1">
        <v>2.0926</v>
      </c>
      <c r="I417" s="1">
        <v>2.97</v>
      </c>
      <c r="J417" s="1">
        <v>5.4759000000000002</v>
      </c>
    </row>
    <row r="418" spans="2:10" x14ac:dyDescent="0.3">
      <c r="B418" s="10">
        <f t="shared" si="12"/>
        <v>2024</v>
      </c>
      <c r="C418" s="10">
        <f t="shared" si="13"/>
        <v>10</v>
      </c>
      <c r="D418" s="3">
        <v>45567</v>
      </c>
      <c r="E418" s="1">
        <v>73.900000000000006</v>
      </c>
      <c r="F418" s="1">
        <v>70.099999999999994</v>
      </c>
      <c r="G418" s="1">
        <v>2.1821000000000002</v>
      </c>
      <c r="H418" s="1">
        <v>1.9859</v>
      </c>
      <c r="I418" s="1">
        <v>2.8860000000000001</v>
      </c>
      <c r="J418" s="1">
        <v>5.4406999999999996</v>
      </c>
    </row>
    <row r="419" spans="2:10" x14ac:dyDescent="0.3">
      <c r="B419" s="10">
        <f t="shared" si="12"/>
        <v>2024</v>
      </c>
      <c r="C419" s="10">
        <f t="shared" si="13"/>
        <v>10</v>
      </c>
      <c r="D419" s="3">
        <v>45566</v>
      </c>
      <c r="E419" s="1">
        <v>73.56</v>
      </c>
      <c r="F419" s="1">
        <v>69.83</v>
      </c>
      <c r="G419" s="1">
        <v>2.1741999999999999</v>
      </c>
      <c r="H419" s="1">
        <v>1.9665999999999999</v>
      </c>
      <c r="I419" s="1">
        <v>2.8959999999999999</v>
      </c>
      <c r="J419" s="1">
        <v>5.4367999999999999</v>
      </c>
    </row>
    <row r="420" spans="2:10" x14ac:dyDescent="0.3">
      <c r="B420" s="10">
        <f t="shared" si="12"/>
        <v>2024</v>
      </c>
      <c r="C420" s="10">
        <f t="shared" si="13"/>
        <v>9</v>
      </c>
      <c r="D420" s="3">
        <v>45565</v>
      </c>
      <c r="E420" s="1">
        <v>71.77</v>
      </c>
      <c r="F420" s="1">
        <v>68.17</v>
      </c>
      <c r="G420" s="1">
        <v>2.1318000000000001</v>
      </c>
      <c r="H420" s="1">
        <v>1.9621</v>
      </c>
      <c r="I420" s="1">
        <v>2.923</v>
      </c>
      <c r="J420" s="1">
        <v>5.4481999999999999</v>
      </c>
    </row>
    <row r="421" spans="2:10" x14ac:dyDescent="0.3">
      <c r="B421" s="10">
        <f t="shared" si="12"/>
        <v>2024</v>
      </c>
      <c r="C421" s="10">
        <f t="shared" si="13"/>
        <v>9</v>
      </c>
      <c r="D421" s="3">
        <v>45562</v>
      </c>
      <c r="E421" s="1">
        <v>71.98</v>
      </c>
      <c r="F421" s="1">
        <v>68.180000000000007</v>
      </c>
      <c r="G421" s="1">
        <v>2.1326999999999998</v>
      </c>
      <c r="H421" s="1">
        <v>1.9530000000000001</v>
      </c>
      <c r="I421" s="1">
        <v>2.9020000000000001</v>
      </c>
      <c r="J421" s="1">
        <v>5.4329000000000001</v>
      </c>
    </row>
    <row r="422" spans="2:10" x14ac:dyDescent="0.3">
      <c r="B422" s="10">
        <f t="shared" si="12"/>
        <v>2024</v>
      </c>
      <c r="C422" s="10">
        <f t="shared" si="13"/>
        <v>9</v>
      </c>
      <c r="D422" s="3">
        <v>45561</v>
      </c>
      <c r="E422" s="1">
        <v>71.599999999999994</v>
      </c>
      <c r="F422" s="1">
        <v>67.67</v>
      </c>
      <c r="G422" s="1">
        <v>2.1360999999999999</v>
      </c>
      <c r="H422" s="1">
        <v>1.9613</v>
      </c>
      <c r="I422" s="1">
        <v>2.585</v>
      </c>
      <c r="J422" s="1">
        <v>5.4375</v>
      </c>
    </row>
    <row r="423" spans="2:10" x14ac:dyDescent="0.3">
      <c r="B423" s="10">
        <f t="shared" si="12"/>
        <v>2024</v>
      </c>
      <c r="C423" s="10">
        <f t="shared" si="13"/>
        <v>9</v>
      </c>
      <c r="D423" s="3">
        <v>45560</v>
      </c>
      <c r="E423" s="1">
        <v>73.459999999999994</v>
      </c>
      <c r="F423" s="1">
        <v>69.69</v>
      </c>
      <c r="G423" s="1">
        <v>2.1602000000000001</v>
      </c>
      <c r="H423" s="1">
        <v>1.9999</v>
      </c>
      <c r="I423" s="1">
        <v>2.637</v>
      </c>
      <c r="J423" s="1">
        <v>5.4774000000000003</v>
      </c>
    </row>
    <row r="424" spans="2:10" x14ac:dyDescent="0.3">
      <c r="B424" s="10">
        <f t="shared" si="12"/>
        <v>2024</v>
      </c>
      <c r="C424" s="10">
        <f t="shared" si="13"/>
        <v>9</v>
      </c>
      <c r="D424" s="3">
        <v>45559</v>
      </c>
      <c r="E424" s="1">
        <v>75.17</v>
      </c>
      <c r="F424" s="1">
        <v>71.56</v>
      </c>
      <c r="G424" s="1">
        <v>2.1804999999999999</v>
      </c>
      <c r="H424" s="1">
        <v>2.0297000000000001</v>
      </c>
      <c r="I424" s="1">
        <v>2.5510000000000002</v>
      </c>
      <c r="J424" s="1">
        <v>5.4546999999999999</v>
      </c>
    </row>
    <row r="425" spans="2:10" x14ac:dyDescent="0.3">
      <c r="B425" s="10">
        <f t="shared" si="12"/>
        <v>2024</v>
      </c>
      <c r="C425" s="10">
        <f t="shared" si="13"/>
        <v>9</v>
      </c>
      <c r="D425" s="3">
        <v>45558</v>
      </c>
      <c r="E425" s="1">
        <v>73.900000000000006</v>
      </c>
      <c r="F425" s="1">
        <v>70.37</v>
      </c>
      <c r="G425" s="1">
        <v>2.1450999999999998</v>
      </c>
      <c r="H425" s="1">
        <v>1.9902</v>
      </c>
      <c r="I425" s="1">
        <v>2.613</v>
      </c>
      <c r="J425" s="1">
        <v>5.5364000000000004</v>
      </c>
    </row>
    <row r="426" spans="2:10" x14ac:dyDescent="0.3">
      <c r="B426" s="10">
        <f t="shared" si="12"/>
        <v>2024</v>
      </c>
      <c r="C426" s="10">
        <f t="shared" si="13"/>
        <v>9</v>
      </c>
      <c r="D426" s="3">
        <v>45555</v>
      </c>
      <c r="E426" s="1">
        <v>74.489999999999995</v>
      </c>
      <c r="F426" s="1">
        <v>71.92</v>
      </c>
      <c r="G426" s="1">
        <v>2.1615000000000002</v>
      </c>
      <c r="H426" s="1">
        <v>2.0364</v>
      </c>
      <c r="I426" s="1">
        <v>2.4340000000000002</v>
      </c>
      <c r="J426" s="1">
        <v>5.5103</v>
      </c>
    </row>
    <row r="427" spans="2:10" x14ac:dyDescent="0.3">
      <c r="B427" s="10">
        <f t="shared" si="12"/>
        <v>2024</v>
      </c>
      <c r="C427" s="10">
        <f t="shared" si="13"/>
        <v>9</v>
      </c>
      <c r="D427" s="3">
        <v>45554</v>
      </c>
      <c r="E427" s="1">
        <v>74.88</v>
      </c>
      <c r="F427" s="1">
        <v>71.95</v>
      </c>
      <c r="G427" s="1">
        <v>2.1720000000000002</v>
      </c>
      <c r="H427" s="1">
        <v>2.06</v>
      </c>
      <c r="I427" s="1">
        <v>2.3479999999999999</v>
      </c>
      <c r="J427" s="1">
        <v>5.4263000000000003</v>
      </c>
    </row>
    <row r="428" spans="2:10" x14ac:dyDescent="0.3">
      <c r="B428" s="10">
        <f t="shared" si="12"/>
        <v>2024</v>
      </c>
      <c r="C428" s="10">
        <f t="shared" si="13"/>
        <v>9</v>
      </c>
      <c r="D428" s="3">
        <v>45553</v>
      </c>
      <c r="E428" s="1">
        <v>73.650000000000006</v>
      </c>
      <c r="F428" s="1">
        <v>70.91</v>
      </c>
      <c r="G428" s="1">
        <v>2.1475</v>
      </c>
      <c r="H428" s="1">
        <v>2.0106999999999999</v>
      </c>
      <c r="I428" s="1">
        <v>2.2839999999999998</v>
      </c>
      <c r="J428" s="1">
        <v>5.4611999999999998</v>
      </c>
    </row>
    <row r="429" spans="2:10" x14ac:dyDescent="0.3">
      <c r="B429" s="10">
        <f t="shared" si="12"/>
        <v>2024</v>
      </c>
      <c r="C429" s="10">
        <f t="shared" si="13"/>
        <v>9</v>
      </c>
      <c r="D429" s="3">
        <v>45552</v>
      </c>
      <c r="E429" s="1">
        <v>73.7</v>
      </c>
      <c r="F429" s="1">
        <v>71.19</v>
      </c>
      <c r="G429" s="1">
        <v>2.1366999999999998</v>
      </c>
      <c r="H429" s="1">
        <v>2.0019</v>
      </c>
      <c r="I429" s="1">
        <v>2.3239999999999998</v>
      </c>
      <c r="J429" s="1">
        <v>5.4824999999999999</v>
      </c>
    </row>
    <row r="430" spans="2:10" x14ac:dyDescent="0.3">
      <c r="B430" s="10">
        <f t="shared" si="12"/>
        <v>2024</v>
      </c>
      <c r="C430" s="10">
        <f t="shared" si="13"/>
        <v>9</v>
      </c>
      <c r="D430" s="3">
        <v>45551</v>
      </c>
      <c r="E430" s="1">
        <v>72.75</v>
      </c>
      <c r="F430" s="1">
        <v>70.09</v>
      </c>
      <c r="G430" s="1">
        <v>2.0968</v>
      </c>
      <c r="H430" s="1">
        <v>1.9681999999999999</v>
      </c>
      <c r="I430" s="1">
        <v>2.3730000000000002</v>
      </c>
      <c r="J430" s="1">
        <v>5.51</v>
      </c>
    </row>
    <row r="431" spans="2:10" x14ac:dyDescent="0.3">
      <c r="B431" s="10">
        <f t="shared" si="12"/>
        <v>2024</v>
      </c>
      <c r="C431" s="10">
        <f t="shared" si="13"/>
        <v>9</v>
      </c>
      <c r="D431" s="3">
        <v>45548</v>
      </c>
      <c r="E431" s="1">
        <v>71.61</v>
      </c>
      <c r="F431" s="1">
        <v>68.650000000000006</v>
      </c>
      <c r="G431" s="1">
        <v>2.0842999999999998</v>
      </c>
      <c r="H431" s="1">
        <v>1.9301999999999999</v>
      </c>
      <c r="I431" s="1">
        <v>2.3050000000000002</v>
      </c>
      <c r="J431" s="1">
        <v>5.5640000000000001</v>
      </c>
    </row>
    <row r="432" spans="2:10" x14ac:dyDescent="0.3">
      <c r="B432" s="10">
        <f t="shared" si="12"/>
        <v>2024</v>
      </c>
      <c r="C432" s="10">
        <f t="shared" si="13"/>
        <v>9</v>
      </c>
      <c r="D432" s="3">
        <v>45547</v>
      </c>
      <c r="E432" s="1">
        <v>71.97</v>
      </c>
      <c r="F432" s="1">
        <v>68.97</v>
      </c>
      <c r="G432" s="1">
        <v>2.1187999999999998</v>
      </c>
      <c r="H432" s="1">
        <v>1.927</v>
      </c>
      <c r="I432" s="1">
        <v>2.3570000000000002</v>
      </c>
      <c r="J432" s="1">
        <v>5.6276000000000002</v>
      </c>
    </row>
    <row r="433" spans="2:10" x14ac:dyDescent="0.3">
      <c r="B433" s="10">
        <f t="shared" si="12"/>
        <v>2024</v>
      </c>
      <c r="C433" s="10">
        <f t="shared" si="13"/>
        <v>9</v>
      </c>
      <c r="D433" s="3">
        <v>45546</v>
      </c>
      <c r="E433" s="1">
        <v>70.61</v>
      </c>
      <c r="F433" s="1">
        <v>67.31</v>
      </c>
      <c r="G433" s="1">
        <v>2.0916999999999999</v>
      </c>
      <c r="H433" s="1">
        <v>1.8972</v>
      </c>
      <c r="I433" s="1">
        <v>2.27</v>
      </c>
      <c r="J433" s="1">
        <v>5.6618000000000004</v>
      </c>
    </row>
    <row r="434" spans="2:10" x14ac:dyDescent="0.3">
      <c r="B434" s="10">
        <f t="shared" si="12"/>
        <v>2024</v>
      </c>
      <c r="C434" s="10">
        <f t="shared" si="13"/>
        <v>9</v>
      </c>
      <c r="D434" s="3">
        <v>45545</v>
      </c>
      <c r="E434" s="1">
        <v>69.19</v>
      </c>
      <c r="F434" s="1">
        <v>65.75</v>
      </c>
      <c r="G434" s="1">
        <v>2.0579999999999998</v>
      </c>
      <c r="H434" s="1">
        <v>1.87</v>
      </c>
      <c r="I434" s="1">
        <v>2.2320000000000002</v>
      </c>
      <c r="J434" s="1">
        <v>5.6581999999999999</v>
      </c>
    </row>
    <row r="435" spans="2:10" x14ac:dyDescent="0.3">
      <c r="B435" s="10">
        <f t="shared" si="12"/>
        <v>2024</v>
      </c>
      <c r="C435" s="10">
        <f t="shared" si="13"/>
        <v>9</v>
      </c>
      <c r="D435" s="3">
        <v>45544</v>
      </c>
      <c r="E435" s="1">
        <v>71.84</v>
      </c>
      <c r="F435" s="1">
        <v>68.709999999999994</v>
      </c>
      <c r="G435" s="1">
        <v>2.1394000000000002</v>
      </c>
      <c r="H435" s="1">
        <v>1.9204000000000001</v>
      </c>
      <c r="I435" s="1">
        <v>2.17</v>
      </c>
      <c r="J435" s="1">
        <v>5.5842000000000001</v>
      </c>
    </row>
    <row r="436" spans="2:10" x14ac:dyDescent="0.3">
      <c r="B436" s="10">
        <f t="shared" si="12"/>
        <v>2024</v>
      </c>
      <c r="C436" s="10">
        <f t="shared" si="13"/>
        <v>9</v>
      </c>
      <c r="D436" s="3">
        <v>45541</v>
      </c>
      <c r="E436" s="1">
        <v>71.06</v>
      </c>
      <c r="F436" s="1">
        <v>67.67</v>
      </c>
      <c r="G436" s="1">
        <v>2.1150000000000002</v>
      </c>
      <c r="H436" s="1">
        <v>1.8959999999999999</v>
      </c>
      <c r="I436" s="1">
        <v>2.2749999999999999</v>
      </c>
      <c r="J436" s="1">
        <v>5.5990000000000002</v>
      </c>
    </row>
    <row r="437" spans="2:10" x14ac:dyDescent="0.3">
      <c r="B437" s="10">
        <f t="shared" si="12"/>
        <v>2024</v>
      </c>
      <c r="C437" s="10">
        <f t="shared" si="13"/>
        <v>9</v>
      </c>
      <c r="D437" s="3">
        <v>45540</v>
      </c>
      <c r="E437" s="1">
        <v>72.69</v>
      </c>
      <c r="F437" s="1">
        <v>69.150000000000006</v>
      </c>
      <c r="G437" s="1">
        <v>2.1688999999999998</v>
      </c>
      <c r="H437" s="1">
        <v>1.9258</v>
      </c>
      <c r="I437" s="1">
        <v>2.254</v>
      </c>
      <c r="J437" s="1">
        <v>5.5740999999999996</v>
      </c>
    </row>
    <row r="438" spans="2:10" x14ac:dyDescent="0.3">
      <c r="B438" s="10">
        <f t="shared" si="12"/>
        <v>2024</v>
      </c>
      <c r="C438" s="10">
        <f t="shared" si="13"/>
        <v>9</v>
      </c>
      <c r="D438" s="3">
        <v>45539</v>
      </c>
      <c r="E438" s="1">
        <v>72.7</v>
      </c>
      <c r="F438" s="1">
        <v>69.2</v>
      </c>
      <c r="G438" s="1">
        <v>2.1575000000000002</v>
      </c>
      <c r="H438" s="1">
        <v>1.9618</v>
      </c>
      <c r="I438" s="1">
        <v>2.145</v>
      </c>
      <c r="J438" s="1">
        <v>5.6398999999999999</v>
      </c>
    </row>
    <row r="439" spans="2:10" x14ac:dyDescent="0.3">
      <c r="B439" s="10">
        <f t="shared" si="12"/>
        <v>2024</v>
      </c>
      <c r="C439" s="10">
        <f t="shared" si="13"/>
        <v>9</v>
      </c>
      <c r="D439" s="3">
        <v>45538</v>
      </c>
      <c r="E439" s="1">
        <v>73.75</v>
      </c>
      <c r="F439" s="1">
        <v>70.34</v>
      </c>
      <c r="G439" s="1">
        <v>2.206</v>
      </c>
      <c r="H439" s="1">
        <v>1.9777</v>
      </c>
      <c r="I439" s="1">
        <v>2.2029999999999998</v>
      </c>
      <c r="J439" s="1">
        <v>5.6454000000000004</v>
      </c>
    </row>
    <row r="440" spans="2:10" x14ac:dyDescent="0.3">
      <c r="B440" s="10">
        <f t="shared" si="12"/>
        <v>2024</v>
      </c>
      <c r="C440" s="10">
        <f t="shared" si="13"/>
        <v>9</v>
      </c>
      <c r="D440" s="3">
        <v>45537</v>
      </c>
      <c r="E440" s="1">
        <v>77.52</v>
      </c>
      <c r="J440" s="1">
        <v>5.6177000000000001</v>
      </c>
    </row>
    <row r="441" spans="2:10" x14ac:dyDescent="0.3">
      <c r="B441" s="10">
        <f t="shared" si="12"/>
        <v>2024</v>
      </c>
      <c r="C441" s="10">
        <f t="shared" si="13"/>
        <v>8</v>
      </c>
      <c r="D441" s="3">
        <v>45534</v>
      </c>
      <c r="E441" s="1">
        <v>78.8</v>
      </c>
      <c r="F441" s="1">
        <v>73.55</v>
      </c>
      <c r="G441" s="1">
        <v>2.2515000000000001</v>
      </c>
      <c r="H441" s="1">
        <v>2.2117</v>
      </c>
      <c r="I441" s="1">
        <v>2.1269999999999998</v>
      </c>
      <c r="J441" s="1">
        <v>5.6102999999999996</v>
      </c>
    </row>
    <row r="442" spans="2:10" x14ac:dyDescent="0.3">
      <c r="B442" s="10">
        <f t="shared" si="12"/>
        <v>2024</v>
      </c>
      <c r="C442" s="10">
        <f t="shared" si="13"/>
        <v>8</v>
      </c>
      <c r="D442" s="3">
        <v>45533</v>
      </c>
      <c r="E442" s="1">
        <v>79.94</v>
      </c>
      <c r="F442" s="1">
        <v>75.91</v>
      </c>
      <c r="G442" s="1">
        <v>2.2839999999999998</v>
      </c>
      <c r="H442" s="1">
        <v>2.2477</v>
      </c>
      <c r="I442" s="1">
        <v>2.137</v>
      </c>
      <c r="J442" s="1">
        <v>5.6265999999999998</v>
      </c>
    </row>
    <row r="443" spans="2:10" x14ac:dyDescent="0.3">
      <c r="B443" s="10">
        <f t="shared" si="12"/>
        <v>2024</v>
      </c>
      <c r="C443" s="10">
        <f t="shared" si="13"/>
        <v>8</v>
      </c>
      <c r="D443" s="3">
        <v>45532</v>
      </c>
      <c r="E443" s="1">
        <v>78.650000000000006</v>
      </c>
      <c r="F443" s="1">
        <v>74.52</v>
      </c>
      <c r="G443" s="1">
        <v>2.2290999999999999</v>
      </c>
      <c r="H443" s="1">
        <v>2.2147999999999999</v>
      </c>
      <c r="I443" s="1">
        <v>1.93</v>
      </c>
      <c r="J443" s="1">
        <v>5.5644</v>
      </c>
    </row>
    <row r="444" spans="2:10" x14ac:dyDescent="0.3">
      <c r="B444" s="10">
        <f t="shared" si="12"/>
        <v>2024</v>
      </c>
      <c r="C444" s="10">
        <f t="shared" si="13"/>
        <v>8</v>
      </c>
      <c r="D444" s="3">
        <v>45531</v>
      </c>
      <c r="E444" s="1">
        <v>79.55</v>
      </c>
      <c r="F444" s="1">
        <v>75.53</v>
      </c>
      <c r="G444" s="1">
        <v>2.2862</v>
      </c>
      <c r="H444" s="1">
        <v>2.2469000000000001</v>
      </c>
      <c r="I444" s="1">
        <v>1.9039999999999999</v>
      </c>
      <c r="J444" s="1">
        <v>5.5082000000000004</v>
      </c>
    </row>
    <row r="445" spans="2:10" x14ac:dyDescent="0.3">
      <c r="B445" s="10">
        <f t="shared" si="12"/>
        <v>2024</v>
      </c>
      <c r="C445" s="10">
        <f t="shared" si="13"/>
        <v>8</v>
      </c>
      <c r="D445" s="3">
        <v>45530</v>
      </c>
      <c r="E445" s="1">
        <v>81.430000000000007</v>
      </c>
      <c r="F445" s="1">
        <v>77.42</v>
      </c>
      <c r="G445" s="1">
        <v>2.3479999999999999</v>
      </c>
      <c r="H445" s="1">
        <v>2.2799</v>
      </c>
      <c r="I445" s="1">
        <v>1.956</v>
      </c>
      <c r="J445" s="1">
        <v>5.4950000000000001</v>
      </c>
    </row>
    <row r="446" spans="2:10" x14ac:dyDescent="0.3">
      <c r="B446" s="10">
        <f t="shared" si="12"/>
        <v>2024</v>
      </c>
      <c r="C446" s="10">
        <f t="shared" si="13"/>
        <v>8</v>
      </c>
      <c r="D446" s="3">
        <v>45527</v>
      </c>
      <c r="E446" s="1">
        <v>79.02</v>
      </c>
      <c r="F446" s="1">
        <v>74.83</v>
      </c>
      <c r="G446" s="1">
        <v>2.2997000000000001</v>
      </c>
      <c r="H446" s="1">
        <v>2.2850999999999999</v>
      </c>
      <c r="I446" s="1">
        <v>2.0219999999999998</v>
      </c>
      <c r="J446" s="1">
        <v>5.4863</v>
      </c>
    </row>
    <row r="447" spans="2:10" x14ac:dyDescent="0.3">
      <c r="B447" s="10">
        <f t="shared" si="12"/>
        <v>2024</v>
      </c>
      <c r="C447" s="10">
        <f t="shared" si="13"/>
        <v>8</v>
      </c>
      <c r="D447" s="3">
        <v>45526</v>
      </c>
      <c r="E447" s="1">
        <v>77.22</v>
      </c>
      <c r="F447" s="1">
        <v>73.010000000000005</v>
      </c>
      <c r="G447" s="1">
        <v>2.2635000000000001</v>
      </c>
      <c r="H447" s="1">
        <v>2.2437</v>
      </c>
      <c r="I447" s="1">
        <v>2.0529999999999999</v>
      </c>
      <c r="J447" s="1">
        <v>5.5834000000000001</v>
      </c>
    </row>
    <row r="448" spans="2:10" x14ac:dyDescent="0.3">
      <c r="B448" s="10">
        <f t="shared" si="12"/>
        <v>2024</v>
      </c>
      <c r="C448" s="10">
        <f t="shared" si="13"/>
        <v>8</v>
      </c>
      <c r="D448" s="3">
        <v>45525</v>
      </c>
      <c r="E448" s="1">
        <v>76.05</v>
      </c>
      <c r="F448" s="1">
        <v>71.930000000000007</v>
      </c>
      <c r="G448" s="1">
        <v>2.2496999999999998</v>
      </c>
      <c r="H448" s="1">
        <v>2.2050000000000001</v>
      </c>
      <c r="I448" s="1">
        <v>2.177</v>
      </c>
      <c r="J448" s="1">
        <v>5.4858000000000002</v>
      </c>
    </row>
    <row r="449" spans="2:10" x14ac:dyDescent="0.3">
      <c r="B449" s="10">
        <f t="shared" si="12"/>
        <v>2024</v>
      </c>
      <c r="C449" s="10">
        <f t="shared" si="13"/>
        <v>8</v>
      </c>
      <c r="D449" s="3">
        <v>45524</v>
      </c>
      <c r="E449" s="1">
        <v>77.2</v>
      </c>
      <c r="F449" s="1">
        <v>74.040000000000006</v>
      </c>
      <c r="G449" s="1">
        <v>2.2631999999999999</v>
      </c>
      <c r="H449" s="1">
        <v>2.2563</v>
      </c>
      <c r="I449" s="1">
        <v>2.198</v>
      </c>
      <c r="J449" s="1">
        <v>5.4779999999999998</v>
      </c>
    </row>
    <row r="450" spans="2:10" x14ac:dyDescent="0.3">
      <c r="B450" s="10">
        <f t="shared" si="12"/>
        <v>2024</v>
      </c>
      <c r="C450" s="10">
        <f t="shared" si="13"/>
        <v>8</v>
      </c>
      <c r="D450" s="3">
        <v>45523</v>
      </c>
      <c r="E450" s="1">
        <v>77.66</v>
      </c>
      <c r="F450" s="1">
        <v>74.37</v>
      </c>
      <c r="G450" s="1">
        <v>2.2635000000000001</v>
      </c>
      <c r="H450" s="1">
        <v>2.2637999999999998</v>
      </c>
      <c r="I450" s="1">
        <v>2.2349999999999999</v>
      </c>
      <c r="J450" s="1">
        <v>5.4120999999999997</v>
      </c>
    </row>
    <row r="451" spans="2:10" x14ac:dyDescent="0.3">
      <c r="B451" s="10">
        <f t="shared" si="12"/>
        <v>2024</v>
      </c>
      <c r="C451" s="10">
        <f t="shared" si="13"/>
        <v>8</v>
      </c>
      <c r="D451" s="3">
        <v>45520</v>
      </c>
      <c r="E451" s="1">
        <v>79.680000000000007</v>
      </c>
      <c r="F451" s="1">
        <v>76.650000000000006</v>
      </c>
      <c r="G451" s="1">
        <v>2.3287</v>
      </c>
      <c r="H451" s="1">
        <v>2.3102</v>
      </c>
      <c r="I451" s="1">
        <v>2.1230000000000002</v>
      </c>
      <c r="J451" s="1">
        <v>5.4752999999999998</v>
      </c>
    </row>
    <row r="452" spans="2:10" x14ac:dyDescent="0.3">
      <c r="B452" s="10">
        <f t="shared" si="12"/>
        <v>2024</v>
      </c>
      <c r="C452" s="10">
        <f t="shared" si="13"/>
        <v>8</v>
      </c>
      <c r="D452" s="3">
        <v>45519</v>
      </c>
      <c r="E452" s="1">
        <v>81.040000000000006</v>
      </c>
      <c r="F452" s="1">
        <v>78.16</v>
      </c>
      <c r="G452" s="1">
        <v>2.3778999999999999</v>
      </c>
      <c r="H452" s="1">
        <v>2.3580000000000001</v>
      </c>
      <c r="I452" s="1">
        <v>2.1970000000000001</v>
      </c>
      <c r="J452" s="1">
        <v>5.4827000000000004</v>
      </c>
    </row>
    <row r="453" spans="2:10" x14ac:dyDescent="0.3">
      <c r="B453" s="10">
        <f t="shared" si="12"/>
        <v>2024</v>
      </c>
      <c r="C453" s="10">
        <f t="shared" si="13"/>
        <v>8</v>
      </c>
      <c r="D453" s="3">
        <v>45518</v>
      </c>
      <c r="E453" s="1">
        <v>79.760000000000005</v>
      </c>
      <c r="F453" s="1">
        <v>76.98</v>
      </c>
      <c r="G453" s="1">
        <v>2.3681999999999999</v>
      </c>
      <c r="H453" s="1">
        <v>2.3210999999999999</v>
      </c>
      <c r="I453" s="1">
        <v>2.2189999999999999</v>
      </c>
      <c r="J453" s="1">
        <v>5.4729999999999999</v>
      </c>
    </row>
    <row r="454" spans="2:10" x14ac:dyDescent="0.3">
      <c r="B454" s="10">
        <f t="shared" ref="B454:B517" si="14">YEAR(D454)</f>
        <v>2024</v>
      </c>
      <c r="C454" s="10">
        <f t="shared" ref="C454:C517" si="15">MONTH(D454)</f>
        <v>8</v>
      </c>
      <c r="D454" s="3">
        <v>45517</v>
      </c>
      <c r="E454" s="1">
        <v>80.69</v>
      </c>
      <c r="F454" s="1">
        <v>78.349999999999994</v>
      </c>
      <c r="G454" s="1">
        <v>2.3892000000000002</v>
      </c>
      <c r="H454" s="1">
        <v>2.3746999999999998</v>
      </c>
      <c r="I454" s="1">
        <v>2.1480000000000001</v>
      </c>
      <c r="J454" s="1">
        <v>5.4538000000000002</v>
      </c>
    </row>
    <row r="455" spans="2:10" x14ac:dyDescent="0.3">
      <c r="B455" s="10">
        <f t="shared" si="14"/>
        <v>2024</v>
      </c>
      <c r="C455" s="10">
        <f t="shared" si="15"/>
        <v>8</v>
      </c>
      <c r="D455" s="3">
        <v>45516</v>
      </c>
      <c r="E455" s="1">
        <v>82.3</v>
      </c>
      <c r="F455" s="1">
        <v>80.06</v>
      </c>
      <c r="G455" s="1">
        <v>2.4064999999999999</v>
      </c>
      <c r="H455" s="1">
        <v>2.4428999999999998</v>
      </c>
      <c r="I455" s="1">
        <v>2.1890000000000001</v>
      </c>
      <c r="J455" s="1">
        <v>5.4973999999999998</v>
      </c>
    </row>
    <row r="456" spans="2:10" x14ac:dyDescent="0.3">
      <c r="B456" s="10">
        <f t="shared" si="14"/>
        <v>2024</v>
      </c>
      <c r="C456" s="10">
        <f t="shared" si="15"/>
        <v>8</v>
      </c>
      <c r="D456" s="3">
        <v>45513</v>
      </c>
      <c r="E456" s="1">
        <v>79.66</v>
      </c>
      <c r="F456" s="1">
        <v>76.84</v>
      </c>
      <c r="G456" s="1">
        <v>2.3397000000000001</v>
      </c>
      <c r="H456" s="1">
        <v>2.3902999999999999</v>
      </c>
      <c r="I456" s="1">
        <v>2.1429999999999998</v>
      </c>
      <c r="J456" s="1">
        <v>5.5064000000000002</v>
      </c>
    </row>
    <row r="457" spans="2:10" x14ac:dyDescent="0.3">
      <c r="B457" s="10">
        <f t="shared" si="14"/>
        <v>2024</v>
      </c>
      <c r="C457" s="10">
        <f t="shared" si="15"/>
        <v>8</v>
      </c>
      <c r="D457" s="3">
        <v>45512</v>
      </c>
      <c r="E457" s="1">
        <v>79.16</v>
      </c>
      <c r="F457" s="1">
        <v>76.19</v>
      </c>
      <c r="G457" s="1">
        <v>2.3578000000000001</v>
      </c>
      <c r="H457" s="1">
        <v>2.3992</v>
      </c>
      <c r="I457" s="1">
        <v>2.1269999999999998</v>
      </c>
      <c r="J457" s="1">
        <v>5.5492999999999997</v>
      </c>
    </row>
    <row r="458" spans="2:10" x14ac:dyDescent="0.3">
      <c r="B458" s="10">
        <f t="shared" si="14"/>
        <v>2024</v>
      </c>
      <c r="C458" s="10">
        <f t="shared" si="15"/>
        <v>8</v>
      </c>
      <c r="D458" s="3">
        <v>45511</v>
      </c>
      <c r="E458" s="1">
        <v>78.33</v>
      </c>
      <c r="F458" s="1">
        <v>75.23</v>
      </c>
      <c r="G458" s="1">
        <v>2.3555999999999999</v>
      </c>
      <c r="H458" s="1">
        <v>2.3573</v>
      </c>
      <c r="I458" s="1">
        <v>2.1120000000000001</v>
      </c>
      <c r="J458" s="1">
        <v>5.6341000000000001</v>
      </c>
    </row>
    <row r="459" spans="2:10" x14ac:dyDescent="0.3">
      <c r="B459" s="10">
        <f t="shared" si="14"/>
        <v>2024</v>
      </c>
      <c r="C459" s="10">
        <f t="shared" si="15"/>
        <v>8</v>
      </c>
      <c r="D459" s="3">
        <v>45510</v>
      </c>
      <c r="E459" s="1">
        <v>76.48</v>
      </c>
      <c r="F459" s="1">
        <v>73.2</v>
      </c>
      <c r="G459" s="1">
        <v>2.2957999999999998</v>
      </c>
      <c r="H459" s="1">
        <v>2.3262</v>
      </c>
      <c r="I459" s="1">
        <v>2.0099999999999998</v>
      </c>
      <c r="J459" s="1">
        <v>5.6623000000000001</v>
      </c>
    </row>
    <row r="460" spans="2:10" x14ac:dyDescent="0.3">
      <c r="B460" s="10">
        <f t="shared" si="14"/>
        <v>2024</v>
      </c>
      <c r="C460" s="10">
        <f t="shared" si="15"/>
        <v>8</v>
      </c>
      <c r="D460" s="3">
        <v>45509</v>
      </c>
      <c r="E460" s="1">
        <v>76.3</v>
      </c>
      <c r="F460" s="1">
        <v>72.94</v>
      </c>
      <c r="G460" s="1">
        <v>2.2986</v>
      </c>
      <c r="H460" s="1">
        <v>2.3336000000000001</v>
      </c>
      <c r="I460" s="1">
        <v>1.9419999999999999</v>
      </c>
      <c r="J460" s="1">
        <v>5.7237999999999998</v>
      </c>
    </row>
    <row r="461" spans="2:10" x14ac:dyDescent="0.3">
      <c r="B461" s="10">
        <f t="shared" si="14"/>
        <v>2024</v>
      </c>
      <c r="C461" s="10">
        <f t="shared" si="15"/>
        <v>8</v>
      </c>
      <c r="D461" s="3">
        <v>45506</v>
      </c>
      <c r="E461" s="1">
        <v>76.81</v>
      </c>
      <c r="F461" s="1">
        <v>73.52</v>
      </c>
      <c r="G461" s="1">
        <v>2.3184999999999998</v>
      </c>
      <c r="H461" s="1">
        <v>2.3176000000000001</v>
      </c>
      <c r="I461" s="1">
        <v>1.9670000000000001</v>
      </c>
      <c r="J461" s="1">
        <v>5.7272999999999996</v>
      </c>
    </row>
    <row r="462" spans="2:10" x14ac:dyDescent="0.3">
      <c r="B462" s="10">
        <f t="shared" si="14"/>
        <v>2024</v>
      </c>
      <c r="C462" s="10">
        <f t="shared" si="15"/>
        <v>8</v>
      </c>
      <c r="D462" s="3">
        <v>45505</v>
      </c>
      <c r="E462" s="1">
        <v>79.52</v>
      </c>
      <c r="F462" s="1">
        <v>76.31</v>
      </c>
      <c r="G462" s="1">
        <v>2.4064000000000001</v>
      </c>
      <c r="H462" s="1">
        <v>2.3980000000000001</v>
      </c>
      <c r="I462" s="1">
        <v>1.968</v>
      </c>
      <c r="J462" s="1">
        <v>5.7483000000000004</v>
      </c>
    </row>
    <row r="463" spans="2:10" x14ac:dyDescent="0.3">
      <c r="B463" s="10">
        <f t="shared" si="14"/>
        <v>2024</v>
      </c>
      <c r="C463" s="10">
        <f t="shared" si="15"/>
        <v>7</v>
      </c>
      <c r="D463" s="3">
        <v>45504</v>
      </c>
      <c r="E463" s="1">
        <v>80.72</v>
      </c>
      <c r="F463" s="1">
        <v>77.91</v>
      </c>
      <c r="G463" s="1">
        <v>2.4155000000000002</v>
      </c>
      <c r="H463" s="1">
        <v>2.4820000000000002</v>
      </c>
      <c r="I463" s="1">
        <v>2.036</v>
      </c>
      <c r="J463" s="1">
        <v>5.65</v>
      </c>
    </row>
    <row r="464" spans="2:10" x14ac:dyDescent="0.3">
      <c r="B464" s="10">
        <f t="shared" si="14"/>
        <v>2024</v>
      </c>
      <c r="C464" s="10">
        <f t="shared" si="15"/>
        <v>7</v>
      </c>
      <c r="D464" s="3">
        <v>45503</v>
      </c>
      <c r="E464" s="1">
        <v>78.63</v>
      </c>
      <c r="F464" s="1">
        <v>74.73</v>
      </c>
      <c r="G464" s="1">
        <v>2.3368000000000002</v>
      </c>
      <c r="H464" s="1">
        <v>2.3871000000000002</v>
      </c>
      <c r="I464" s="1">
        <v>2.1259999999999999</v>
      </c>
      <c r="J464" s="1">
        <v>5.6120999999999999</v>
      </c>
    </row>
    <row r="465" spans="2:10" x14ac:dyDescent="0.3">
      <c r="B465" s="10">
        <f t="shared" si="14"/>
        <v>2024</v>
      </c>
      <c r="C465" s="10">
        <f t="shared" si="15"/>
        <v>7</v>
      </c>
      <c r="D465" s="3">
        <v>45502</v>
      </c>
      <c r="E465" s="1">
        <v>79.78</v>
      </c>
      <c r="F465" s="1">
        <v>75.81</v>
      </c>
      <c r="G465" s="1">
        <v>2.375</v>
      </c>
      <c r="H465" s="1">
        <v>2.4152999999999998</v>
      </c>
      <c r="I465" s="1">
        <v>1.907</v>
      </c>
      <c r="J465" s="1">
        <v>5.6158999999999999</v>
      </c>
    </row>
    <row r="466" spans="2:10" x14ac:dyDescent="0.3">
      <c r="B466" s="10">
        <f t="shared" si="14"/>
        <v>2024</v>
      </c>
      <c r="C466" s="10">
        <f t="shared" si="15"/>
        <v>7</v>
      </c>
      <c r="D466" s="3">
        <v>45499</v>
      </c>
      <c r="E466" s="1">
        <v>81.13</v>
      </c>
      <c r="F466" s="1">
        <v>77.16</v>
      </c>
      <c r="G466" s="1">
        <v>2.4197000000000002</v>
      </c>
      <c r="H466" s="1">
        <v>2.4605000000000001</v>
      </c>
      <c r="I466" s="1">
        <v>2.0059999999999998</v>
      </c>
      <c r="J466" s="1">
        <v>5.6557000000000004</v>
      </c>
    </row>
    <row r="467" spans="2:10" x14ac:dyDescent="0.3">
      <c r="B467" s="10">
        <f t="shared" si="14"/>
        <v>2024</v>
      </c>
      <c r="C467" s="10">
        <f t="shared" si="15"/>
        <v>7</v>
      </c>
      <c r="D467" s="3">
        <v>45498</v>
      </c>
      <c r="E467" s="1">
        <v>82.37</v>
      </c>
      <c r="F467" s="1">
        <v>78.28</v>
      </c>
      <c r="G467" s="1">
        <v>2.4712000000000001</v>
      </c>
      <c r="H467" s="1">
        <v>2.4676</v>
      </c>
      <c r="I467" s="1">
        <v>2.0409999999999999</v>
      </c>
      <c r="J467" s="1">
        <v>5.6441999999999997</v>
      </c>
    </row>
    <row r="468" spans="2:10" x14ac:dyDescent="0.3">
      <c r="B468" s="10">
        <f t="shared" si="14"/>
        <v>2024</v>
      </c>
      <c r="C468" s="10">
        <f t="shared" si="15"/>
        <v>7</v>
      </c>
      <c r="D468" s="3">
        <v>45497</v>
      </c>
      <c r="E468" s="1">
        <v>81.709999999999994</v>
      </c>
      <c r="F468" s="1">
        <v>77.59</v>
      </c>
      <c r="G468" s="1">
        <v>2.4523999999999999</v>
      </c>
      <c r="H468" s="1">
        <v>2.4514999999999998</v>
      </c>
      <c r="I468" s="1">
        <v>2.117</v>
      </c>
      <c r="J468" s="1">
        <v>5.6536</v>
      </c>
    </row>
    <row r="469" spans="2:10" x14ac:dyDescent="0.3">
      <c r="B469" s="10">
        <f t="shared" si="14"/>
        <v>2024</v>
      </c>
      <c r="C469" s="10">
        <f t="shared" si="15"/>
        <v>7</v>
      </c>
      <c r="D469" s="3">
        <v>45496</v>
      </c>
      <c r="E469" s="1">
        <v>81.010000000000005</v>
      </c>
      <c r="F469" s="1">
        <v>76.959999999999994</v>
      </c>
      <c r="G469" s="1">
        <v>2.4098999999999999</v>
      </c>
      <c r="H469" s="1">
        <v>2.4140999999999999</v>
      </c>
      <c r="I469" s="1">
        <v>2.1869999999999998</v>
      </c>
      <c r="J469" s="1">
        <v>5.5846</v>
      </c>
    </row>
    <row r="470" spans="2:10" x14ac:dyDescent="0.3">
      <c r="B470" s="10">
        <f t="shared" si="14"/>
        <v>2024</v>
      </c>
      <c r="C470" s="10">
        <f t="shared" si="15"/>
        <v>7</v>
      </c>
      <c r="D470" s="3">
        <v>45495</v>
      </c>
      <c r="E470" s="1">
        <v>82.4</v>
      </c>
      <c r="F470" s="1">
        <v>79.78</v>
      </c>
      <c r="G470" s="1">
        <v>2.4348000000000001</v>
      </c>
      <c r="H470" s="1">
        <v>2.4706000000000001</v>
      </c>
      <c r="I470" s="1">
        <v>2.2509999999999999</v>
      </c>
      <c r="J470" s="1">
        <v>5.5778999999999996</v>
      </c>
    </row>
    <row r="471" spans="2:10" x14ac:dyDescent="0.3">
      <c r="B471" s="10">
        <f t="shared" si="14"/>
        <v>2024</v>
      </c>
      <c r="C471" s="10">
        <f t="shared" si="15"/>
        <v>7</v>
      </c>
      <c r="D471" s="3">
        <v>45492</v>
      </c>
      <c r="E471" s="1">
        <v>82.63</v>
      </c>
      <c r="F471" s="1">
        <v>80.13</v>
      </c>
      <c r="G471" s="1">
        <v>2.4190999999999998</v>
      </c>
      <c r="H471" s="1">
        <v>2.4504000000000001</v>
      </c>
      <c r="I471" s="1">
        <v>2.1280000000000001</v>
      </c>
      <c r="J471" s="1">
        <v>5.5952000000000002</v>
      </c>
    </row>
    <row r="472" spans="2:10" x14ac:dyDescent="0.3">
      <c r="B472" s="10">
        <f t="shared" si="14"/>
        <v>2024</v>
      </c>
      <c r="C472" s="10">
        <f t="shared" si="15"/>
        <v>7</v>
      </c>
      <c r="D472" s="3">
        <v>45491</v>
      </c>
      <c r="E472" s="1">
        <v>85.11</v>
      </c>
      <c r="F472" s="1">
        <v>82.82</v>
      </c>
      <c r="G472" s="1">
        <v>2.4868000000000001</v>
      </c>
      <c r="H472" s="1">
        <v>2.5164</v>
      </c>
      <c r="I472" s="1">
        <v>2.125</v>
      </c>
      <c r="J472" s="1">
        <v>5.5460000000000003</v>
      </c>
    </row>
    <row r="473" spans="2:10" x14ac:dyDescent="0.3">
      <c r="B473" s="10">
        <f t="shared" si="14"/>
        <v>2024</v>
      </c>
      <c r="C473" s="10">
        <f t="shared" si="15"/>
        <v>7</v>
      </c>
      <c r="D473" s="3">
        <v>45490</v>
      </c>
      <c r="E473" s="1">
        <v>85.08</v>
      </c>
      <c r="F473" s="1">
        <v>82.85</v>
      </c>
      <c r="G473" s="1">
        <v>2.4940000000000002</v>
      </c>
      <c r="H473" s="1">
        <v>2.5013000000000001</v>
      </c>
      <c r="I473" s="1">
        <v>2.0350000000000001</v>
      </c>
      <c r="J473" s="1">
        <v>5.4821</v>
      </c>
    </row>
    <row r="474" spans="2:10" x14ac:dyDescent="0.3">
      <c r="B474" s="10">
        <f t="shared" si="14"/>
        <v>2024</v>
      </c>
      <c r="C474" s="10">
        <f t="shared" si="15"/>
        <v>7</v>
      </c>
      <c r="D474" s="3">
        <v>45489</v>
      </c>
      <c r="E474" s="1">
        <v>83.73</v>
      </c>
      <c r="F474" s="1">
        <v>80.760000000000005</v>
      </c>
      <c r="G474" s="1">
        <v>2.4687999999999999</v>
      </c>
      <c r="H474" s="1">
        <v>2.4775</v>
      </c>
      <c r="I474" s="1">
        <v>2.1880000000000002</v>
      </c>
      <c r="J474" s="1">
        <v>5.4286000000000003</v>
      </c>
    </row>
    <row r="475" spans="2:10" x14ac:dyDescent="0.3">
      <c r="B475" s="10">
        <f t="shared" si="14"/>
        <v>2024</v>
      </c>
      <c r="C475" s="10">
        <f t="shared" si="15"/>
        <v>7</v>
      </c>
      <c r="D475" s="3">
        <v>45488</v>
      </c>
      <c r="E475" s="1">
        <v>84.85</v>
      </c>
      <c r="F475" s="1">
        <v>81.91</v>
      </c>
      <c r="G475" s="1">
        <v>2.5135999999999998</v>
      </c>
      <c r="H475" s="1">
        <v>2.4916</v>
      </c>
      <c r="I475" s="1">
        <v>2.1579999999999999</v>
      </c>
      <c r="J475" s="1">
        <v>5.4447999999999999</v>
      </c>
    </row>
    <row r="476" spans="2:10" x14ac:dyDescent="0.3">
      <c r="B476" s="10">
        <f t="shared" si="14"/>
        <v>2024</v>
      </c>
      <c r="C476" s="10">
        <f t="shared" si="15"/>
        <v>7</v>
      </c>
      <c r="D476" s="3">
        <v>45485</v>
      </c>
      <c r="E476" s="1">
        <v>85.03</v>
      </c>
      <c r="F476" s="1">
        <v>82.21</v>
      </c>
      <c r="G476" s="1">
        <v>2.5095999999999998</v>
      </c>
      <c r="H476" s="1">
        <v>2.5152999999999999</v>
      </c>
      <c r="I476" s="1">
        <v>2.3290000000000002</v>
      </c>
      <c r="J476" s="1">
        <v>5.4284999999999997</v>
      </c>
    </row>
    <row r="477" spans="2:10" x14ac:dyDescent="0.3">
      <c r="B477" s="10">
        <f t="shared" si="14"/>
        <v>2024</v>
      </c>
      <c r="C477" s="10">
        <f t="shared" si="15"/>
        <v>7</v>
      </c>
      <c r="D477" s="3">
        <v>45484</v>
      </c>
      <c r="E477" s="1">
        <v>85.4</v>
      </c>
      <c r="F477" s="1">
        <v>82.62</v>
      </c>
      <c r="G477" s="1">
        <v>2.5182000000000002</v>
      </c>
      <c r="H477" s="1">
        <v>2.5177999999999998</v>
      </c>
      <c r="I477" s="1">
        <v>2.2679999999999998</v>
      </c>
      <c r="J477" s="1">
        <v>5.4381000000000004</v>
      </c>
    </row>
    <row r="478" spans="2:10" x14ac:dyDescent="0.3">
      <c r="B478" s="10">
        <f t="shared" si="14"/>
        <v>2024</v>
      </c>
      <c r="C478" s="10">
        <f t="shared" si="15"/>
        <v>7</v>
      </c>
      <c r="D478" s="3">
        <v>45483</v>
      </c>
      <c r="E478" s="1">
        <v>85.08</v>
      </c>
      <c r="F478" s="1">
        <v>82.1</v>
      </c>
      <c r="G478" s="1">
        <v>2.5184000000000002</v>
      </c>
      <c r="H478" s="1">
        <v>2.5034000000000001</v>
      </c>
      <c r="I478" s="1">
        <v>2.3290000000000002</v>
      </c>
      <c r="J478" s="1">
        <v>5.4143999999999997</v>
      </c>
    </row>
    <row r="479" spans="2:10" x14ac:dyDescent="0.3">
      <c r="B479" s="10">
        <f t="shared" si="14"/>
        <v>2024</v>
      </c>
      <c r="C479" s="10">
        <f t="shared" si="15"/>
        <v>7</v>
      </c>
      <c r="D479" s="3">
        <v>45482</v>
      </c>
      <c r="E479" s="1">
        <v>84.66</v>
      </c>
      <c r="F479" s="1">
        <v>81.41</v>
      </c>
      <c r="G479" s="1">
        <v>2.5236000000000001</v>
      </c>
      <c r="H479" s="1">
        <v>2.5274000000000001</v>
      </c>
      <c r="I479" s="1">
        <v>2.3439999999999999</v>
      </c>
      <c r="J479" s="1">
        <v>5.4222000000000001</v>
      </c>
    </row>
    <row r="480" spans="2:10" x14ac:dyDescent="0.3">
      <c r="B480" s="10">
        <f t="shared" si="14"/>
        <v>2024</v>
      </c>
      <c r="C480" s="10">
        <f t="shared" si="15"/>
        <v>7</v>
      </c>
      <c r="D480" s="3">
        <v>45481</v>
      </c>
      <c r="E480" s="1">
        <v>85.75</v>
      </c>
      <c r="F480" s="1">
        <v>82.33</v>
      </c>
      <c r="G480" s="1">
        <v>2.5790999999999999</v>
      </c>
      <c r="H480" s="1">
        <v>2.5379</v>
      </c>
      <c r="I480" s="1">
        <v>2.3660000000000001</v>
      </c>
      <c r="J480" s="1">
        <v>5.4699</v>
      </c>
    </row>
    <row r="481" spans="2:10" x14ac:dyDescent="0.3">
      <c r="B481" s="10">
        <f t="shared" si="14"/>
        <v>2024</v>
      </c>
      <c r="C481" s="10">
        <f t="shared" si="15"/>
        <v>7</v>
      </c>
      <c r="D481" s="3">
        <v>45478</v>
      </c>
      <c r="E481" s="1">
        <v>86.54</v>
      </c>
      <c r="F481" s="1">
        <v>83.16</v>
      </c>
      <c r="G481" s="1">
        <v>2.6023999999999998</v>
      </c>
      <c r="H481" s="1">
        <v>2.5590999999999999</v>
      </c>
      <c r="I481" s="1">
        <v>2.319</v>
      </c>
      <c r="J481" s="1">
        <v>5.4592000000000001</v>
      </c>
    </row>
    <row r="482" spans="2:10" x14ac:dyDescent="0.3">
      <c r="B482" s="10">
        <f t="shared" si="14"/>
        <v>2024</v>
      </c>
      <c r="C482" s="10">
        <f t="shared" si="15"/>
        <v>7</v>
      </c>
      <c r="D482" s="3">
        <v>45477</v>
      </c>
      <c r="E482" s="1">
        <v>87.43</v>
      </c>
      <c r="J482" s="1">
        <v>5.4886999999999997</v>
      </c>
    </row>
    <row r="483" spans="2:10" x14ac:dyDescent="0.3">
      <c r="B483" s="10">
        <f t="shared" si="14"/>
        <v>2024</v>
      </c>
      <c r="C483" s="10">
        <f t="shared" si="15"/>
        <v>7</v>
      </c>
      <c r="D483" s="3">
        <v>45476</v>
      </c>
      <c r="E483" s="1">
        <v>87.34</v>
      </c>
      <c r="F483" s="1">
        <v>83.88</v>
      </c>
      <c r="G483" s="1">
        <v>2.6343000000000001</v>
      </c>
      <c r="H483" s="1">
        <v>2.6013000000000002</v>
      </c>
      <c r="I483" s="1">
        <v>2.4180000000000001</v>
      </c>
      <c r="J483" s="1">
        <v>5.5563000000000002</v>
      </c>
    </row>
    <row r="484" spans="2:10" x14ac:dyDescent="0.3">
      <c r="B484" s="10">
        <f t="shared" si="14"/>
        <v>2024</v>
      </c>
      <c r="C484" s="10">
        <f t="shared" si="15"/>
        <v>7</v>
      </c>
      <c r="D484" s="3">
        <v>45475</v>
      </c>
      <c r="E484" s="1">
        <v>86.24</v>
      </c>
      <c r="F484" s="1">
        <v>82.81</v>
      </c>
      <c r="G484" s="1">
        <v>2.6297000000000001</v>
      </c>
      <c r="H484" s="1">
        <v>2.5733999999999999</v>
      </c>
      <c r="I484" s="1">
        <v>2.4350000000000001</v>
      </c>
      <c r="J484" s="1">
        <v>5.6776999999999997</v>
      </c>
    </row>
    <row r="485" spans="2:10" x14ac:dyDescent="0.3">
      <c r="B485" s="10">
        <f t="shared" si="14"/>
        <v>2024</v>
      </c>
      <c r="C485" s="10">
        <f t="shared" si="15"/>
        <v>7</v>
      </c>
      <c r="D485" s="3">
        <v>45474</v>
      </c>
      <c r="E485" s="1">
        <v>86.6</v>
      </c>
      <c r="F485" s="1">
        <v>83.38</v>
      </c>
      <c r="G485" s="1">
        <v>2.6147</v>
      </c>
      <c r="H485" s="1">
        <v>2.5783</v>
      </c>
      <c r="I485" s="1">
        <v>2.4780000000000002</v>
      </c>
      <c r="J485" s="1">
        <v>5.6603000000000003</v>
      </c>
    </row>
    <row r="486" spans="2:10" x14ac:dyDescent="0.3">
      <c r="B486" s="10">
        <f t="shared" si="14"/>
        <v>2024</v>
      </c>
      <c r="C486" s="10">
        <f t="shared" si="15"/>
        <v>6</v>
      </c>
      <c r="D486" s="3">
        <v>45471</v>
      </c>
      <c r="E486" s="1">
        <v>86.41</v>
      </c>
      <c r="F486" s="1">
        <v>81.540000000000006</v>
      </c>
      <c r="G486" s="1">
        <v>2.5169000000000001</v>
      </c>
      <c r="H486" s="1">
        <v>2.5291000000000001</v>
      </c>
      <c r="I486" s="1">
        <v>2.601</v>
      </c>
      <c r="J486" s="1">
        <v>5.5925000000000002</v>
      </c>
    </row>
    <row r="487" spans="2:10" x14ac:dyDescent="0.3">
      <c r="B487" s="10">
        <f t="shared" si="14"/>
        <v>2024</v>
      </c>
      <c r="C487" s="10">
        <f t="shared" si="15"/>
        <v>6</v>
      </c>
      <c r="D487" s="3">
        <v>45470</v>
      </c>
      <c r="E487" s="1">
        <v>86.39</v>
      </c>
      <c r="F487" s="1">
        <v>81.739999999999995</v>
      </c>
      <c r="G487" s="1">
        <v>2.5476000000000001</v>
      </c>
      <c r="H487" s="1">
        <v>2.5455999999999999</v>
      </c>
      <c r="I487" s="1">
        <v>2.6850000000000001</v>
      </c>
      <c r="J487" s="1">
        <v>5.5019</v>
      </c>
    </row>
    <row r="488" spans="2:10" x14ac:dyDescent="0.3">
      <c r="B488" s="10">
        <f t="shared" si="14"/>
        <v>2024</v>
      </c>
      <c r="C488" s="10">
        <f t="shared" si="15"/>
        <v>6</v>
      </c>
      <c r="D488" s="3">
        <v>45469</v>
      </c>
      <c r="E488" s="1">
        <v>85.25</v>
      </c>
      <c r="F488" s="1">
        <v>80.900000000000006</v>
      </c>
      <c r="G488" s="1">
        <v>2.5375000000000001</v>
      </c>
      <c r="H488" s="1">
        <v>2.5446</v>
      </c>
      <c r="I488" s="1">
        <v>2.6280000000000001</v>
      </c>
      <c r="J488" s="1">
        <v>5.5194000000000001</v>
      </c>
    </row>
    <row r="489" spans="2:10" x14ac:dyDescent="0.3">
      <c r="B489" s="10">
        <f t="shared" si="14"/>
        <v>2024</v>
      </c>
      <c r="C489" s="10">
        <f t="shared" si="15"/>
        <v>6</v>
      </c>
      <c r="D489" s="3">
        <v>45468</v>
      </c>
      <c r="E489" s="1">
        <v>85.01</v>
      </c>
      <c r="F489" s="1">
        <v>80.83</v>
      </c>
      <c r="G489" s="1">
        <v>2.5093999999999999</v>
      </c>
      <c r="H489" s="1">
        <v>2.5146999999999999</v>
      </c>
      <c r="I489" s="1">
        <v>2.7559999999999998</v>
      </c>
      <c r="J489" s="1">
        <v>5.4508999999999999</v>
      </c>
    </row>
    <row r="490" spans="2:10" x14ac:dyDescent="0.3">
      <c r="B490" s="10">
        <f t="shared" si="14"/>
        <v>2024</v>
      </c>
      <c r="C490" s="10">
        <f t="shared" si="15"/>
        <v>6</v>
      </c>
      <c r="D490" s="3">
        <v>45467</v>
      </c>
      <c r="E490" s="1">
        <v>86.01</v>
      </c>
      <c r="F490" s="1">
        <v>81.63</v>
      </c>
      <c r="G490" s="1">
        <v>2.5213999999999999</v>
      </c>
      <c r="H490" s="1">
        <v>2.5114999999999998</v>
      </c>
      <c r="I490" s="1">
        <v>2.8109999999999999</v>
      </c>
      <c r="J490" s="1">
        <v>5.3928000000000003</v>
      </c>
    </row>
    <row r="491" spans="2:10" x14ac:dyDescent="0.3">
      <c r="B491" s="10">
        <f t="shared" si="14"/>
        <v>2024</v>
      </c>
      <c r="C491" s="10">
        <f t="shared" si="15"/>
        <v>6</v>
      </c>
      <c r="D491" s="3">
        <v>45464</v>
      </c>
      <c r="E491" s="1">
        <v>85.24</v>
      </c>
      <c r="F491" s="1">
        <v>80.73</v>
      </c>
      <c r="G491" s="1">
        <v>2.4914999999999998</v>
      </c>
      <c r="H491" s="1">
        <v>2.5137</v>
      </c>
      <c r="I491" s="1">
        <v>2.7050000000000001</v>
      </c>
      <c r="J491" s="1">
        <v>5.4302000000000001</v>
      </c>
    </row>
    <row r="492" spans="2:10" x14ac:dyDescent="0.3">
      <c r="B492" s="10">
        <f t="shared" si="14"/>
        <v>2024</v>
      </c>
      <c r="C492" s="10">
        <f t="shared" si="15"/>
        <v>6</v>
      </c>
      <c r="D492" s="3">
        <v>45463</v>
      </c>
      <c r="E492" s="1">
        <v>85.71</v>
      </c>
      <c r="F492" s="1">
        <v>82.17</v>
      </c>
      <c r="G492" s="1">
        <v>2.5245000000000002</v>
      </c>
      <c r="H492" s="1">
        <v>2.5007999999999999</v>
      </c>
      <c r="I492" s="1">
        <v>2.7410000000000001</v>
      </c>
      <c r="J492" s="1">
        <v>5.4482999999999997</v>
      </c>
    </row>
    <row r="493" spans="2:10" x14ac:dyDescent="0.3">
      <c r="B493" s="10">
        <f t="shared" si="14"/>
        <v>2024</v>
      </c>
      <c r="C493" s="10">
        <f t="shared" si="15"/>
        <v>6</v>
      </c>
      <c r="D493" s="3">
        <v>45462</v>
      </c>
      <c r="E493" s="1">
        <v>85.07</v>
      </c>
      <c r="J493" s="1">
        <v>5.4362000000000004</v>
      </c>
    </row>
    <row r="494" spans="2:10" x14ac:dyDescent="0.3">
      <c r="B494" s="10">
        <f t="shared" si="14"/>
        <v>2024</v>
      </c>
      <c r="C494" s="10">
        <f t="shared" si="15"/>
        <v>6</v>
      </c>
      <c r="D494" s="3">
        <v>45461</v>
      </c>
      <c r="E494" s="1">
        <v>85.33</v>
      </c>
      <c r="F494" s="1">
        <v>81.569999999999993</v>
      </c>
      <c r="G494" s="1">
        <v>2.5207999999999999</v>
      </c>
      <c r="H494" s="1">
        <v>2.4832000000000001</v>
      </c>
      <c r="I494" s="1">
        <v>2.9089999999999998</v>
      </c>
      <c r="J494" s="1">
        <v>5.4359000000000002</v>
      </c>
    </row>
    <row r="495" spans="2:10" x14ac:dyDescent="0.3">
      <c r="B495" s="10">
        <f t="shared" si="14"/>
        <v>2024</v>
      </c>
      <c r="C495" s="10">
        <f t="shared" si="15"/>
        <v>6</v>
      </c>
      <c r="D495" s="3">
        <v>45460</v>
      </c>
      <c r="E495" s="1">
        <v>84.25</v>
      </c>
      <c r="F495" s="1">
        <v>80.33</v>
      </c>
      <c r="G495" s="1">
        <v>2.4824999999999999</v>
      </c>
      <c r="H495" s="1">
        <v>2.4468999999999999</v>
      </c>
      <c r="I495" s="1">
        <v>2.7879999999999998</v>
      </c>
      <c r="J495" s="1">
        <v>5.4195000000000002</v>
      </c>
    </row>
    <row r="496" spans="2:10" x14ac:dyDescent="0.3">
      <c r="B496" s="10">
        <f t="shared" si="14"/>
        <v>2024</v>
      </c>
      <c r="C496" s="10">
        <f t="shared" si="15"/>
        <v>6</v>
      </c>
      <c r="D496" s="3">
        <v>45457</v>
      </c>
      <c r="E496" s="1">
        <v>82.62</v>
      </c>
      <c r="F496" s="1">
        <v>78.45</v>
      </c>
      <c r="G496" s="1">
        <v>2.4706000000000001</v>
      </c>
      <c r="H496" s="1">
        <v>2.3996</v>
      </c>
      <c r="I496" s="1">
        <v>2.8809999999999998</v>
      </c>
      <c r="J496" s="1">
        <v>5.3757000000000001</v>
      </c>
    </row>
    <row r="497" spans="2:10" x14ac:dyDescent="0.3">
      <c r="B497" s="10">
        <f t="shared" si="14"/>
        <v>2024</v>
      </c>
      <c r="C497" s="10">
        <f t="shared" si="15"/>
        <v>6</v>
      </c>
      <c r="D497" s="3">
        <v>45456</v>
      </c>
      <c r="E497" s="1">
        <v>82.75</v>
      </c>
      <c r="F497" s="1">
        <v>78.62</v>
      </c>
      <c r="G497" s="1">
        <v>2.4868000000000001</v>
      </c>
      <c r="H497" s="1">
        <v>2.4156</v>
      </c>
      <c r="I497" s="1">
        <v>2.9590000000000001</v>
      </c>
      <c r="J497" s="1">
        <v>5.3635999999999999</v>
      </c>
    </row>
    <row r="498" spans="2:10" x14ac:dyDescent="0.3">
      <c r="B498" s="10">
        <f t="shared" si="14"/>
        <v>2024</v>
      </c>
      <c r="C498" s="10">
        <f t="shared" si="15"/>
        <v>6</v>
      </c>
      <c r="D498" s="3">
        <v>45455</v>
      </c>
      <c r="E498" s="1">
        <v>82.6</v>
      </c>
      <c r="F498" s="1">
        <v>78.5</v>
      </c>
      <c r="G498" s="1">
        <v>2.4407999999999999</v>
      </c>
      <c r="H498" s="1">
        <v>2.3944000000000001</v>
      </c>
      <c r="I498" s="1">
        <v>3.0449999999999999</v>
      </c>
      <c r="J498" s="1">
        <v>5.4123000000000001</v>
      </c>
    </row>
    <row r="499" spans="2:10" x14ac:dyDescent="0.3">
      <c r="B499" s="10">
        <f t="shared" si="14"/>
        <v>2024</v>
      </c>
      <c r="C499" s="10">
        <f t="shared" si="15"/>
        <v>6</v>
      </c>
      <c r="D499" s="3">
        <v>45454</v>
      </c>
      <c r="E499" s="1">
        <v>81.92</v>
      </c>
      <c r="F499" s="1">
        <v>77.900000000000006</v>
      </c>
      <c r="G499" s="1">
        <v>2.4213</v>
      </c>
      <c r="H499" s="1">
        <v>2.4089</v>
      </c>
      <c r="I499" s="1">
        <v>3.129</v>
      </c>
      <c r="J499" s="1">
        <v>5.3662000000000001</v>
      </c>
    </row>
    <row r="500" spans="2:10" x14ac:dyDescent="0.3">
      <c r="B500" s="10">
        <f t="shared" si="14"/>
        <v>2024</v>
      </c>
      <c r="C500" s="10">
        <f t="shared" si="15"/>
        <v>6</v>
      </c>
      <c r="D500" s="3">
        <v>45453</v>
      </c>
      <c r="E500" s="1">
        <v>81.63</v>
      </c>
      <c r="F500" s="1">
        <v>77.739999999999995</v>
      </c>
      <c r="G500" s="1">
        <v>2.4146999999999998</v>
      </c>
      <c r="H500" s="1">
        <v>2.4108999999999998</v>
      </c>
      <c r="I500" s="1">
        <v>2.9060000000000001</v>
      </c>
      <c r="J500" s="1">
        <v>5.3547000000000002</v>
      </c>
    </row>
    <row r="501" spans="2:10" x14ac:dyDescent="0.3">
      <c r="B501" s="10">
        <f t="shared" si="14"/>
        <v>2024</v>
      </c>
      <c r="C501" s="10">
        <f t="shared" si="15"/>
        <v>6</v>
      </c>
      <c r="D501" s="3">
        <v>45450</v>
      </c>
      <c r="E501" s="1">
        <v>79.62</v>
      </c>
      <c r="F501" s="1">
        <v>75.53</v>
      </c>
      <c r="G501" s="1">
        <v>2.3517000000000001</v>
      </c>
      <c r="H501" s="1">
        <v>2.3826000000000001</v>
      </c>
      <c r="I501" s="1">
        <v>2.9180000000000001</v>
      </c>
      <c r="J501" s="1">
        <v>5.3448000000000002</v>
      </c>
    </row>
    <row r="502" spans="2:10" x14ac:dyDescent="0.3">
      <c r="B502" s="10">
        <f t="shared" si="14"/>
        <v>2024</v>
      </c>
      <c r="C502" s="10">
        <f t="shared" si="15"/>
        <v>6</v>
      </c>
      <c r="D502" s="3">
        <v>45449</v>
      </c>
      <c r="E502" s="1">
        <v>79.87</v>
      </c>
      <c r="F502" s="1">
        <v>75.55</v>
      </c>
      <c r="G502" s="1">
        <v>2.3576000000000001</v>
      </c>
      <c r="H502" s="1">
        <v>2.3975</v>
      </c>
      <c r="I502" s="1">
        <v>2.8210000000000002</v>
      </c>
      <c r="J502" s="1">
        <v>5.2560000000000002</v>
      </c>
    </row>
    <row r="503" spans="2:10" x14ac:dyDescent="0.3">
      <c r="B503" s="10">
        <f t="shared" si="14"/>
        <v>2024</v>
      </c>
      <c r="C503" s="10">
        <f t="shared" si="15"/>
        <v>6</v>
      </c>
      <c r="D503" s="3">
        <v>45448</v>
      </c>
      <c r="E503" s="1">
        <v>78.41</v>
      </c>
      <c r="F503" s="1">
        <v>74.069999999999993</v>
      </c>
      <c r="G503" s="1">
        <v>2.3010999999999999</v>
      </c>
      <c r="H503" s="1">
        <v>2.3536000000000001</v>
      </c>
      <c r="I503" s="1">
        <v>2.7570000000000001</v>
      </c>
      <c r="J503" s="1">
        <v>5.2964000000000002</v>
      </c>
    </row>
    <row r="504" spans="2:10" x14ac:dyDescent="0.3">
      <c r="B504" s="10">
        <f t="shared" si="14"/>
        <v>2024</v>
      </c>
      <c r="C504" s="10">
        <f t="shared" si="15"/>
        <v>6</v>
      </c>
      <c r="D504" s="3">
        <v>45447</v>
      </c>
      <c r="E504" s="1">
        <v>77.52</v>
      </c>
      <c r="F504" s="1">
        <v>73.25</v>
      </c>
      <c r="G504" s="1">
        <v>2.2858999999999998</v>
      </c>
      <c r="H504" s="1">
        <v>2.3494999999999999</v>
      </c>
      <c r="I504" s="1">
        <v>2.5859999999999999</v>
      </c>
      <c r="J504" s="1">
        <v>5.2861000000000002</v>
      </c>
    </row>
    <row r="505" spans="2:10" x14ac:dyDescent="0.3">
      <c r="B505" s="10">
        <f t="shared" si="14"/>
        <v>2024</v>
      </c>
      <c r="C505" s="10">
        <f t="shared" si="15"/>
        <v>6</v>
      </c>
      <c r="D505" s="3">
        <v>45446</v>
      </c>
      <c r="E505" s="1">
        <v>78.36</v>
      </c>
      <c r="F505" s="1">
        <v>74.22</v>
      </c>
      <c r="G505" s="1">
        <v>2.2961999999999998</v>
      </c>
      <c r="H505" s="1">
        <v>2.3355999999999999</v>
      </c>
      <c r="I505" s="1">
        <v>2.7559999999999998</v>
      </c>
      <c r="J505" s="1">
        <v>5.2466999999999997</v>
      </c>
    </row>
    <row r="506" spans="2:10" x14ac:dyDescent="0.3">
      <c r="B506" s="10">
        <f t="shared" si="14"/>
        <v>2024</v>
      </c>
      <c r="C506" s="10">
        <f t="shared" si="15"/>
        <v>5</v>
      </c>
      <c r="D506" s="3">
        <v>45443</v>
      </c>
      <c r="E506" s="1">
        <v>81.62</v>
      </c>
      <c r="F506" s="1">
        <v>76.989999999999995</v>
      </c>
      <c r="G506" s="1">
        <v>2.3635999999999999</v>
      </c>
      <c r="H506" s="1">
        <v>2.4260000000000002</v>
      </c>
      <c r="I506" s="1">
        <v>2.5870000000000002</v>
      </c>
      <c r="J506" s="1">
        <v>5.2443</v>
      </c>
    </row>
    <row r="507" spans="2:10" x14ac:dyDescent="0.3">
      <c r="B507" s="10">
        <f t="shared" si="14"/>
        <v>2024</v>
      </c>
      <c r="C507" s="10">
        <f t="shared" si="15"/>
        <v>5</v>
      </c>
      <c r="D507" s="3">
        <v>45442</v>
      </c>
      <c r="E507" s="1">
        <v>81.86</v>
      </c>
      <c r="F507" s="1">
        <v>77.91</v>
      </c>
      <c r="G507" s="1">
        <v>2.3694000000000002</v>
      </c>
      <c r="H507" s="1">
        <v>2.4045999999999998</v>
      </c>
      <c r="I507" s="1">
        <v>2.5720000000000001</v>
      </c>
      <c r="J507" s="1">
        <v>5.2034000000000002</v>
      </c>
    </row>
    <row r="508" spans="2:10" x14ac:dyDescent="0.3">
      <c r="B508" s="10">
        <f t="shared" si="14"/>
        <v>2024</v>
      </c>
      <c r="C508" s="10">
        <f t="shared" si="15"/>
        <v>5</v>
      </c>
      <c r="D508" s="3">
        <v>45441</v>
      </c>
      <c r="E508" s="1">
        <v>83.6</v>
      </c>
      <c r="F508" s="1">
        <v>79.23</v>
      </c>
      <c r="G508" s="1">
        <v>2.4369999999999998</v>
      </c>
      <c r="H508" s="1">
        <v>2.4643999999999999</v>
      </c>
      <c r="I508" s="1">
        <v>2.4929999999999999</v>
      </c>
      <c r="J508" s="1">
        <v>5.2018000000000004</v>
      </c>
    </row>
    <row r="509" spans="2:10" x14ac:dyDescent="0.3">
      <c r="B509" s="10">
        <f t="shared" si="14"/>
        <v>2024</v>
      </c>
      <c r="C509" s="10">
        <f t="shared" si="15"/>
        <v>5</v>
      </c>
      <c r="D509" s="3">
        <v>45440</v>
      </c>
      <c r="E509" s="1">
        <v>84.22</v>
      </c>
      <c r="F509" s="1">
        <v>79.83</v>
      </c>
      <c r="G509" s="1">
        <v>2.4649999999999999</v>
      </c>
      <c r="H509" s="1">
        <v>2.5089999999999999</v>
      </c>
      <c r="I509" s="1">
        <v>2.59</v>
      </c>
      <c r="J509" s="1">
        <v>5.1611000000000002</v>
      </c>
    </row>
    <row r="510" spans="2:10" x14ac:dyDescent="0.3">
      <c r="B510" s="10">
        <f t="shared" si="14"/>
        <v>2024</v>
      </c>
      <c r="C510" s="10">
        <f t="shared" si="15"/>
        <v>5</v>
      </c>
      <c r="D510" s="3">
        <v>45439</v>
      </c>
      <c r="E510" s="1">
        <v>83.1</v>
      </c>
      <c r="J510" s="1">
        <v>5.1707999999999998</v>
      </c>
    </row>
    <row r="511" spans="2:10" x14ac:dyDescent="0.3">
      <c r="B511" s="10">
        <f t="shared" si="14"/>
        <v>2024</v>
      </c>
      <c r="C511" s="10">
        <f t="shared" si="15"/>
        <v>5</v>
      </c>
      <c r="D511" s="3">
        <v>45436</v>
      </c>
      <c r="E511" s="1">
        <v>82.12</v>
      </c>
      <c r="F511" s="1">
        <v>77.72</v>
      </c>
      <c r="G511" s="1">
        <v>2.4136000000000002</v>
      </c>
      <c r="H511" s="1">
        <v>2.4842</v>
      </c>
      <c r="I511" s="1">
        <v>2.52</v>
      </c>
      <c r="J511" s="1">
        <v>5.1660000000000004</v>
      </c>
    </row>
    <row r="512" spans="2:10" x14ac:dyDescent="0.3">
      <c r="B512" s="10">
        <f t="shared" si="14"/>
        <v>2024</v>
      </c>
      <c r="C512" s="10">
        <f t="shared" si="15"/>
        <v>5</v>
      </c>
      <c r="D512" s="3">
        <v>45435</v>
      </c>
      <c r="E512" s="1">
        <v>81.36</v>
      </c>
      <c r="F512" s="1">
        <v>76.87</v>
      </c>
      <c r="G512" s="1">
        <v>2.4117999999999999</v>
      </c>
      <c r="H512" s="1">
        <v>2.4693999999999998</v>
      </c>
      <c r="I512" s="1">
        <v>2.657</v>
      </c>
      <c r="J512" s="1">
        <v>5.1441999999999997</v>
      </c>
    </row>
    <row r="513" spans="2:10" x14ac:dyDescent="0.3">
      <c r="B513" s="10">
        <f t="shared" si="14"/>
        <v>2024</v>
      </c>
      <c r="C513" s="10">
        <f t="shared" si="15"/>
        <v>5</v>
      </c>
      <c r="D513" s="3">
        <v>45434</v>
      </c>
      <c r="E513" s="1">
        <v>81.900000000000006</v>
      </c>
      <c r="F513" s="1">
        <v>77.569999999999993</v>
      </c>
      <c r="G513" s="1">
        <v>2.4318</v>
      </c>
      <c r="H513" s="1">
        <v>2.4678</v>
      </c>
      <c r="I513" s="1">
        <v>2.8420000000000001</v>
      </c>
      <c r="J513" s="1">
        <v>5.1502999999999997</v>
      </c>
    </row>
    <row r="514" spans="2:10" x14ac:dyDescent="0.3">
      <c r="B514" s="10">
        <f t="shared" si="14"/>
        <v>2024</v>
      </c>
      <c r="C514" s="10">
        <f t="shared" si="15"/>
        <v>5</v>
      </c>
      <c r="D514" s="3">
        <v>45433</v>
      </c>
      <c r="E514" s="1">
        <v>82.88</v>
      </c>
      <c r="F514" s="1">
        <v>79.260000000000005</v>
      </c>
      <c r="G514" s="1">
        <v>2.4622999999999999</v>
      </c>
      <c r="H514" s="1">
        <v>2.5099999999999998</v>
      </c>
      <c r="I514" s="1">
        <v>2.6709999999999998</v>
      </c>
      <c r="J514" s="1">
        <v>5.1224999999999996</v>
      </c>
    </row>
    <row r="515" spans="2:10" x14ac:dyDescent="0.3">
      <c r="B515" s="10">
        <f t="shared" si="14"/>
        <v>2024</v>
      </c>
      <c r="C515" s="10">
        <f t="shared" si="15"/>
        <v>5</v>
      </c>
      <c r="D515" s="3">
        <v>45432</v>
      </c>
      <c r="E515" s="1">
        <v>83.71</v>
      </c>
      <c r="F515" s="1">
        <v>79.8</v>
      </c>
      <c r="G515" s="1">
        <v>2.4870999999999999</v>
      </c>
      <c r="H515" s="1">
        <v>2.5398999999999998</v>
      </c>
      <c r="I515" s="1">
        <v>2.7509999999999999</v>
      </c>
      <c r="J515" s="1">
        <v>5.1032999999999999</v>
      </c>
    </row>
    <row r="516" spans="2:10" x14ac:dyDescent="0.3">
      <c r="B516" s="10">
        <f t="shared" si="14"/>
        <v>2024</v>
      </c>
      <c r="C516" s="10">
        <f t="shared" si="15"/>
        <v>5</v>
      </c>
      <c r="D516" s="3">
        <v>45429</v>
      </c>
      <c r="E516" s="1">
        <v>83.98</v>
      </c>
      <c r="F516" s="1">
        <v>80.06</v>
      </c>
      <c r="G516" s="1">
        <v>2.4863</v>
      </c>
      <c r="H516" s="1">
        <v>2.5741999999999998</v>
      </c>
      <c r="I516" s="1">
        <v>2.6259999999999999</v>
      </c>
      <c r="J516" s="1">
        <v>5.1031000000000004</v>
      </c>
    </row>
    <row r="517" spans="2:10" x14ac:dyDescent="0.3">
      <c r="B517" s="10">
        <f t="shared" si="14"/>
        <v>2024</v>
      </c>
      <c r="C517" s="10">
        <f t="shared" si="15"/>
        <v>5</v>
      </c>
      <c r="D517" s="3">
        <v>45428</v>
      </c>
      <c r="E517" s="1">
        <v>83.27</v>
      </c>
      <c r="F517" s="1">
        <v>79.23</v>
      </c>
      <c r="G517" s="1">
        <v>2.4437000000000002</v>
      </c>
      <c r="H517" s="1">
        <v>2.5377999999999998</v>
      </c>
      <c r="I517" s="1">
        <v>2.4950000000000001</v>
      </c>
      <c r="J517" s="1">
        <v>5.1288</v>
      </c>
    </row>
    <row r="518" spans="2:10" x14ac:dyDescent="0.3">
      <c r="B518" s="10">
        <f t="shared" ref="B518:B581" si="16">YEAR(D518)</f>
        <v>2024</v>
      </c>
      <c r="C518" s="10">
        <f t="shared" ref="C518:C581" si="17">MONTH(D518)</f>
        <v>5</v>
      </c>
      <c r="D518" s="3">
        <v>45427</v>
      </c>
      <c r="E518" s="1">
        <v>82.75</v>
      </c>
      <c r="F518" s="1">
        <v>78.63</v>
      </c>
      <c r="G518" s="1">
        <v>2.4230999999999998</v>
      </c>
      <c r="H518" s="1">
        <v>2.4967999999999999</v>
      </c>
      <c r="I518" s="1">
        <v>2.4159999999999999</v>
      </c>
      <c r="J518" s="1">
        <v>5.1372999999999998</v>
      </c>
    </row>
    <row r="519" spans="2:10" x14ac:dyDescent="0.3">
      <c r="B519" s="10">
        <f t="shared" si="16"/>
        <v>2024</v>
      </c>
      <c r="C519" s="10">
        <f t="shared" si="17"/>
        <v>5</v>
      </c>
      <c r="D519" s="3">
        <v>45426</v>
      </c>
      <c r="E519" s="1">
        <v>82.38</v>
      </c>
      <c r="F519" s="1">
        <v>78.02</v>
      </c>
      <c r="G519" s="1">
        <v>2.42</v>
      </c>
      <c r="H519" s="1">
        <v>2.4596</v>
      </c>
      <c r="I519" s="1">
        <v>2.3439999999999999</v>
      </c>
      <c r="J519" s="1">
        <v>5.1299000000000001</v>
      </c>
    </row>
    <row r="520" spans="2:10" x14ac:dyDescent="0.3">
      <c r="B520" s="10">
        <f t="shared" si="16"/>
        <v>2024</v>
      </c>
      <c r="C520" s="10">
        <f t="shared" si="17"/>
        <v>5</v>
      </c>
      <c r="D520" s="3">
        <v>45425</v>
      </c>
      <c r="E520" s="1">
        <v>83.36</v>
      </c>
      <c r="F520" s="1">
        <v>79.12</v>
      </c>
      <c r="G520" s="1">
        <v>2.4367999999999999</v>
      </c>
      <c r="H520" s="1">
        <v>2.5105</v>
      </c>
      <c r="I520" s="1">
        <v>2.3809999999999998</v>
      </c>
      <c r="J520" s="1">
        <v>5.1510999999999996</v>
      </c>
    </row>
    <row r="521" spans="2:10" x14ac:dyDescent="0.3">
      <c r="B521" s="10">
        <f t="shared" si="16"/>
        <v>2024</v>
      </c>
      <c r="C521" s="10">
        <f t="shared" si="17"/>
        <v>5</v>
      </c>
      <c r="D521" s="3">
        <v>45422</v>
      </c>
      <c r="E521" s="1">
        <v>82.79</v>
      </c>
      <c r="F521" s="1">
        <v>78.260000000000005</v>
      </c>
      <c r="G521" s="1">
        <v>2.4344000000000001</v>
      </c>
      <c r="H521" s="1">
        <v>2.4996999999999998</v>
      </c>
      <c r="I521" s="1">
        <v>2.2519999999999998</v>
      </c>
      <c r="J521" s="1">
        <v>5.1584000000000003</v>
      </c>
    </row>
    <row r="522" spans="2:10" x14ac:dyDescent="0.3">
      <c r="B522" s="10">
        <f t="shared" si="16"/>
        <v>2024</v>
      </c>
      <c r="C522" s="10">
        <f t="shared" si="17"/>
        <v>5</v>
      </c>
      <c r="D522" s="3">
        <v>45421</v>
      </c>
      <c r="E522" s="1">
        <v>83.88</v>
      </c>
      <c r="F522" s="1">
        <v>79.260000000000005</v>
      </c>
      <c r="G522" s="1">
        <v>2.4775999999999998</v>
      </c>
      <c r="H522" s="1">
        <v>2.5417999999999998</v>
      </c>
      <c r="I522" s="1">
        <v>2.3010000000000002</v>
      </c>
      <c r="J522" s="1">
        <v>5.1412000000000004</v>
      </c>
    </row>
    <row r="523" spans="2:10" x14ac:dyDescent="0.3">
      <c r="B523" s="10">
        <f t="shared" si="16"/>
        <v>2024</v>
      </c>
      <c r="C523" s="10">
        <f t="shared" si="17"/>
        <v>5</v>
      </c>
      <c r="D523" s="3">
        <v>45420</v>
      </c>
      <c r="E523" s="1">
        <v>83.58</v>
      </c>
      <c r="F523" s="1">
        <v>78.989999999999995</v>
      </c>
      <c r="G523" s="1">
        <v>2.4761000000000002</v>
      </c>
      <c r="H523" s="1">
        <v>2.5318000000000001</v>
      </c>
      <c r="I523" s="1">
        <v>2.1869999999999998</v>
      </c>
      <c r="J523" s="1">
        <v>5.0909000000000004</v>
      </c>
    </row>
    <row r="524" spans="2:10" x14ac:dyDescent="0.3">
      <c r="B524" s="10">
        <f t="shared" si="16"/>
        <v>2024</v>
      </c>
      <c r="C524" s="10">
        <f t="shared" si="17"/>
        <v>5</v>
      </c>
      <c r="D524" s="3">
        <v>45419</v>
      </c>
      <c r="E524" s="1">
        <v>83.16</v>
      </c>
      <c r="F524" s="1">
        <v>78.38</v>
      </c>
      <c r="G524" s="1">
        <v>2.4655999999999998</v>
      </c>
      <c r="H524" s="1">
        <v>2.5434000000000001</v>
      </c>
      <c r="I524" s="1">
        <v>2.2069999999999999</v>
      </c>
      <c r="J524" s="1">
        <v>5.0707000000000004</v>
      </c>
    </row>
    <row r="525" spans="2:10" x14ac:dyDescent="0.3">
      <c r="B525" s="10">
        <f t="shared" si="16"/>
        <v>2024</v>
      </c>
      <c r="C525" s="10">
        <f t="shared" si="17"/>
        <v>5</v>
      </c>
      <c r="D525" s="3">
        <v>45418</v>
      </c>
      <c r="E525" s="1">
        <v>83.33</v>
      </c>
      <c r="F525" s="1">
        <v>78.48</v>
      </c>
      <c r="G525" s="1">
        <v>2.4613999999999998</v>
      </c>
      <c r="H525" s="1">
        <v>2.5882000000000001</v>
      </c>
      <c r="I525" s="1">
        <v>2.1949999999999998</v>
      </c>
      <c r="J525" s="1">
        <v>5.0758000000000001</v>
      </c>
    </row>
    <row r="526" spans="2:10" x14ac:dyDescent="0.3">
      <c r="B526" s="10">
        <f t="shared" si="16"/>
        <v>2024</v>
      </c>
      <c r="C526" s="10">
        <f t="shared" si="17"/>
        <v>5</v>
      </c>
      <c r="D526" s="3">
        <v>45415</v>
      </c>
      <c r="E526" s="1">
        <v>82.96</v>
      </c>
      <c r="F526" s="1">
        <v>78.11</v>
      </c>
      <c r="G526" s="1">
        <v>2.4434</v>
      </c>
      <c r="H526" s="1">
        <v>2.5550999999999999</v>
      </c>
      <c r="I526" s="1">
        <v>2.1419999999999999</v>
      </c>
      <c r="J526" s="1">
        <v>5.0721999999999996</v>
      </c>
    </row>
    <row r="527" spans="2:10" x14ac:dyDescent="0.3">
      <c r="B527" s="10">
        <f t="shared" si="16"/>
        <v>2024</v>
      </c>
      <c r="C527" s="10">
        <f t="shared" si="17"/>
        <v>5</v>
      </c>
      <c r="D527" s="3">
        <v>45414</v>
      </c>
      <c r="E527" s="1">
        <v>83.67</v>
      </c>
      <c r="F527" s="1">
        <v>78.95</v>
      </c>
      <c r="G527" s="1">
        <v>2.4430999999999998</v>
      </c>
      <c r="H527" s="1">
        <v>2.5964999999999998</v>
      </c>
      <c r="I527" s="1">
        <v>2.0350000000000001</v>
      </c>
      <c r="J527" s="1">
        <v>5.1113</v>
      </c>
    </row>
    <row r="528" spans="2:10" x14ac:dyDescent="0.3">
      <c r="B528" s="10">
        <f t="shared" si="16"/>
        <v>2024</v>
      </c>
      <c r="C528" s="10">
        <f t="shared" si="17"/>
        <v>5</v>
      </c>
      <c r="D528" s="3">
        <v>45413</v>
      </c>
      <c r="E528" s="1">
        <v>83.44</v>
      </c>
      <c r="F528" s="1">
        <v>79</v>
      </c>
      <c r="G528" s="1">
        <v>2.4519000000000002</v>
      </c>
      <c r="H528" s="1">
        <v>2.5773999999999999</v>
      </c>
      <c r="I528" s="1">
        <v>1.9319999999999999</v>
      </c>
      <c r="J528" s="1">
        <v>5.1936</v>
      </c>
    </row>
    <row r="529" spans="2:10" x14ac:dyDescent="0.3">
      <c r="B529" s="10">
        <f t="shared" si="16"/>
        <v>2024</v>
      </c>
      <c r="C529" s="10">
        <f t="shared" si="17"/>
        <v>4</v>
      </c>
      <c r="D529" s="3">
        <v>45412</v>
      </c>
      <c r="E529" s="1">
        <v>87.86</v>
      </c>
      <c r="F529" s="1">
        <v>81.93</v>
      </c>
      <c r="G529" s="1">
        <v>2.5133999999999999</v>
      </c>
      <c r="H529" s="1">
        <v>2.7107999999999999</v>
      </c>
      <c r="I529" s="1">
        <v>1.9910000000000001</v>
      </c>
      <c r="J529" s="1">
        <v>5.1933999999999996</v>
      </c>
    </row>
    <row r="530" spans="2:10" x14ac:dyDescent="0.3">
      <c r="B530" s="10">
        <f t="shared" si="16"/>
        <v>2024</v>
      </c>
      <c r="C530" s="10">
        <f t="shared" si="17"/>
        <v>4</v>
      </c>
      <c r="D530" s="3">
        <v>45411</v>
      </c>
      <c r="E530" s="1">
        <v>88.4</v>
      </c>
      <c r="F530" s="1">
        <v>82.63</v>
      </c>
      <c r="G530" s="1">
        <v>2.5312999999999999</v>
      </c>
      <c r="H530" s="1">
        <v>2.7486999999999999</v>
      </c>
      <c r="I530" s="1">
        <v>2.0299999999999998</v>
      </c>
      <c r="J530" s="1">
        <v>5.1189</v>
      </c>
    </row>
    <row r="531" spans="2:10" x14ac:dyDescent="0.3">
      <c r="B531" s="10">
        <f t="shared" si="16"/>
        <v>2024</v>
      </c>
      <c r="C531" s="10">
        <f t="shared" si="17"/>
        <v>4</v>
      </c>
      <c r="D531" s="3">
        <v>45408</v>
      </c>
      <c r="E531" s="1">
        <v>89.5</v>
      </c>
      <c r="F531" s="1">
        <v>83.85</v>
      </c>
      <c r="G531" s="1">
        <v>2.5482</v>
      </c>
      <c r="H531" s="1">
        <v>2.7646000000000002</v>
      </c>
      <c r="I531" s="1">
        <v>1.6140000000000001</v>
      </c>
      <c r="J531" s="1">
        <v>5.1151</v>
      </c>
    </row>
    <row r="532" spans="2:10" x14ac:dyDescent="0.3">
      <c r="B532" s="10">
        <f t="shared" si="16"/>
        <v>2024</v>
      </c>
      <c r="C532" s="10">
        <f t="shared" si="17"/>
        <v>4</v>
      </c>
      <c r="D532" s="3">
        <v>45407</v>
      </c>
      <c r="E532" s="1">
        <v>89.01</v>
      </c>
      <c r="F532" s="1">
        <v>83.57</v>
      </c>
      <c r="G532" s="1">
        <v>2.5503999999999998</v>
      </c>
      <c r="H532" s="1">
        <v>2.7582</v>
      </c>
      <c r="I532" s="1">
        <v>1.6379999999999999</v>
      </c>
      <c r="J532" s="1">
        <v>5.1601999999999997</v>
      </c>
    </row>
    <row r="533" spans="2:10" x14ac:dyDescent="0.3">
      <c r="B533" s="10">
        <f t="shared" si="16"/>
        <v>2024</v>
      </c>
      <c r="C533" s="10">
        <f t="shared" si="17"/>
        <v>4</v>
      </c>
      <c r="D533" s="3">
        <v>45406</v>
      </c>
      <c r="E533" s="1">
        <v>88.02</v>
      </c>
      <c r="F533" s="1">
        <v>82.81</v>
      </c>
      <c r="G533" s="1">
        <v>2.5499000000000001</v>
      </c>
      <c r="H533" s="1">
        <v>2.7343000000000002</v>
      </c>
      <c r="I533" s="1">
        <v>1.653</v>
      </c>
      <c r="J533" s="1">
        <v>5.1456999999999997</v>
      </c>
    </row>
    <row r="534" spans="2:10" x14ac:dyDescent="0.3">
      <c r="B534" s="10">
        <f t="shared" si="16"/>
        <v>2024</v>
      </c>
      <c r="C534" s="10">
        <f t="shared" si="17"/>
        <v>4</v>
      </c>
      <c r="D534" s="3">
        <v>45405</v>
      </c>
      <c r="E534" s="1">
        <v>88.42</v>
      </c>
      <c r="F534" s="1">
        <v>83.36</v>
      </c>
      <c r="G534" s="1">
        <v>2.5792000000000002</v>
      </c>
      <c r="H534" s="1">
        <v>2.7252999999999998</v>
      </c>
      <c r="I534" s="1">
        <v>1.8120000000000001</v>
      </c>
      <c r="J534" s="1">
        <v>5.1260000000000003</v>
      </c>
    </row>
    <row r="535" spans="2:10" x14ac:dyDescent="0.3">
      <c r="B535" s="10">
        <f t="shared" si="16"/>
        <v>2024</v>
      </c>
      <c r="C535" s="10">
        <f t="shared" si="17"/>
        <v>4</v>
      </c>
      <c r="D535" s="3">
        <v>45404</v>
      </c>
      <c r="E535" s="1">
        <v>87</v>
      </c>
      <c r="F535" s="1">
        <v>82.85</v>
      </c>
      <c r="G535" s="1">
        <v>2.5604</v>
      </c>
      <c r="H535" s="1">
        <v>2.6854</v>
      </c>
      <c r="I535" s="1">
        <v>1.7909999999999999</v>
      </c>
      <c r="J535" s="1">
        <v>5.1680000000000001</v>
      </c>
    </row>
    <row r="536" spans="2:10" x14ac:dyDescent="0.3">
      <c r="B536" s="10">
        <f t="shared" si="16"/>
        <v>2024</v>
      </c>
      <c r="C536" s="10">
        <f t="shared" si="17"/>
        <v>4</v>
      </c>
      <c r="D536" s="3">
        <v>45401</v>
      </c>
      <c r="E536" s="1">
        <v>87.29</v>
      </c>
      <c r="F536" s="1">
        <v>83.14</v>
      </c>
      <c r="G536" s="1">
        <v>2.5413000000000001</v>
      </c>
      <c r="H536" s="1">
        <v>2.7103000000000002</v>
      </c>
      <c r="I536" s="1">
        <v>1.752</v>
      </c>
      <c r="J536" s="1">
        <v>5.2027000000000001</v>
      </c>
    </row>
    <row r="537" spans="2:10" x14ac:dyDescent="0.3">
      <c r="B537" s="10">
        <f t="shared" si="16"/>
        <v>2024</v>
      </c>
      <c r="C537" s="10">
        <f t="shared" si="17"/>
        <v>4</v>
      </c>
      <c r="D537" s="3">
        <v>45400</v>
      </c>
      <c r="E537" s="1">
        <v>87.11</v>
      </c>
      <c r="F537" s="1">
        <v>82.73</v>
      </c>
      <c r="G537" s="1">
        <v>2.5339</v>
      </c>
      <c r="H537" s="1">
        <v>2.7136999999999998</v>
      </c>
      <c r="I537" s="1">
        <v>1.7569999999999999</v>
      </c>
      <c r="J537" s="1">
        <v>5.2481999999999998</v>
      </c>
    </row>
    <row r="538" spans="2:10" x14ac:dyDescent="0.3">
      <c r="B538" s="10">
        <f t="shared" si="16"/>
        <v>2024</v>
      </c>
      <c r="C538" s="10">
        <f t="shared" si="17"/>
        <v>4</v>
      </c>
      <c r="D538" s="3">
        <v>45399</v>
      </c>
      <c r="E538" s="1">
        <v>87.29</v>
      </c>
      <c r="F538" s="1">
        <v>82.69</v>
      </c>
      <c r="G538" s="1">
        <v>2.5747</v>
      </c>
      <c r="H538" s="1">
        <v>2.7286999999999999</v>
      </c>
      <c r="I538" s="1">
        <v>1.712</v>
      </c>
      <c r="J538" s="1">
        <v>5.242</v>
      </c>
    </row>
    <row r="539" spans="2:10" x14ac:dyDescent="0.3">
      <c r="B539" s="10">
        <f t="shared" si="16"/>
        <v>2024</v>
      </c>
      <c r="C539" s="10">
        <f t="shared" si="17"/>
        <v>4</v>
      </c>
      <c r="D539" s="3">
        <v>45398</v>
      </c>
      <c r="E539" s="1">
        <v>90.02</v>
      </c>
      <c r="F539" s="1">
        <v>85.36</v>
      </c>
      <c r="G539" s="1">
        <v>2.6513</v>
      </c>
      <c r="H539" s="1">
        <v>2.8222999999999998</v>
      </c>
      <c r="I539" s="1">
        <v>1.732</v>
      </c>
      <c r="J539" s="1">
        <v>5.2826000000000004</v>
      </c>
    </row>
    <row r="540" spans="2:10" x14ac:dyDescent="0.3">
      <c r="B540" s="10">
        <f t="shared" si="16"/>
        <v>2024</v>
      </c>
      <c r="C540" s="10">
        <f t="shared" si="17"/>
        <v>4</v>
      </c>
      <c r="D540" s="3">
        <v>45397</v>
      </c>
      <c r="E540" s="1">
        <v>90.1</v>
      </c>
      <c r="F540" s="1">
        <v>85.41</v>
      </c>
      <c r="G540" s="1">
        <v>2.6541999999999999</v>
      </c>
      <c r="H540" s="1">
        <v>2.7839</v>
      </c>
      <c r="I540" s="1">
        <v>1.6910000000000001</v>
      </c>
      <c r="J540" s="1">
        <v>5.1845999999999997</v>
      </c>
    </row>
    <row r="541" spans="2:10" x14ac:dyDescent="0.3">
      <c r="B541" s="10">
        <f t="shared" si="16"/>
        <v>2024</v>
      </c>
      <c r="C541" s="10">
        <f t="shared" si="17"/>
        <v>4</v>
      </c>
      <c r="D541" s="3">
        <v>45394</v>
      </c>
      <c r="E541" s="1">
        <v>90.45</v>
      </c>
      <c r="F541" s="1">
        <v>85.66</v>
      </c>
      <c r="G541" s="1">
        <v>2.6850999999999998</v>
      </c>
      <c r="H541" s="1">
        <v>2.8029000000000002</v>
      </c>
      <c r="I541" s="1">
        <v>1.77</v>
      </c>
      <c r="J541" s="1">
        <v>5.1174999999999997</v>
      </c>
    </row>
    <row r="542" spans="2:10" x14ac:dyDescent="0.3">
      <c r="B542" s="10">
        <f t="shared" si="16"/>
        <v>2024</v>
      </c>
      <c r="C542" s="10">
        <f t="shared" si="17"/>
        <v>4</v>
      </c>
      <c r="D542" s="3">
        <v>45393</v>
      </c>
      <c r="E542" s="1">
        <v>89.74</v>
      </c>
      <c r="F542" s="1">
        <v>85.02</v>
      </c>
      <c r="G542" s="1">
        <v>2.6598000000000002</v>
      </c>
      <c r="H542" s="1">
        <v>2.7740999999999998</v>
      </c>
      <c r="I542" s="1">
        <v>1.764</v>
      </c>
      <c r="J542" s="1">
        <v>5.0917000000000003</v>
      </c>
    </row>
    <row r="543" spans="2:10" x14ac:dyDescent="0.3">
      <c r="B543" s="10">
        <f t="shared" si="16"/>
        <v>2024</v>
      </c>
      <c r="C543" s="10">
        <f t="shared" si="17"/>
        <v>4</v>
      </c>
      <c r="D543" s="3">
        <v>45392</v>
      </c>
      <c r="E543" s="1">
        <v>90.48</v>
      </c>
      <c r="F543" s="1">
        <v>86.21</v>
      </c>
      <c r="G543" s="1">
        <v>2.7075999999999998</v>
      </c>
      <c r="H543" s="1">
        <v>2.7816000000000001</v>
      </c>
      <c r="I543" s="1">
        <v>1.885</v>
      </c>
      <c r="J543" s="1">
        <v>5.0746000000000002</v>
      </c>
    </row>
    <row r="544" spans="2:10" x14ac:dyDescent="0.3">
      <c r="B544" s="10">
        <f t="shared" si="16"/>
        <v>2024</v>
      </c>
      <c r="C544" s="10">
        <f t="shared" si="17"/>
        <v>4</v>
      </c>
      <c r="D544" s="3">
        <v>45391</v>
      </c>
      <c r="E544" s="1">
        <v>89.42</v>
      </c>
      <c r="F544" s="1">
        <v>85.23</v>
      </c>
      <c r="G544" s="1">
        <v>2.677</v>
      </c>
      <c r="H544" s="1">
        <v>2.7555999999999998</v>
      </c>
      <c r="I544" s="1">
        <v>1.8720000000000001</v>
      </c>
      <c r="J544" s="1">
        <v>5.0090000000000003</v>
      </c>
    </row>
    <row r="545" spans="2:10" x14ac:dyDescent="0.3">
      <c r="B545" s="10">
        <f t="shared" si="16"/>
        <v>2024</v>
      </c>
      <c r="C545" s="10">
        <f t="shared" si="17"/>
        <v>4</v>
      </c>
      <c r="D545" s="3">
        <v>45390</v>
      </c>
      <c r="E545" s="1">
        <v>90.38</v>
      </c>
      <c r="F545" s="1">
        <v>86.43</v>
      </c>
      <c r="G545" s="1">
        <v>2.7286999999999999</v>
      </c>
      <c r="H545" s="1">
        <v>2.7486000000000002</v>
      </c>
      <c r="I545" s="1">
        <v>1.8440000000000001</v>
      </c>
      <c r="J545" s="1">
        <v>5.0267999999999997</v>
      </c>
    </row>
    <row r="546" spans="2:10" x14ac:dyDescent="0.3">
      <c r="B546" s="10">
        <f t="shared" si="16"/>
        <v>2024</v>
      </c>
      <c r="C546" s="10">
        <f t="shared" si="17"/>
        <v>4</v>
      </c>
      <c r="D546" s="3">
        <v>45387</v>
      </c>
      <c r="E546" s="1">
        <v>91.17</v>
      </c>
      <c r="F546" s="1">
        <v>86.91</v>
      </c>
      <c r="G546" s="1">
        <v>2.7730000000000001</v>
      </c>
      <c r="H546" s="1">
        <v>2.7886000000000002</v>
      </c>
      <c r="I546" s="1">
        <v>1.7849999999999999</v>
      </c>
      <c r="J546" s="1">
        <v>5.0655000000000001</v>
      </c>
    </row>
    <row r="547" spans="2:10" x14ac:dyDescent="0.3">
      <c r="B547" s="10">
        <f t="shared" si="16"/>
        <v>2024</v>
      </c>
      <c r="C547" s="10">
        <f t="shared" si="17"/>
        <v>4</v>
      </c>
      <c r="D547" s="3">
        <v>45386</v>
      </c>
      <c r="E547" s="1">
        <v>90.65</v>
      </c>
      <c r="F547" s="1">
        <v>86.59</v>
      </c>
      <c r="G547" s="1">
        <v>2.7412999999999998</v>
      </c>
      <c r="H547" s="1">
        <v>2.7942</v>
      </c>
      <c r="I547" s="1">
        <v>1.774</v>
      </c>
      <c r="J547" s="1">
        <v>5.0537999999999998</v>
      </c>
    </row>
    <row r="548" spans="2:10" x14ac:dyDescent="0.3">
      <c r="B548" s="10">
        <f t="shared" si="16"/>
        <v>2024</v>
      </c>
      <c r="C548" s="10">
        <f t="shared" si="17"/>
        <v>4</v>
      </c>
      <c r="D548" s="3">
        <v>45385</v>
      </c>
      <c r="E548" s="1">
        <v>89.35</v>
      </c>
      <c r="F548" s="1">
        <v>85.43</v>
      </c>
      <c r="G548" s="1">
        <v>2.7324000000000002</v>
      </c>
      <c r="H548" s="1">
        <v>2.7608999999999999</v>
      </c>
      <c r="I548" s="1">
        <v>1.841</v>
      </c>
      <c r="J548" s="1">
        <v>5.0392999999999999</v>
      </c>
    </row>
    <row r="549" spans="2:10" x14ac:dyDescent="0.3">
      <c r="B549" s="10">
        <f t="shared" si="16"/>
        <v>2024</v>
      </c>
      <c r="C549" s="10">
        <f t="shared" si="17"/>
        <v>4</v>
      </c>
      <c r="D549" s="3">
        <v>45384</v>
      </c>
      <c r="E549" s="1">
        <v>88.92</v>
      </c>
      <c r="F549" s="1">
        <v>85.15</v>
      </c>
      <c r="G549" s="1">
        <v>2.7119</v>
      </c>
      <c r="H549" s="1">
        <v>2.7589000000000001</v>
      </c>
      <c r="I549" s="1">
        <v>1.8620000000000001</v>
      </c>
      <c r="J549" s="1">
        <v>5.0575999999999999</v>
      </c>
    </row>
    <row r="550" spans="2:10" x14ac:dyDescent="0.3">
      <c r="B550" s="10">
        <f t="shared" si="16"/>
        <v>2024</v>
      </c>
      <c r="C550" s="10">
        <f t="shared" si="17"/>
        <v>4</v>
      </c>
      <c r="D550" s="3">
        <v>45383</v>
      </c>
      <c r="E550" s="1">
        <v>87.42</v>
      </c>
      <c r="F550" s="1">
        <v>83.71</v>
      </c>
      <c r="G550" s="1">
        <v>2.6271</v>
      </c>
      <c r="H550" s="1">
        <v>2.71</v>
      </c>
      <c r="I550" s="1">
        <v>1.837</v>
      </c>
      <c r="J550" s="1">
        <v>5.0542999999999996</v>
      </c>
    </row>
    <row r="551" spans="2:10" x14ac:dyDescent="0.3">
      <c r="B551" s="10">
        <f t="shared" si="16"/>
        <v>2024</v>
      </c>
      <c r="C551" s="10">
        <f t="shared" si="17"/>
        <v>3</v>
      </c>
      <c r="D551" s="3">
        <v>45380</v>
      </c>
      <c r="J551" s="1">
        <v>5.0152999999999999</v>
      </c>
    </row>
    <row r="552" spans="2:10" x14ac:dyDescent="0.3">
      <c r="B552" s="10">
        <f t="shared" si="16"/>
        <v>2024</v>
      </c>
      <c r="C552" s="10">
        <f t="shared" si="17"/>
        <v>3</v>
      </c>
      <c r="D552" s="3">
        <v>45379</v>
      </c>
      <c r="E552" s="1">
        <v>87.48</v>
      </c>
      <c r="F552" s="1">
        <v>83.17</v>
      </c>
      <c r="G552" s="1">
        <v>2.6156000000000001</v>
      </c>
      <c r="H552" s="1">
        <v>2.7610999999999999</v>
      </c>
      <c r="I552" s="1">
        <v>1.7629999999999999</v>
      </c>
      <c r="J552" s="1">
        <v>5.0129000000000001</v>
      </c>
    </row>
    <row r="553" spans="2:10" x14ac:dyDescent="0.3">
      <c r="B553" s="10">
        <f t="shared" si="16"/>
        <v>2024</v>
      </c>
      <c r="C553" s="10">
        <f t="shared" si="17"/>
        <v>3</v>
      </c>
      <c r="D553" s="3">
        <v>45378</v>
      </c>
      <c r="E553" s="1">
        <v>86.09</v>
      </c>
      <c r="F553" s="1">
        <v>81.349999999999994</v>
      </c>
      <c r="G553" s="1">
        <v>2.5985999999999998</v>
      </c>
      <c r="H553" s="1">
        <v>2.6846999999999999</v>
      </c>
      <c r="I553" s="1">
        <v>1.718</v>
      </c>
      <c r="J553" s="1">
        <v>4.9866000000000001</v>
      </c>
    </row>
    <row r="554" spans="2:10" x14ac:dyDescent="0.3">
      <c r="B554" s="10">
        <f t="shared" si="16"/>
        <v>2024</v>
      </c>
      <c r="C554" s="10">
        <f t="shared" si="17"/>
        <v>3</v>
      </c>
      <c r="D554" s="3">
        <v>45377</v>
      </c>
      <c r="E554" s="1">
        <v>86.25</v>
      </c>
      <c r="F554" s="1">
        <v>81.62</v>
      </c>
      <c r="G554" s="1">
        <v>2.6217999999999999</v>
      </c>
      <c r="H554" s="1">
        <v>2.7006000000000001</v>
      </c>
      <c r="I554" s="1">
        <v>1.575</v>
      </c>
      <c r="J554" s="1">
        <v>4.9808000000000003</v>
      </c>
    </row>
    <row r="555" spans="2:10" x14ac:dyDescent="0.3">
      <c r="B555" s="10">
        <f t="shared" si="16"/>
        <v>2024</v>
      </c>
      <c r="C555" s="10">
        <f t="shared" si="17"/>
        <v>3</v>
      </c>
      <c r="D555" s="3">
        <v>45376</v>
      </c>
      <c r="E555" s="1">
        <v>86.75</v>
      </c>
      <c r="F555" s="1">
        <v>81.95</v>
      </c>
      <c r="G555" s="1">
        <v>2.6785999999999999</v>
      </c>
      <c r="H555" s="1">
        <v>2.7484000000000002</v>
      </c>
      <c r="I555" s="1">
        <v>1.615</v>
      </c>
      <c r="J555" s="1">
        <v>4.9751000000000003</v>
      </c>
    </row>
    <row r="556" spans="2:10" x14ac:dyDescent="0.3">
      <c r="B556" s="10">
        <f t="shared" si="16"/>
        <v>2024</v>
      </c>
      <c r="C556" s="10">
        <f t="shared" si="17"/>
        <v>3</v>
      </c>
      <c r="D556" s="3">
        <v>45373</v>
      </c>
      <c r="E556" s="1">
        <v>85.43</v>
      </c>
      <c r="F556" s="1">
        <v>80.63</v>
      </c>
      <c r="G556" s="1">
        <v>2.6534</v>
      </c>
      <c r="H556" s="1">
        <v>2.7397999999999998</v>
      </c>
      <c r="I556" s="1">
        <v>1.659</v>
      </c>
      <c r="J556" s="1">
        <v>4.9996999999999998</v>
      </c>
    </row>
    <row r="557" spans="2:10" x14ac:dyDescent="0.3">
      <c r="B557" s="10">
        <f t="shared" si="16"/>
        <v>2024</v>
      </c>
      <c r="C557" s="10">
        <f t="shared" si="17"/>
        <v>3</v>
      </c>
      <c r="D557" s="3">
        <v>45372</v>
      </c>
      <c r="E557" s="1">
        <v>85.78</v>
      </c>
      <c r="F557" s="1">
        <v>81.069999999999993</v>
      </c>
      <c r="G557" s="1">
        <v>2.6688000000000001</v>
      </c>
      <c r="H557" s="1">
        <v>2.7271000000000001</v>
      </c>
      <c r="I557" s="1">
        <v>1.6830000000000001</v>
      </c>
      <c r="J557" s="1">
        <v>4.9781000000000004</v>
      </c>
    </row>
    <row r="558" spans="2:10" x14ac:dyDescent="0.3">
      <c r="B558" s="10">
        <f t="shared" si="16"/>
        <v>2024</v>
      </c>
      <c r="C558" s="10">
        <f t="shared" si="17"/>
        <v>3</v>
      </c>
      <c r="D558" s="3">
        <v>45371</v>
      </c>
      <c r="E558" s="1">
        <v>85.95</v>
      </c>
      <c r="F558" s="1">
        <v>81.680000000000007</v>
      </c>
      <c r="G558" s="1">
        <v>2.6957</v>
      </c>
      <c r="H558" s="1">
        <v>2.7332000000000001</v>
      </c>
      <c r="I558" s="1">
        <v>1.6990000000000001</v>
      </c>
      <c r="J558" s="1">
        <v>4.9691000000000001</v>
      </c>
    </row>
    <row r="559" spans="2:10" x14ac:dyDescent="0.3">
      <c r="B559" s="10">
        <f t="shared" si="16"/>
        <v>2024</v>
      </c>
      <c r="C559" s="10">
        <f t="shared" si="17"/>
        <v>3</v>
      </c>
      <c r="D559" s="3">
        <v>45370</v>
      </c>
      <c r="E559" s="1">
        <v>87.38</v>
      </c>
      <c r="F559" s="1">
        <v>83.47</v>
      </c>
      <c r="G559" s="1">
        <v>2.7606999999999999</v>
      </c>
      <c r="H559" s="1">
        <v>2.7622</v>
      </c>
      <c r="I559" s="1">
        <v>1.744</v>
      </c>
      <c r="J559" s="1">
        <v>5.0301</v>
      </c>
    </row>
    <row r="560" spans="2:10" x14ac:dyDescent="0.3">
      <c r="B560" s="10">
        <f t="shared" si="16"/>
        <v>2024</v>
      </c>
      <c r="C560" s="10">
        <f t="shared" si="17"/>
        <v>3</v>
      </c>
      <c r="D560" s="3">
        <v>45369</v>
      </c>
      <c r="E560" s="1">
        <v>86.89</v>
      </c>
      <c r="F560" s="1">
        <v>82.72</v>
      </c>
      <c r="G560" s="1">
        <v>2.7881999999999998</v>
      </c>
      <c r="H560" s="1">
        <v>2.7572999999999999</v>
      </c>
      <c r="I560" s="1">
        <v>1.7030000000000001</v>
      </c>
      <c r="J560" s="1">
        <v>5.0252999999999997</v>
      </c>
    </row>
    <row r="561" spans="2:10" x14ac:dyDescent="0.3">
      <c r="B561" s="10">
        <f t="shared" si="16"/>
        <v>2024</v>
      </c>
      <c r="C561" s="10">
        <f t="shared" si="17"/>
        <v>3</v>
      </c>
      <c r="D561" s="3">
        <v>45366</v>
      </c>
      <c r="E561" s="1">
        <v>85.34</v>
      </c>
      <c r="F561" s="1">
        <v>81.040000000000006</v>
      </c>
      <c r="G561" s="1">
        <v>2.7269999999999999</v>
      </c>
      <c r="H561" s="1">
        <v>2.7208000000000001</v>
      </c>
      <c r="I561" s="1">
        <v>1.655</v>
      </c>
      <c r="J561" s="1">
        <v>4.9949000000000003</v>
      </c>
    </row>
    <row r="562" spans="2:10" x14ac:dyDescent="0.3">
      <c r="B562" s="10">
        <f t="shared" si="16"/>
        <v>2024</v>
      </c>
      <c r="C562" s="10">
        <f t="shared" si="17"/>
        <v>3</v>
      </c>
      <c r="D562" s="3">
        <v>45365</v>
      </c>
      <c r="E562" s="1">
        <v>85.42</v>
      </c>
      <c r="F562" s="1">
        <v>81.260000000000005</v>
      </c>
      <c r="G562" s="1">
        <v>2.7088000000000001</v>
      </c>
      <c r="H562" s="1">
        <v>2.7033</v>
      </c>
      <c r="I562" s="1">
        <v>1.7410000000000001</v>
      </c>
      <c r="J562" s="1">
        <v>4.9894999999999996</v>
      </c>
    </row>
    <row r="563" spans="2:10" x14ac:dyDescent="0.3">
      <c r="B563" s="10">
        <f t="shared" si="16"/>
        <v>2024</v>
      </c>
      <c r="C563" s="10">
        <f t="shared" si="17"/>
        <v>3</v>
      </c>
      <c r="D563" s="3">
        <v>45364</v>
      </c>
      <c r="E563" s="1">
        <v>84.03</v>
      </c>
      <c r="F563" s="1">
        <v>79.72</v>
      </c>
      <c r="G563" s="1">
        <v>2.6850999999999998</v>
      </c>
      <c r="H563" s="1">
        <v>2.6615000000000002</v>
      </c>
      <c r="I563" s="1">
        <v>1.6579999999999999</v>
      </c>
      <c r="J563" s="1">
        <v>4.97</v>
      </c>
    </row>
    <row r="564" spans="2:10" x14ac:dyDescent="0.3">
      <c r="B564" s="10">
        <f t="shared" si="16"/>
        <v>2024</v>
      </c>
      <c r="C564" s="10">
        <f t="shared" si="17"/>
        <v>3</v>
      </c>
      <c r="D564" s="3">
        <v>45363</v>
      </c>
      <c r="E564" s="1">
        <v>81.92</v>
      </c>
      <c r="F564" s="1">
        <v>77.56</v>
      </c>
      <c r="G564" s="1">
        <v>2.6164999999999998</v>
      </c>
      <c r="H564" s="1">
        <v>2.5863999999999998</v>
      </c>
      <c r="I564" s="1">
        <v>1.714</v>
      </c>
      <c r="J564" s="1">
        <v>4.9718</v>
      </c>
    </row>
    <row r="565" spans="2:10" x14ac:dyDescent="0.3">
      <c r="B565" s="10">
        <f t="shared" si="16"/>
        <v>2024</v>
      </c>
      <c r="C565" s="10">
        <f t="shared" si="17"/>
        <v>3</v>
      </c>
      <c r="D565" s="3">
        <v>45362</v>
      </c>
      <c r="E565" s="1">
        <v>82.21</v>
      </c>
      <c r="F565" s="1">
        <v>77.930000000000007</v>
      </c>
      <c r="G565" s="1">
        <v>2.6518000000000002</v>
      </c>
      <c r="H565" s="1">
        <v>2.5804999999999998</v>
      </c>
      <c r="I565" s="1">
        <v>1.7589999999999999</v>
      </c>
      <c r="J565" s="1">
        <v>4.9771000000000001</v>
      </c>
    </row>
    <row r="566" spans="2:10" x14ac:dyDescent="0.3">
      <c r="B566" s="10">
        <f t="shared" si="16"/>
        <v>2024</v>
      </c>
      <c r="C566" s="10">
        <f t="shared" si="17"/>
        <v>3</v>
      </c>
      <c r="D566" s="3">
        <v>45359</v>
      </c>
      <c r="E566" s="1">
        <v>82.08</v>
      </c>
      <c r="F566" s="1">
        <v>78.010000000000005</v>
      </c>
      <c r="G566" s="1">
        <v>2.6408999999999998</v>
      </c>
      <c r="H566" s="1">
        <v>2.5272000000000001</v>
      </c>
      <c r="I566" s="1">
        <v>1.8049999999999999</v>
      </c>
      <c r="J566" s="1">
        <v>4.9805999999999999</v>
      </c>
    </row>
    <row r="567" spans="2:10" x14ac:dyDescent="0.3">
      <c r="B567" s="10">
        <f t="shared" si="16"/>
        <v>2024</v>
      </c>
      <c r="C567" s="10">
        <f t="shared" si="17"/>
        <v>3</v>
      </c>
      <c r="D567" s="3">
        <v>45358</v>
      </c>
      <c r="E567" s="1">
        <v>82.96</v>
      </c>
      <c r="F567" s="1">
        <v>78.930000000000007</v>
      </c>
      <c r="G567" s="1">
        <v>2.6947000000000001</v>
      </c>
      <c r="H567" s="1">
        <v>2.5548000000000002</v>
      </c>
      <c r="I567" s="1">
        <v>1.8180000000000001</v>
      </c>
      <c r="J567" s="1">
        <v>4.9349999999999996</v>
      </c>
    </row>
    <row r="568" spans="2:10" x14ac:dyDescent="0.3">
      <c r="B568" s="10">
        <f t="shared" si="16"/>
        <v>2024</v>
      </c>
      <c r="C568" s="10">
        <f t="shared" si="17"/>
        <v>3</v>
      </c>
      <c r="D568" s="3">
        <v>45357</v>
      </c>
      <c r="E568" s="1">
        <v>82.96</v>
      </c>
      <c r="F568" s="1">
        <v>79.13</v>
      </c>
      <c r="G568" s="1">
        <v>2.6633</v>
      </c>
      <c r="H568" s="1">
        <v>2.5539000000000001</v>
      </c>
      <c r="I568" s="1">
        <v>1.929</v>
      </c>
      <c r="J568" s="1">
        <v>4.9446000000000003</v>
      </c>
    </row>
    <row r="569" spans="2:10" x14ac:dyDescent="0.3">
      <c r="B569" s="10">
        <f t="shared" si="16"/>
        <v>2024</v>
      </c>
      <c r="C569" s="10">
        <f t="shared" si="17"/>
        <v>3</v>
      </c>
      <c r="D569" s="3">
        <v>45356</v>
      </c>
      <c r="E569" s="1">
        <v>82.04</v>
      </c>
      <c r="F569" s="1">
        <v>78.150000000000006</v>
      </c>
      <c r="G569" s="1">
        <v>2.6065</v>
      </c>
      <c r="H569" s="1">
        <v>2.5327999999999999</v>
      </c>
      <c r="I569" s="1">
        <v>1.9570000000000001</v>
      </c>
      <c r="J569" s="1">
        <v>4.9581</v>
      </c>
    </row>
    <row r="570" spans="2:10" x14ac:dyDescent="0.3">
      <c r="B570" s="10">
        <f t="shared" si="16"/>
        <v>2024</v>
      </c>
      <c r="C570" s="10">
        <f t="shared" si="17"/>
        <v>3</v>
      </c>
      <c r="D570" s="3">
        <v>45355</v>
      </c>
      <c r="E570" s="1">
        <v>82.8</v>
      </c>
      <c r="F570" s="1">
        <v>78.739999999999995</v>
      </c>
      <c r="G570" s="1">
        <v>2.6472000000000002</v>
      </c>
      <c r="H570" s="1">
        <v>2.5857000000000001</v>
      </c>
      <c r="I570" s="1">
        <v>1.9159999999999999</v>
      </c>
      <c r="J570" s="1">
        <v>4.9458000000000002</v>
      </c>
    </row>
    <row r="571" spans="2:10" x14ac:dyDescent="0.3">
      <c r="B571" s="10">
        <f t="shared" si="16"/>
        <v>2024</v>
      </c>
      <c r="C571" s="10">
        <f t="shared" si="17"/>
        <v>3</v>
      </c>
      <c r="D571" s="3">
        <v>45352</v>
      </c>
      <c r="E571" s="1">
        <v>83.55</v>
      </c>
      <c r="F571" s="1">
        <v>79.97</v>
      </c>
      <c r="G571" s="1">
        <v>2.7042000000000002</v>
      </c>
      <c r="H571" s="1">
        <v>2.6143999999999998</v>
      </c>
      <c r="I571" s="1">
        <v>1.835</v>
      </c>
      <c r="J571" s="1">
        <v>4.9541000000000004</v>
      </c>
    </row>
    <row r="572" spans="2:10" x14ac:dyDescent="0.3">
      <c r="B572" s="10">
        <f t="shared" si="16"/>
        <v>2024</v>
      </c>
      <c r="C572" s="10">
        <f t="shared" si="17"/>
        <v>2</v>
      </c>
      <c r="D572" s="3">
        <v>45351</v>
      </c>
      <c r="E572" s="1">
        <v>83.62</v>
      </c>
      <c r="F572" s="1">
        <v>78.260000000000005</v>
      </c>
      <c r="G572" s="1">
        <v>2.6838000000000002</v>
      </c>
      <c r="H572" s="1">
        <v>2.3043</v>
      </c>
      <c r="I572" s="1">
        <v>1.86</v>
      </c>
      <c r="J572" s="1">
        <v>4.9715999999999996</v>
      </c>
    </row>
    <row r="573" spans="2:10" x14ac:dyDescent="0.3">
      <c r="B573" s="10">
        <f t="shared" si="16"/>
        <v>2024</v>
      </c>
      <c r="C573" s="10">
        <f t="shared" si="17"/>
        <v>2</v>
      </c>
      <c r="D573" s="3">
        <v>45350</v>
      </c>
      <c r="E573" s="1">
        <v>83.68</v>
      </c>
      <c r="F573" s="1">
        <v>78.540000000000006</v>
      </c>
      <c r="G573" s="1">
        <v>2.6583000000000001</v>
      </c>
      <c r="H573" s="1">
        <v>2.2709999999999999</v>
      </c>
      <c r="I573" s="1">
        <v>1.885</v>
      </c>
      <c r="J573" s="1">
        <v>4.9675000000000002</v>
      </c>
    </row>
    <row r="574" spans="2:10" x14ac:dyDescent="0.3">
      <c r="B574" s="10">
        <f t="shared" si="16"/>
        <v>2024</v>
      </c>
      <c r="C574" s="10">
        <f t="shared" si="17"/>
        <v>2</v>
      </c>
      <c r="D574" s="3">
        <v>45349</v>
      </c>
      <c r="E574" s="1">
        <v>83.65</v>
      </c>
      <c r="F574" s="1">
        <v>78.87</v>
      </c>
      <c r="G574" s="1">
        <v>2.746</v>
      </c>
      <c r="H574" s="1">
        <v>2.3443999999999998</v>
      </c>
      <c r="I574" s="1">
        <v>1.615</v>
      </c>
      <c r="J574" s="1">
        <v>4.9335000000000004</v>
      </c>
    </row>
    <row r="575" spans="2:10" x14ac:dyDescent="0.3">
      <c r="B575" s="10">
        <f t="shared" si="16"/>
        <v>2024</v>
      </c>
      <c r="C575" s="10">
        <f t="shared" si="17"/>
        <v>2</v>
      </c>
      <c r="D575" s="3">
        <v>45348</v>
      </c>
      <c r="E575" s="1">
        <v>82.53</v>
      </c>
      <c r="F575" s="1">
        <v>77.58</v>
      </c>
      <c r="G575" s="1">
        <v>2.7627000000000002</v>
      </c>
      <c r="H575" s="1">
        <v>2.3056000000000001</v>
      </c>
      <c r="I575" s="1">
        <v>1.659</v>
      </c>
      <c r="J575" s="1">
        <v>4.9798999999999998</v>
      </c>
    </row>
    <row r="576" spans="2:10" x14ac:dyDescent="0.3">
      <c r="B576" s="10">
        <f t="shared" si="16"/>
        <v>2024</v>
      </c>
      <c r="C576" s="10">
        <f t="shared" si="17"/>
        <v>2</v>
      </c>
      <c r="D576" s="3">
        <v>45345</v>
      </c>
      <c r="E576" s="1">
        <v>81.62</v>
      </c>
      <c r="F576" s="1">
        <v>76.489999999999995</v>
      </c>
      <c r="G576" s="1">
        <v>2.6897000000000002</v>
      </c>
      <c r="H576" s="1">
        <v>2.2766999999999999</v>
      </c>
      <c r="I576" s="1">
        <v>1.603</v>
      </c>
      <c r="J576" s="1">
        <v>4.9950999999999999</v>
      </c>
    </row>
    <row r="577" spans="2:10" x14ac:dyDescent="0.3">
      <c r="B577" s="10">
        <f t="shared" si="16"/>
        <v>2024</v>
      </c>
      <c r="C577" s="10">
        <f t="shared" si="17"/>
        <v>2</v>
      </c>
      <c r="D577" s="3">
        <v>45344</v>
      </c>
      <c r="E577" s="1">
        <v>83.67</v>
      </c>
      <c r="F577" s="1">
        <v>78.61</v>
      </c>
      <c r="G577" s="1">
        <v>2.7519999999999998</v>
      </c>
      <c r="H577" s="1">
        <v>2.3347000000000002</v>
      </c>
      <c r="I577" s="1">
        <v>1.732</v>
      </c>
      <c r="J577" s="1">
        <v>4.9604999999999997</v>
      </c>
    </row>
    <row r="578" spans="2:10" x14ac:dyDescent="0.3">
      <c r="B578" s="10">
        <f t="shared" si="16"/>
        <v>2024</v>
      </c>
      <c r="C578" s="10">
        <f t="shared" si="17"/>
        <v>2</v>
      </c>
      <c r="D578" s="3">
        <v>45343</v>
      </c>
      <c r="E578" s="1">
        <v>83.03</v>
      </c>
      <c r="F578" s="1">
        <v>77.91</v>
      </c>
      <c r="G578" s="1">
        <v>2.7052</v>
      </c>
      <c r="H578" s="1">
        <v>2.286</v>
      </c>
      <c r="I578" s="1">
        <v>1.7729999999999999</v>
      </c>
      <c r="J578" s="1">
        <v>4.9358000000000004</v>
      </c>
    </row>
    <row r="579" spans="2:10" x14ac:dyDescent="0.3">
      <c r="B579" s="10">
        <f t="shared" si="16"/>
        <v>2024</v>
      </c>
      <c r="C579" s="10">
        <f t="shared" si="17"/>
        <v>2</v>
      </c>
      <c r="D579" s="3">
        <v>45342</v>
      </c>
      <c r="E579" s="1">
        <v>82.34</v>
      </c>
      <c r="F579" s="1">
        <v>78.180000000000007</v>
      </c>
      <c r="G579" s="1">
        <v>2.7315</v>
      </c>
      <c r="H579" s="1">
        <v>2.2774000000000001</v>
      </c>
      <c r="I579" s="1">
        <v>1.5760000000000001</v>
      </c>
      <c r="J579" s="1">
        <v>4.9275000000000002</v>
      </c>
    </row>
    <row r="580" spans="2:10" x14ac:dyDescent="0.3">
      <c r="B580" s="10">
        <f t="shared" si="16"/>
        <v>2024</v>
      </c>
      <c r="C580" s="10">
        <f t="shared" si="17"/>
        <v>2</v>
      </c>
      <c r="D580" s="3">
        <v>45341</v>
      </c>
      <c r="E580" s="1">
        <v>83.56</v>
      </c>
      <c r="J580" s="1">
        <v>4.9564000000000004</v>
      </c>
    </row>
    <row r="581" spans="2:10" x14ac:dyDescent="0.3">
      <c r="B581" s="10">
        <f t="shared" si="16"/>
        <v>2024</v>
      </c>
      <c r="C581" s="10">
        <f t="shared" si="17"/>
        <v>2</v>
      </c>
      <c r="D581" s="3">
        <v>45338</v>
      </c>
      <c r="E581" s="1">
        <v>83.47</v>
      </c>
      <c r="F581" s="1">
        <v>79.19</v>
      </c>
      <c r="G581" s="1">
        <v>2.8066</v>
      </c>
      <c r="H581" s="1">
        <v>2.3359999999999999</v>
      </c>
      <c r="I581" s="1">
        <v>1.609</v>
      </c>
      <c r="J581" s="1">
        <v>4.9664999999999999</v>
      </c>
    </row>
    <row r="582" spans="2:10" x14ac:dyDescent="0.3">
      <c r="B582" s="10">
        <f t="shared" ref="B582:B645" si="18">YEAR(D582)</f>
        <v>2024</v>
      </c>
      <c r="C582" s="10">
        <f t="shared" ref="C582:C645" si="19">MONTH(D582)</f>
        <v>2</v>
      </c>
      <c r="D582" s="3">
        <v>45337</v>
      </c>
      <c r="E582" s="1">
        <v>82.86</v>
      </c>
      <c r="F582" s="1">
        <v>78.03</v>
      </c>
      <c r="G582" s="1">
        <v>2.8237000000000001</v>
      </c>
      <c r="H582" s="1">
        <v>2.3182999999999998</v>
      </c>
      <c r="I582" s="1">
        <v>1.581</v>
      </c>
      <c r="J582" s="1">
        <v>4.9732000000000003</v>
      </c>
    </row>
    <row r="583" spans="2:10" x14ac:dyDescent="0.3">
      <c r="B583" s="10">
        <f t="shared" si="18"/>
        <v>2024</v>
      </c>
      <c r="C583" s="10">
        <f t="shared" si="19"/>
        <v>2</v>
      </c>
      <c r="D583" s="3">
        <v>45336</v>
      </c>
      <c r="E583" s="1">
        <v>81.599999999999994</v>
      </c>
      <c r="F583" s="1">
        <v>76.64</v>
      </c>
      <c r="G583" s="1">
        <v>2.8100999999999998</v>
      </c>
      <c r="H583" s="1">
        <v>2.3169</v>
      </c>
      <c r="I583" s="1">
        <v>1.609</v>
      </c>
      <c r="J583" s="1">
        <v>4.9690000000000003</v>
      </c>
    </row>
    <row r="584" spans="2:10" x14ac:dyDescent="0.3">
      <c r="B584" s="10">
        <f t="shared" si="18"/>
        <v>2024</v>
      </c>
      <c r="C584" s="10">
        <f t="shared" si="19"/>
        <v>2</v>
      </c>
      <c r="D584" s="3">
        <v>45335</v>
      </c>
      <c r="E584" s="1">
        <v>82.77</v>
      </c>
      <c r="F584" s="1">
        <v>77.87</v>
      </c>
      <c r="G584" s="1">
        <v>2.8959000000000001</v>
      </c>
      <c r="H584" s="1">
        <v>2.3946000000000001</v>
      </c>
      <c r="I584" s="1">
        <v>1.6890000000000001</v>
      </c>
      <c r="J584" s="1">
        <v>4.9535999999999998</v>
      </c>
    </row>
    <row r="585" spans="2:10" x14ac:dyDescent="0.3">
      <c r="B585" s="10">
        <f t="shared" si="18"/>
        <v>2024</v>
      </c>
      <c r="C585" s="10">
        <f t="shared" si="19"/>
        <v>2</v>
      </c>
      <c r="D585" s="3">
        <v>45334</v>
      </c>
      <c r="E585" s="1">
        <v>82</v>
      </c>
      <c r="F585" s="1">
        <v>76.92</v>
      </c>
      <c r="G585" s="1">
        <v>2.9196</v>
      </c>
      <c r="H585" s="1">
        <v>2.3673000000000002</v>
      </c>
      <c r="I585" s="1">
        <v>1.768</v>
      </c>
      <c r="J585" s="1">
        <v>4.9535999999999998</v>
      </c>
    </row>
    <row r="586" spans="2:10" x14ac:dyDescent="0.3">
      <c r="B586" s="10">
        <f t="shared" si="18"/>
        <v>2024</v>
      </c>
      <c r="C586" s="10">
        <f t="shared" si="19"/>
        <v>2</v>
      </c>
      <c r="D586" s="3">
        <v>45331</v>
      </c>
      <c r="E586" s="1">
        <v>82.19</v>
      </c>
      <c r="F586" s="1">
        <v>76.84</v>
      </c>
      <c r="G586" s="1">
        <v>2.9641999999999999</v>
      </c>
      <c r="H586" s="1">
        <v>2.3395000000000001</v>
      </c>
      <c r="I586" s="1">
        <v>1.847</v>
      </c>
      <c r="J586" s="1">
        <v>4.9516999999999998</v>
      </c>
    </row>
    <row r="587" spans="2:10" x14ac:dyDescent="0.3">
      <c r="B587" s="10">
        <f t="shared" si="18"/>
        <v>2024</v>
      </c>
      <c r="C587" s="10">
        <f t="shared" si="19"/>
        <v>2</v>
      </c>
      <c r="D587" s="3">
        <v>45330</v>
      </c>
      <c r="E587" s="1">
        <v>81.63</v>
      </c>
      <c r="F587" s="1">
        <v>76.22</v>
      </c>
      <c r="G587" s="1">
        <v>2.8908</v>
      </c>
      <c r="H587" s="1">
        <v>2.3420000000000001</v>
      </c>
      <c r="I587" s="1">
        <v>1.917</v>
      </c>
      <c r="J587" s="1">
        <v>4.992</v>
      </c>
    </row>
    <row r="588" spans="2:10" x14ac:dyDescent="0.3">
      <c r="B588" s="10">
        <f t="shared" si="18"/>
        <v>2024</v>
      </c>
      <c r="C588" s="10">
        <f t="shared" si="19"/>
        <v>2</v>
      </c>
      <c r="D588" s="3">
        <v>45329</v>
      </c>
      <c r="E588" s="1">
        <v>79.209999999999994</v>
      </c>
      <c r="F588" s="1">
        <v>73.86</v>
      </c>
      <c r="G588" s="1">
        <v>2.8151999999999999</v>
      </c>
      <c r="H588" s="1">
        <v>2.2629999999999999</v>
      </c>
      <c r="I588" s="1">
        <v>1.9670000000000001</v>
      </c>
      <c r="J588" s="1">
        <v>4.9684999999999997</v>
      </c>
    </row>
    <row r="589" spans="2:10" x14ac:dyDescent="0.3">
      <c r="B589" s="10">
        <f t="shared" si="18"/>
        <v>2024</v>
      </c>
      <c r="C589" s="10">
        <f t="shared" si="19"/>
        <v>2</v>
      </c>
      <c r="D589" s="3">
        <v>45328</v>
      </c>
      <c r="E589" s="1">
        <v>78.59</v>
      </c>
      <c r="F589" s="1">
        <v>73.31</v>
      </c>
      <c r="G589" s="1">
        <v>2.7427000000000001</v>
      </c>
      <c r="H589" s="1">
        <v>2.2172999999999998</v>
      </c>
      <c r="I589" s="1">
        <v>2.0089999999999999</v>
      </c>
      <c r="J589" s="1">
        <v>4.9634</v>
      </c>
    </row>
    <row r="590" spans="2:10" x14ac:dyDescent="0.3">
      <c r="B590" s="10">
        <f t="shared" si="18"/>
        <v>2024</v>
      </c>
      <c r="C590" s="10">
        <f t="shared" si="19"/>
        <v>2</v>
      </c>
      <c r="D590" s="3">
        <v>45327</v>
      </c>
      <c r="E590" s="1">
        <v>77.989999999999995</v>
      </c>
      <c r="F590" s="1">
        <v>72.78</v>
      </c>
      <c r="G590" s="1">
        <v>2.7248000000000001</v>
      </c>
      <c r="H590" s="1">
        <v>2.2092000000000001</v>
      </c>
      <c r="I590" s="1">
        <v>2.0819999999999999</v>
      </c>
      <c r="J590" s="1">
        <v>4.9854000000000003</v>
      </c>
    </row>
    <row r="591" spans="2:10" x14ac:dyDescent="0.3">
      <c r="B591" s="10">
        <f t="shared" si="18"/>
        <v>2024</v>
      </c>
      <c r="C591" s="10">
        <f t="shared" si="19"/>
        <v>2</v>
      </c>
      <c r="D591" s="3">
        <v>45324</v>
      </c>
      <c r="E591" s="1">
        <v>77.33</v>
      </c>
      <c r="F591" s="1">
        <v>72.28</v>
      </c>
      <c r="G591" s="1">
        <v>2.66</v>
      </c>
      <c r="H591" s="1">
        <v>2.1475</v>
      </c>
      <c r="I591" s="1">
        <v>2.0790000000000002</v>
      </c>
      <c r="J591" s="1">
        <v>4.9699</v>
      </c>
    </row>
    <row r="592" spans="2:10" x14ac:dyDescent="0.3">
      <c r="B592" s="10">
        <f t="shared" si="18"/>
        <v>2024</v>
      </c>
      <c r="C592" s="10">
        <f t="shared" si="19"/>
        <v>2</v>
      </c>
      <c r="D592" s="3">
        <v>45323</v>
      </c>
      <c r="E592" s="1">
        <v>78.7</v>
      </c>
      <c r="F592" s="1">
        <v>73.819999999999993</v>
      </c>
      <c r="G592" s="1">
        <v>2.7128999999999999</v>
      </c>
      <c r="H592" s="1">
        <v>2.1947999999999999</v>
      </c>
      <c r="I592" s="1">
        <v>2.0499999999999998</v>
      </c>
      <c r="J592" s="1">
        <v>4.9162999999999997</v>
      </c>
    </row>
    <row r="593" spans="2:10" x14ac:dyDescent="0.3">
      <c r="B593" s="10">
        <f t="shared" si="18"/>
        <v>2024</v>
      </c>
      <c r="C593" s="10">
        <f t="shared" si="19"/>
        <v>1</v>
      </c>
      <c r="D593" s="3">
        <v>45322</v>
      </c>
      <c r="E593" s="1">
        <v>81.709999999999994</v>
      </c>
      <c r="F593" s="1">
        <v>75.849999999999994</v>
      </c>
      <c r="G593" s="1">
        <v>2.8081999999999998</v>
      </c>
      <c r="H593" s="1">
        <v>2.1833</v>
      </c>
      <c r="I593" s="1">
        <v>2.1</v>
      </c>
      <c r="J593" s="1">
        <v>4.9526000000000003</v>
      </c>
    </row>
    <row r="594" spans="2:10" x14ac:dyDescent="0.3">
      <c r="B594" s="10">
        <f t="shared" si="18"/>
        <v>2024</v>
      </c>
      <c r="C594" s="10">
        <f t="shared" si="19"/>
        <v>1</v>
      </c>
      <c r="D594" s="3">
        <v>45321</v>
      </c>
      <c r="E594" s="1">
        <v>82.87</v>
      </c>
      <c r="F594" s="1">
        <v>77.819999999999993</v>
      </c>
      <c r="G594" s="1">
        <v>2.8068</v>
      </c>
      <c r="H594" s="1">
        <v>2.2606999999999999</v>
      </c>
      <c r="I594" s="1">
        <v>2.077</v>
      </c>
      <c r="J594" s="1">
        <v>4.9516</v>
      </c>
    </row>
    <row r="595" spans="2:10" x14ac:dyDescent="0.3">
      <c r="B595" s="10">
        <f t="shared" si="18"/>
        <v>2024</v>
      </c>
      <c r="C595" s="10">
        <f t="shared" si="19"/>
        <v>1</v>
      </c>
      <c r="D595" s="3">
        <v>45320</v>
      </c>
      <c r="E595" s="1">
        <v>82.4</v>
      </c>
      <c r="F595" s="1">
        <v>76.78</v>
      </c>
      <c r="G595" s="1">
        <v>2.8338999999999999</v>
      </c>
      <c r="H595" s="1">
        <v>2.2284999999999999</v>
      </c>
      <c r="I595" s="1">
        <v>2.4900000000000002</v>
      </c>
      <c r="J595" s="1">
        <v>4.9518000000000004</v>
      </c>
    </row>
    <row r="596" spans="2:10" x14ac:dyDescent="0.3">
      <c r="B596" s="10">
        <f t="shared" si="18"/>
        <v>2024</v>
      </c>
      <c r="C596" s="10">
        <f t="shared" si="19"/>
        <v>1</v>
      </c>
      <c r="D596" s="3">
        <v>45317</v>
      </c>
      <c r="E596" s="1">
        <v>83.55</v>
      </c>
      <c r="F596" s="1">
        <v>78.010000000000005</v>
      </c>
      <c r="G596" s="1">
        <v>2.8433999999999999</v>
      </c>
      <c r="H596" s="1">
        <v>2.2940999999999998</v>
      </c>
      <c r="I596" s="1">
        <v>2.7120000000000002</v>
      </c>
      <c r="J596" s="1">
        <v>4.9168000000000003</v>
      </c>
    </row>
    <row r="597" spans="2:10" x14ac:dyDescent="0.3">
      <c r="B597" s="10">
        <f t="shared" si="18"/>
        <v>2024</v>
      </c>
      <c r="C597" s="10">
        <f t="shared" si="19"/>
        <v>1</v>
      </c>
      <c r="D597" s="3">
        <v>45316</v>
      </c>
      <c r="E597" s="1">
        <v>82.43</v>
      </c>
      <c r="F597" s="1">
        <v>77.36</v>
      </c>
      <c r="G597" s="1">
        <v>2.7953999999999999</v>
      </c>
      <c r="H597" s="1">
        <v>2.2644000000000002</v>
      </c>
      <c r="I597" s="1">
        <v>2.5710000000000002</v>
      </c>
      <c r="J597" s="1">
        <v>4.9165000000000001</v>
      </c>
    </row>
    <row r="598" spans="2:10" x14ac:dyDescent="0.3">
      <c r="B598" s="10">
        <f t="shared" si="18"/>
        <v>2024</v>
      </c>
      <c r="C598" s="10">
        <f t="shared" si="19"/>
        <v>1</v>
      </c>
      <c r="D598" s="3">
        <v>45315</v>
      </c>
      <c r="E598" s="1">
        <v>80.040000000000006</v>
      </c>
      <c r="F598" s="1">
        <v>75.09</v>
      </c>
      <c r="G598" s="1">
        <v>2.6818</v>
      </c>
      <c r="H598" s="1">
        <v>2.2094999999999998</v>
      </c>
      <c r="I598" s="1">
        <v>2.641</v>
      </c>
      <c r="J598" s="1">
        <v>4.9335000000000004</v>
      </c>
    </row>
    <row r="599" spans="2:10" x14ac:dyDescent="0.3">
      <c r="B599" s="10">
        <f t="shared" si="18"/>
        <v>2024</v>
      </c>
      <c r="C599" s="10">
        <f t="shared" si="19"/>
        <v>1</v>
      </c>
      <c r="D599" s="3">
        <v>45314</v>
      </c>
      <c r="E599" s="1">
        <v>79.55</v>
      </c>
      <c r="F599" s="1">
        <v>74.37</v>
      </c>
      <c r="G599" s="1">
        <v>2.6913</v>
      </c>
      <c r="H599" s="1">
        <v>2.2101000000000002</v>
      </c>
      <c r="I599" s="1">
        <v>2.4500000000000002</v>
      </c>
      <c r="J599" s="1">
        <v>4.9535</v>
      </c>
    </row>
    <row r="600" spans="2:10" x14ac:dyDescent="0.3">
      <c r="B600" s="10">
        <f t="shared" si="18"/>
        <v>2024</v>
      </c>
      <c r="C600" s="10">
        <f t="shared" si="19"/>
        <v>1</v>
      </c>
      <c r="D600" s="3">
        <v>45313</v>
      </c>
      <c r="E600" s="1">
        <v>80.06</v>
      </c>
      <c r="F600" s="1">
        <v>75.19</v>
      </c>
      <c r="G600" s="1">
        <v>2.6934999999999998</v>
      </c>
      <c r="H600" s="1">
        <v>2.2378</v>
      </c>
      <c r="I600" s="1">
        <v>2.419</v>
      </c>
      <c r="J600" s="1">
        <v>4.9892000000000003</v>
      </c>
    </row>
    <row r="601" spans="2:10" x14ac:dyDescent="0.3">
      <c r="B601" s="10">
        <f t="shared" si="18"/>
        <v>2024</v>
      </c>
      <c r="C601" s="10">
        <f t="shared" si="19"/>
        <v>1</v>
      </c>
      <c r="D601" s="3">
        <v>45310</v>
      </c>
      <c r="E601" s="1">
        <v>78.56</v>
      </c>
      <c r="F601" s="1">
        <v>73.41</v>
      </c>
      <c r="G601" s="1">
        <v>2.6621000000000001</v>
      </c>
      <c r="H601" s="1">
        <v>2.1627999999999998</v>
      </c>
      <c r="I601" s="1">
        <v>2.5190000000000001</v>
      </c>
      <c r="J601" s="1">
        <v>4.931</v>
      </c>
    </row>
    <row r="602" spans="2:10" x14ac:dyDescent="0.3">
      <c r="B602" s="10">
        <f t="shared" si="18"/>
        <v>2024</v>
      </c>
      <c r="C602" s="10">
        <f t="shared" si="19"/>
        <v>1</v>
      </c>
      <c r="D602" s="3">
        <v>45309</v>
      </c>
      <c r="E602" s="1">
        <v>79.099999999999994</v>
      </c>
      <c r="F602" s="1">
        <v>74.08</v>
      </c>
      <c r="G602" s="1">
        <v>2.6936</v>
      </c>
      <c r="H602" s="1">
        <v>2.1835</v>
      </c>
      <c r="I602" s="1">
        <v>2.6970000000000001</v>
      </c>
      <c r="J602" s="1">
        <v>4.9268999999999998</v>
      </c>
    </row>
    <row r="603" spans="2:10" x14ac:dyDescent="0.3">
      <c r="B603" s="10">
        <f t="shared" si="18"/>
        <v>2024</v>
      </c>
      <c r="C603" s="10">
        <f t="shared" si="19"/>
        <v>1</v>
      </c>
      <c r="D603" s="3">
        <v>45308</v>
      </c>
      <c r="E603" s="1">
        <v>77.88</v>
      </c>
      <c r="F603" s="1">
        <v>72.56</v>
      </c>
      <c r="G603" s="1">
        <v>2.6536</v>
      </c>
      <c r="H603" s="1">
        <v>2.1354000000000002</v>
      </c>
      <c r="I603" s="1">
        <v>2.87</v>
      </c>
      <c r="J603" s="1">
        <v>4.9348999999999998</v>
      </c>
    </row>
    <row r="604" spans="2:10" x14ac:dyDescent="0.3">
      <c r="B604" s="10">
        <f t="shared" si="18"/>
        <v>2024</v>
      </c>
      <c r="C604" s="10">
        <f t="shared" si="19"/>
        <v>1</v>
      </c>
      <c r="D604" s="3">
        <v>45307</v>
      </c>
      <c r="E604" s="1">
        <v>78.290000000000006</v>
      </c>
      <c r="F604" s="1">
        <v>72.400000000000006</v>
      </c>
      <c r="G604" s="1">
        <v>2.6606000000000001</v>
      </c>
      <c r="H604" s="1">
        <v>2.1219000000000001</v>
      </c>
      <c r="I604" s="1">
        <v>2.9</v>
      </c>
      <c r="J604" s="1">
        <v>4.9257999999999997</v>
      </c>
    </row>
    <row r="605" spans="2:10" x14ac:dyDescent="0.3">
      <c r="B605" s="10">
        <f t="shared" si="18"/>
        <v>2024</v>
      </c>
      <c r="C605" s="10">
        <f t="shared" si="19"/>
        <v>1</v>
      </c>
      <c r="D605" s="3">
        <v>45306</v>
      </c>
      <c r="E605" s="1">
        <v>78.150000000000006</v>
      </c>
      <c r="J605" s="1">
        <v>4.8628</v>
      </c>
    </row>
    <row r="606" spans="2:10" x14ac:dyDescent="0.3">
      <c r="B606" s="10">
        <f t="shared" si="18"/>
        <v>2024</v>
      </c>
      <c r="C606" s="10">
        <f t="shared" si="19"/>
        <v>1</v>
      </c>
      <c r="D606" s="3">
        <v>45303</v>
      </c>
      <c r="E606" s="1">
        <v>78.290000000000006</v>
      </c>
      <c r="F606" s="1">
        <v>72.680000000000007</v>
      </c>
      <c r="G606" s="1">
        <v>2.6692999999999998</v>
      </c>
      <c r="H606" s="1">
        <v>2.1202999999999999</v>
      </c>
      <c r="I606" s="1">
        <v>3.3130000000000002</v>
      </c>
      <c r="J606" s="1">
        <v>4.8539000000000003</v>
      </c>
    </row>
    <row r="607" spans="2:10" x14ac:dyDescent="0.3">
      <c r="B607" s="10">
        <f t="shared" si="18"/>
        <v>2024</v>
      </c>
      <c r="C607" s="10">
        <f t="shared" si="19"/>
        <v>1</v>
      </c>
      <c r="D607" s="3">
        <v>45302</v>
      </c>
      <c r="E607" s="1">
        <v>77.41</v>
      </c>
      <c r="F607" s="1">
        <v>72.02</v>
      </c>
      <c r="G607" s="1">
        <v>2.6738</v>
      </c>
      <c r="H607" s="1">
        <v>2.1143000000000001</v>
      </c>
      <c r="I607" s="1">
        <v>3.097</v>
      </c>
      <c r="J607" s="1">
        <v>4.87</v>
      </c>
    </row>
    <row r="608" spans="2:10" x14ac:dyDescent="0.3">
      <c r="B608" s="10">
        <f t="shared" si="18"/>
        <v>2024</v>
      </c>
      <c r="C608" s="10">
        <f t="shared" si="19"/>
        <v>1</v>
      </c>
      <c r="D608" s="3">
        <v>45301</v>
      </c>
      <c r="E608" s="1">
        <v>76.8</v>
      </c>
      <c r="F608" s="1">
        <v>71.37</v>
      </c>
      <c r="G608" s="1">
        <v>2.6006</v>
      </c>
      <c r="H608" s="1">
        <v>2.0672999999999999</v>
      </c>
      <c r="I608" s="1">
        <v>3.0390000000000001</v>
      </c>
      <c r="J608" s="1">
        <v>4.8909000000000002</v>
      </c>
    </row>
    <row r="609" spans="2:10" x14ac:dyDescent="0.3">
      <c r="B609" s="10">
        <f t="shared" si="18"/>
        <v>2024</v>
      </c>
      <c r="C609" s="10">
        <f t="shared" si="19"/>
        <v>1</v>
      </c>
      <c r="D609" s="3">
        <v>45300</v>
      </c>
      <c r="E609" s="1">
        <v>77.59</v>
      </c>
      <c r="F609" s="1">
        <v>72.239999999999995</v>
      </c>
      <c r="G609" s="1">
        <v>2.6503999999999999</v>
      </c>
      <c r="H609" s="1">
        <v>2.0768</v>
      </c>
      <c r="I609" s="1">
        <v>3.19</v>
      </c>
      <c r="J609" s="1">
        <v>4.9038000000000004</v>
      </c>
    </row>
    <row r="610" spans="2:10" x14ac:dyDescent="0.3">
      <c r="B610" s="10">
        <f t="shared" si="18"/>
        <v>2024</v>
      </c>
      <c r="C610" s="10">
        <f t="shared" si="19"/>
        <v>1</v>
      </c>
      <c r="D610" s="3">
        <v>45299</v>
      </c>
      <c r="E610" s="1">
        <v>76.12</v>
      </c>
      <c r="F610" s="1">
        <v>70.77</v>
      </c>
      <c r="G610" s="1">
        <v>2.5769000000000002</v>
      </c>
      <c r="H610" s="1">
        <v>2.0278</v>
      </c>
      <c r="I610" s="1">
        <v>2.98</v>
      </c>
      <c r="J610" s="1">
        <v>4.87</v>
      </c>
    </row>
    <row r="611" spans="2:10" x14ac:dyDescent="0.3">
      <c r="B611" s="10">
        <f t="shared" si="18"/>
        <v>2024</v>
      </c>
      <c r="C611" s="10">
        <f t="shared" si="19"/>
        <v>1</v>
      </c>
      <c r="D611" s="3">
        <v>45296</v>
      </c>
      <c r="E611" s="1">
        <v>78.760000000000005</v>
      </c>
      <c r="F611" s="1">
        <v>73.81</v>
      </c>
      <c r="G611" s="1">
        <v>2.6084999999999998</v>
      </c>
      <c r="H611" s="1">
        <v>2.1055000000000001</v>
      </c>
      <c r="I611" s="1">
        <v>2.8929999999999998</v>
      </c>
      <c r="J611" s="1">
        <v>4.8742999999999999</v>
      </c>
    </row>
    <row r="612" spans="2:10" x14ac:dyDescent="0.3">
      <c r="B612" s="10">
        <f t="shared" si="18"/>
        <v>2024</v>
      </c>
      <c r="C612" s="10">
        <f t="shared" si="19"/>
        <v>1</v>
      </c>
      <c r="D612" s="3">
        <v>45295</v>
      </c>
      <c r="E612" s="1">
        <v>77.59</v>
      </c>
      <c r="F612" s="1">
        <v>72.19</v>
      </c>
      <c r="G612" s="1">
        <v>2.5884</v>
      </c>
      <c r="H612" s="1">
        <v>2.1101000000000001</v>
      </c>
      <c r="I612" s="1">
        <v>2.8210000000000002</v>
      </c>
      <c r="J612" s="1">
        <v>4.8967999999999998</v>
      </c>
    </row>
    <row r="613" spans="2:10" x14ac:dyDescent="0.3">
      <c r="B613" s="10">
        <f t="shared" si="18"/>
        <v>2024</v>
      </c>
      <c r="C613" s="10">
        <f t="shared" si="19"/>
        <v>1</v>
      </c>
      <c r="D613" s="3">
        <v>45294</v>
      </c>
      <c r="E613" s="1">
        <v>78.25</v>
      </c>
      <c r="F613" s="1">
        <v>72.7</v>
      </c>
      <c r="G613" s="1">
        <v>2.6044</v>
      </c>
      <c r="H613" s="1">
        <v>2.1581000000000001</v>
      </c>
      <c r="I613" s="1">
        <v>2.6680000000000001</v>
      </c>
      <c r="J613" s="1">
        <v>4.9198000000000004</v>
      </c>
    </row>
    <row r="614" spans="2:10" x14ac:dyDescent="0.3">
      <c r="B614" s="10">
        <f t="shared" si="18"/>
        <v>2024</v>
      </c>
      <c r="C614" s="10">
        <f t="shared" si="19"/>
        <v>1</v>
      </c>
      <c r="D614" s="3">
        <v>45293</v>
      </c>
      <c r="E614" s="1">
        <v>75.89</v>
      </c>
      <c r="F614" s="1">
        <v>70.38</v>
      </c>
      <c r="G614" s="1">
        <v>2.5257999999999998</v>
      </c>
      <c r="H614" s="1">
        <v>2.0949</v>
      </c>
      <c r="I614" s="1">
        <v>2.5680000000000001</v>
      </c>
      <c r="J614" s="1">
        <v>4.9234999999999998</v>
      </c>
    </row>
    <row r="615" spans="2:10" x14ac:dyDescent="0.3">
      <c r="B615" s="10">
        <f t="shared" si="18"/>
        <v>2024</v>
      </c>
      <c r="C615" s="10">
        <f t="shared" si="19"/>
        <v>1</v>
      </c>
      <c r="D615" s="3">
        <v>45292</v>
      </c>
      <c r="J615" s="1">
        <v>4.8525999999999998</v>
      </c>
    </row>
    <row r="616" spans="2:10" x14ac:dyDescent="0.3">
      <c r="B616" s="10">
        <f t="shared" si="18"/>
        <v>2023</v>
      </c>
      <c r="C616" s="10">
        <f t="shared" si="19"/>
        <v>12</v>
      </c>
      <c r="D616" s="3">
        <v>45289</v>
      </c>
      <c r="E616" s="1">
        <v>77.040000000000006</v>
      </c>
      <c r="F616" s="1">
        <v>71.650000000000006</v>
      </c>
      <c r="G616" s="1">
        <v>2.5531000000000001</v>
      </c>
      <c r="H616" s="1">
        <v>2.1025999999999998</v>
      </c>
      <c r="I616" s="1">
        <v>2.5139999999999998</v>
      </c>
      <c r="J616" s="1">
        <v>4.8521000000000001</v>
      </c>
    </row>
    <row r="617" spans="2:10" x14ac:dyDescent="0.3">
      <c r="B617" s="10">
        <f t="shared" si="18"/>
        <v>2023</v>
      </c>
      <c r="C617" s="10">
        <f t="shared" si="19"/>
        <v>12</v>
      </c>
      <c r="D617" s="3">
        <v>45288</v>
      </c>
      <c r="E617" s="1">
        <v>78.39</v>
      </c>
      <c r="F617" s="1">
        <v>71.77</v>
      </c>
      <c r="G617" s="1">
        <v>2.5562999999999998</v>
      </c>
      <c r="H617" s="1">
        <v>2.0851999999999999</v>
      </c>
      <c r="I617" s="1">
        <v>2.5569999999999999</v>
      </c>
      <c r="J617" s="1">
        <v>4.8521000000000001</v>
      </c>
    </row>
    <row r="618" spans="2:10" x14ac:dyDescent="0.3">
      <c r="B618" s="10">
        <f t="shared" si="18"/>
        <v>2023</v>
      </c>
      <c r="C618" s="10">
        <f t="shared" si="19"/>
        <v>12</v>
      </c>
      <c r="D618" s="3">
        <v>45287</v>
      </c>
      <c r="E618" s="1">
        <v>79.650000000000006</v>
      </c>
      <c r="F618" s="1">
        <v>74.11</v>
      </c>
      <c r="G618" s="1">
        <v>2.6238999999999999</v>
      </c>
      <c r="H618" s="1">
        <v>2.1549999999999998</v>
      </c>
      <c r="I618" s="1">
        <v>2.6190000000000002</v>
      </c>
      <c r="J618" s="1">
        <v>4.8266999999999998</v>
      </c>
    </row>
    <row r="619" spans="2:10" x14ac:dyDescent="0.3">
      <c r="B619" s="10">
        <f t="shared" si="18"/>
        <v>2023</v>
      </c>
      <c r="C619" s="10">
        <f t="shared" si="19"/>
        <v>12</v>
      </c>
      <c r="D619" s="3">
        <v>45286</v>
      </c>
      <c r="E619" s="1">
        <v>81.069999999999993</v>
      </c>
      <c r="F619" s="1">
        <v>75.569999999999993</v>
      </c>
      <c r="G619" s="1">
        <v>2.6688000000000001</v>
      </c>
      <c r="H619" s="1">
        <v>2.1583000000000001</v>
      </c>
      <c r="I619" s="1">
        <v>2.5499999999999998</v>
      </c>
      <c r="J619" s="1">
        <v>4.8140000000000001</v>
      </c>
    </row>
    <row r="620" spans="2:10" x14ac:dyDescent="0.3">
      <c r="B620" s="10">
        <f t="shared" si="18"/>
        <v>2023</v>
      </c>
      <c r="C620" s="10">
        <f t="shared" si="19"/>
        <v>12</v>
      </c>
      <c r="D620" s="3">
        <v>45285</v>
      </c>
      <c r="J620" s="1">
        <v>4.8585000000000003</v>
      </c>
    </row>
    <row r="621" spans="2:10" x14ac:dyDescent="0.3">
      <c r="B621" s="10">
        <f t="shared" si="18"/>
        <v>2023</v>
      </c>
      <c r="C621" s="10">
        <f t="shared" si="19"/>
        <v>12</v>
      </c>
      <c r="D621" s="3">
        <v>45282</v>
      </c>
      <c r="E621" s="1">
        <v>79.069999999999993</v>
      </c>
      <c r="F621" s="1">
        <v>73.56</v>
      </c>
      <c r="G621" s="1">
        <v>2.6612</v>
      </c>
      <c r="H621" s="1">
        <v>2.1301000000000001</v>
      </c>
      <c r="I621" s="1">
        <v>2.61</v>
      </c>
      <c r="J621" s="1">
        <v>4.8585000000000003</v>
      </c>
    </row>
    <row r="622" spans="2:10" x14ac:dyDescent="0.3">
      <c r="B622" s="10">
        <f t="shared" si="18"/>
        <v>2023</v>
      </c>
      <c r="C622" s="10">
        <f t="shared" si="19"/>
        <v>12</v>
      </c>
      <c r="D622" s="3">
        <v>45281</v>
      </c>
      <c r="E622" s="1">
        <v>79.39</v>
      </c>
      <c r="F622" s="1">
        <v>73.89</v>
      </c>
      <c r="G622" s="1">
        <v>2.6968000000000001</v>
      </c>
      <c r="H622" s="1">
        <v>2.1585000000000001</v>
      </c>
      <c r="I622" s="1">
        <v>2.5720000000000001</v>
      </c>
      <c r="J622" s="1">
        <v>4.8844000000000003</v>
      </c>
    </row>
    <row r="623" spans="2:10" x14ac:dyDescent="0.3">
      <c r="B623" s="10">
        <f t="shared" si="18"/>
        <v>2023</v>
      </c>
      <c r="C623" s="10">
        <f t="shared" si="19"/>
        <v>12</v>
      </c>
      <c r="D623" s="3">
        <v>45280</v>
      </c>
      <c r="E623" s="1">
        <v>79.7</v>
      </c>
      <c r="F623" s="1">
        <v>74.22</v>
      </c>
      <c r="G623" s="1">
        <v>2.7084999999999999</v>
      </c>
      <c r="H623" s="1">
        <v>2.2006999999999999</v>
      </c>
      <c r="I623" s="1">
        <v>2.4470000000000001</v>
      </c>
      <c r="J623" s="1">
        <v>4.9162999999999997</v>
      </c>
    </row>
    <row r="624" spans="2:10" x14ac:dyDescent="0.3">
      <c r="B624" s="10">
        <f t="shared" si="18"/>
        <v>2023</v>
      </c>
      <c r="C624" s="10">
        <f t="shared" si="19"/>
        <v>12</v>
      </c>
      <c r="D624" s="3">
        <v>45279</v>
      </c>
      <c r="E624" s="1">
        <v>79.23</v>
      </c>
      <c r="F624" s="1">
        <v>73.44</v>
      </c>
      <c r="G624" s="1">
        <v>2.7168000000000001</v>
      </c>
      <c r="H624" s="1">
        <v>2.2008000000000001</v>
      </c>
      <c r="I624" s="1">
        <v>2.492</v>
      </c>
      <c r="J624" s="1">
        <v>4.8674999999999997</v>
      </c>
    </row>
    <row r="625" spans="2:10" x14ac:dyDescent="0.3">
      <c r="B625" s="10">
        <f t="shared" si="18"/>
        <v>2023</v>
      </c>
      <c r="C625" s="10">
        <f t="shared" si="19"/>
        <v>12</v>
      </c>
      <c r="D625" s="3">
        <v>45278</v>
      </c>
      <c r="E625" s="1">
        <v>77.95</v>
      </c>
      <c r="F625" s="1">
        <v>72.47</v>
      </c>
      <c r="G625" s="1">
        <v>2.6728000000000001</v>
      </c>
      <c r="H625" s="1">
        <v>2.1589999999999998</v>
      </c>
      <c r="I625" s="1">
        <v>2.5030000000000001</v>
      </c>
      <c r="J625" s="1">
        <v>4.8967000000000001</v>
      </c>
    </row>
    <row r="626" spans="2:10" x14ac:dyDescent="0.3">
      <c r="B626" s="10">
        <f t="shared" si="18"/>
        <v>2023</v>
      </c>
      <c r="C626" s="10">
        <f t="shared" si="19"/>
        <v>12</v>
      </c>
      <c r="D626" s="3">
        <v>45275</v>
      </c>
      <c r="E626" s="1">
        <v>76.55</v>
      </c>
      <c r="F626" s="1">
        <v>71.430000000000007</v>
      </c>
      <c r="G626" s="1">
        <v>2.6208</v>
      </c>
      <c r="H626" s="1">
        <v>2.137</v>
      </c>
      <c r="I626" s="1">
        <v>2.4910000000000001</v>
      </c>
      <c r="J626" s="1">
        <v>4.9371</v>
      </c>
    </row>
    <row r="627" spans="2:10" x14ac:dyDescent="0.3">
      <c r="B627" s="10">
        <f t="shared" si="18"/>
        <v>2023</v>
      </c>
      <c r="C627" s="10">
        <f t="shared" si="19"/>
        <v>12</v>
      </c>
      <c r="D627" s="3">
        <v>45274</v>
      </c>
      <c r="E627" s="1">
        <v>76.61</v>
      </c>
      <c r="F627" s="1">
        <v>71.58</v>
      </c>
      <c r="G627" s="1">
        <v>2.5912999999999999</v>
      </c>
      <c r="H627" s="1">
        <v>2.1187999999999998</v>
      </c>
      <c r="I627" s="1">
        <v>2.3919999999999999</v>
      </c>
      <c r="J627" s="1">
        <v>4.9154999999999998</v>
      </c>
    </row>
    <row r="628" spans="2:10" x14ac:dyDescent="0.3">
      <c r="B628" s="10">
        <f t="shared" si="18"/>
        <v>2023</v>
      </c>
      <c r="C628" s="10">
        <f t="shared" si="19"/>
        <v>12</v>
      </c>
      <c r="D628" s="3">
        <v>45273</v>
      </c>
      <c r="E628" s="1">
        <v>74.260000000000005</v>
      </c>
      <c r="F628" s="1">
        <v>69.47</v>
      </c>
      <c r="G628" s="1">
        <v>2.5480999999999998</v>
      </c>
      <c r="H628" s="1">
        <v>2.0249000000000001</v>
      </c>
      <c r="I628" s="1">
        <v>2.335</v>
      </c>
      <c r="J628" s="1">
        <v>4.9196999999999997</v>
      </c>
    </row>
    <row r="629" spans="2:10" x14ac:dyDescent="0.3">
      <c r="B629" s="10">
        <f t="shared" si="18"/>
        <v>2023</v>
      </c>
      <c r="C629" s="10">
        <f t="shared" si="19"/>
        <v>12</v>
      </c>
      <c r="D629" s="3">
        <v>45272</v>
      </c>
      <c r="E629" s="1">
        <v>73.239999999999995</v>
      </c>
      <c r="F629" s="1">
        <v>68.61</v>
      </c>
      <c r="G629" s="1">
        <v>2.5074000000000001</v>
      </c>
      <c r="H629" s="1">
        <v>1.9797</v>
      </c>
      <c r="I629" s="1">
        <v>2.3109999999999999</v>
      </c>
      <c r="J629" s="1">
        <v>4.9630999999999998</v>
      </c>
    </row>
    <row r="630" spans="2:10" x14ac:dyDescent="0.3">
      <c r="B630" s="10">
        <f t="shared" si="18"/>
        <v>2023</v>
      </c>
      <c r="C630" s="10">
        <f t="shared" si="19"/>
        <v>12</v>
      </c>
      <c r="D630" s="3">
        <v>45271</v>
      </c>
      <c r="E630" s="1">
        <v>76.03</v>
      </c>
      <c r="F630" s="1">
        <v>71.319999999999993</v>
      </c>
      <c r="G630" s="1">
        <v>2.6086999999999998</v>
      </c>
      <c r="H630" s="1">
        <v>2.0430999999999999</v>
      </c>
      <c r="I630" s="1">
        <v>2.431</v>
      </c>
      <c r="J630" s="1">
        <v>4.9386000000000001</v>
      </c>
    </row>
    <row r="631" spans="2:10" x14ac:dyDescent="0.3">
      <c r="B631" s="10">
        <f t="shared" si="18"/>
        <v>2023</v>
      </c>
      <c r="C631" s="10">
        <f t="shared" si="19"/>
        <v>12</v>
      </c>
      <c r="D631" s="3">
        <v>45268</v>
      </c>
      <c r="E631" s="1">
        <v>75.84</v>
      </c>
      <c r="F631" s="1">
        <v>71.23</v>
      </c>
      <c r="G631" s="1">
        <v>2.581</v>
      </c>
      <c r="H631" s="1">
        <v>2.0497999999999998</v>
      </c>
      <c r="I631" s="1">
        <v>2.581</v>
      </c>
      <c r="J631" s="1">
        <v>4.9317000000000002</v>
      </c>
    </row>
    <row r="632" spans="2:10" x14ac:dyDescent="0.3">
      <c r="B632" s="10">
        <f t="shared" si="18"/>
        <v>2023</v>
      </c>
      <c r="C632" s="10">
        <f t="shared" si="19"/>
        <v>12</v>
      </c>
      <c r="D632" s="3">
        <v>45267</v>
      </c>
      <c r="E632" s="1">
        <v>74.05</v>
      </c>
      <c r="F632" s="1">
        <v>69.34</v>
      </c>
      <c r="G632" s="1">
        <v>2.5491999999999999</v>
      </c>
      <c r="H632" s="1">
        <v>2.0011999999999999</v>
      </c>
      <c r="I632" s="1">
        <v>2.585</v>
      </c>
      <c r="J632" s="1">
        <v>4.9115000000000002</v>
      </c>
    </row>
    <row r="633" spans="2:10" x14ac:dyDescent="0.3">
      <c r="B633" s="10">
        <f t="shared" si="18"/>
        <v>2023</v>
      </c>
      <c r="C633" s="10">
        <f t="shared" si="19"/>
        <v>12</v>
      </c>
      <c r="D633" s="3">
        <v>45266</v>
      </c>
      <c r="E633" s="1">
        <v>74.3</v>
      </c>
      <c r="F633" s="1">
        <v>69.38</v>
      </c>
      <c r="G633" s="1">
        <v>2.5762</v>
      </c>
      <c r="H633" s="1">
        <v>2.0301999999999998</v>
      </c>
      <c r="I633" s="1">
        <v>2.569</v>
      </c>
      <c r="J633" s="1">
        <v>4.9021999999999997</v>
      </c>
    </row>
    <row r="634" spans="2:10" x14ac:dyDescent="0.3">
      <c r="B634" s="10">
        <f t="shared" si="18"/>
        <v>2023</v>
      </c>
      <c r="C634" s="10">
        <f t="shared" si="19"/>
        <v>12</v>
      </c>
      <c r="D634" s="3">
        <v>45265</v>
      </c>
      <c r="E634" s="1">
        <v>77.2</v>
      </c>
      <c r="F634" s="1">
        <v>72.319999999999993</v>
      </c>
      <c r="G634" s="1">
        <v>2.6410999999999998</v>
      </c>
      <c r="H634" s="1">
        <v>2.1103000000000001</v>
      </c>
      <c r="I634" s="1">
        <v>2.71</v>
      </c>
      <c r="J634" s="1">
        <v>4.9306000000000001</v>
      </c>
    </row>
    <row r="635" spans="2:10" x14ac:dyDescent="0.3">
      <c r="B635" s="10">
        <f t="shared" si="18"/>
        <v>2023</v>
      </c>
      <c r="C635" s="10">
        <f t="shared" si="19"/>
        <v>12</v>
      </c>
      <c r="D635" s="3">
        <v>45264</v>
      </c>
      <c r="E635" s="1">
        <v>78.03</v>
      </c>
      <c r="F635" s="1">
        <v>73.040000000000006</v>
      </c>
      <c r="G635" s="1">
        <v>2.6597</v>
      </c>
      <c r="H635" s="1">
        <v>2.1341999999999999</v>
      </c>
      <c r="I635" s="1">
        <v>2.694</v>
      </c>
      <c r="J635" s="1">
        <v>4.9432</v>
      </c>
    </row>
    <row r="636" spans="2:10" x14ac:dyDescent="0.3">
      <c r="B636" s="10">
        <f t="shared" si="18"/>
        <v>2023</v>
      </c>
      <c r="C636" s="10">
        <f t="shared" si="19"/>
        <v>12</v>
      </c>
      <c r="D636" s="3">
        <v>45261</v>
      </c>
      <c r="E636" s="1">
        <v>78.88</v>
      </c>
      <c r="F636" s="1">
        <v>74.069999999999993</v>
      </c>
      <c r="G636" s="1">
        <v>2.6615000000000002</v>
      </c>
      <c r="H636" s="1">
        <v>2.1211000000000002</v>
      </c>
      <c r="I636" s="1">
        <v>2.8140000000000001</v>
      </c>
      <c r="J636" s="1">
        <v>4.8800999999999997</v>
      </c>
    </row>
    <row r="637" spans="2:10" x14ac:dyDescent="0.3">
      <c r="B637" s="10">
        <f t="shared" si="18"/>
        <v>2023</v>
      </c>
      <c r="C637" s="10">
        <f t="shared" si="19"/>
        <v>11</v>
      </c>
      <c r="D637" s="3">
        <v>45260</v>
      </c>
      <c r="E637" s="1">
        <v>82.83</v>
      </c>
      <c r="F637" s="1">
        <v>75.959999999999994</v>
      </c>
      <c r="G637" s="1">
        <v>2.8304999999999998</v>
      </c>
      <c r="H637" s="1">
        <v>2.1998000000000002</v>
      </c>
      <c r="I637" s="1">
        <v>2.802</v>
      </c>
      <c r="J637" s="1">
        <v>4.9204999999999997</v>
      </c>
    </row>
    <row r="638" spans="2:10" x14ac:dyDescent="0.3">
      <c r="B638" s="10">
        <f t="shared" si="18"/>
        <v>2023</v>
      </c>
      <c r="C638" s="10">
        <f t="shared" si="19"/>
        <v>11</v>
      </c>
      <c r="D638" s="3">
        <v>45259</v>
      </c>
      <c r="E638" s="1">
        <v>83.1</v>
      </c>
      <c r="F638" s="1">
        <v>77.86</v>
      </c>
      <c r="G638" s="1">
        <v>2.8885000000000001</v>
      </c>
      <c r="H638" s="1">
        <v>2.2835999999999999</v>
      </c>
      <c r="I638" s="1">
        <v>2.8039999999999998</v>
      </c>
      <c r="J638" s="1">
        <v>4.9028999999999998</v>
      </c>
    </row>
    <row r="639" spans="2:10" x14ac:dyDescent="0.3">
      <c r="B639" s="10">
        <f t="shared" si="18"/>
        <v>2023</v>
      </c>
      <c r="C639" s="10">
        <f t="shared" si="19"/>
        <v>11</v>
      </c>
      <c r="D639" s="3">
        <v>45258</v>
      </c>
      <c r="E639" s="1">
        <v>81.680000000000007</v>
      </c>
      <c r="F639" s="1">
        <v>76.41</v>
      </c>
      <c r="G639" s="1">
        <v>2.907</v>
      </c>
      <c r="H639" s="1">
        <v>2.23</v>
      </c>
      <c r="I639" s="1">
        <v>2.706</v>
      </c>
      <c r="J639" s="1">
        <v>4.8704999999999998</v>
      </c>
    </row>
    <row r="640" spans="2:10" x14ac:dyDescent="0.3">
      <c r="B640" s="10">
        <f t="shared" si="18"/>
        <v>2023</v>
      </c>
      <c r="C640" s="10">
        <f t="shared" si="19"/>
        <v>11</v>
      </c>
      <c r="D640" s="3">
        <v>45257</v>
      </c>
      <c r="E640" s="1">
        <v>79.98</v>
      </c>
      <c r="F640" s="1">
        <v>74.86</v>
      </c>
      <c r="G640" s="1">
        <v>2.8378999999999999</v>
      </c>
      <c r="H640" s="1">
        <v>2.1798999999999999</v>
      </c>
      <c r="I640" s="1">
        <v>2.794</v>
      </c>
      <c r="J640" s="1">
        <v>4.8963999999999999</v>
      </c>
    </row>
    <row r="641" spans="2:10" x14ac:dyDescent="0.3">
      <c r="B641" s="10">
        <f t="shared" si="18"/>
        <v>2023</v>
      </c>
      <c r="C641" s="10">
        <f t="shared" si="19"/>
        <v>11</v>
      </c>
      <c r="D641" s="3">
        <v>45254</v>
      </c>
      <c r="E641" s="1">
        <v>80.58</v>
      </c>
      <c r="F641" s="1">
        <v>75.540000000000006</v>
      </c>
      <c r="G641" s="1">
        <v>2.8357000000000001</v>
      </c>
      <c r="H641" s="1">
        <v>2.1650999999999998</v>
      </c>
      <c r="I641" s="1">
        <v>2.855</v>
      </c>
      <c r="J641" s="1">
        <v>4.9020000000000001</v>
      </c>
    </row>
    <row r="642" spans="2:10" x14ac:dyDescent="0.3">
      <c r="B642" s="10">
        <f t="shared" si="18"/>
        <v>2023</v>
      </c>
      <c r="C642" s="10">
        <f t="shared" si="19"/>
        <v>11</v>
      </c>
      <c r="D642" s="3">
        <v>45253</v>
      </c>
      <c r="E642" s="1">
        <v>81.42</v>
      </c>
      <c r="J642" s="1">
        <v>4.9039000000000001</v>
      </c>
    </row>
    <row r="643" spans="2:10" x14ac:dyDescent="0.3">
      <c r="B643" s="10">
        <f t="shared" si="18"/>
        <v>2023</v>
      </c>
      <c r="C643" s="10">
        <f t="shared" si="19"/>
        <v>11</v>
      </c>
      <c r="D643" s="3">
        <v>45252</v>
      </c>
      <c r="E643" s="1">
        <v>81.96</v>
      </c>
      <c r="F643" s="1">
        <v>77.099999999999994</v>
      </c>
      <c r="G643" s="1">
        <v>2.8891</v>
      </c>
      <c r="H643" s="1">
        <v>2.2324000000000002</v>
      </c>
      <c r="I643" s="1">
        <v>2.8969999999999998</v>
      </c>
      <c r="J643" s="1">
        <v>4.9067999999999996</v>
      </c>
    </row>
    <row r="644" spans="2:10" x14ac:dyDescent="0.3">
      <c r="B644" s="10">
        <f t="shared" si="18"/>
        <v>2023</v>
      </c>
      <c r="C644" s="10">
        <f t="shared" si="19"/>
        <v>11</v>
      </c>
      <c r="D644" s="3">
        <v>45251</v>
      </c>
      <c r="E644" s="1">
        <v>82.45</v>
      </c>
      <c r="F644" s="1">
        <v>77.77</v>
      </c>
      <c r="G644" s="1">
        <v>2.9249000000000001</v>
      </c>
      <c r="H644" s="1">
        <v>2.2338</v>
      </c>
      <c r="I644" s="1">
        <v>2.8460000000000001</v>
      </c>
      <c r="J644" s="1">
        <v>4.9005999999999998</v>
      </c>
    </row>
    <row r="645" spans="2:10" x14ac:dyDescent="0.3">
      <c r="B645" s="10">
        <f t="shared" si="18"/>
        <v>2023</v>
      </c>
      <c r="C645" s="10">
        <f t="shared" si="19"/>
        <v>11</v>
      </c>
      <c r="D645" s="3">
        <v>45250</v>
      </c>
      <c r="E645" s="1">
        <v>82.32</v>
      </c>
      <c r="F645" s="1">
        <v>77.599999999999994</v>
      </c>
      <c r="G645" s="1">
        <v>2.8494999999999999</v>
      </c>
      <c r="H645" s="1">
        <v>2.226</v>
      </c>
      <c r="I645" s="1">
        <v>2.8820000000000001</v>
      </c>
      <c r="J645" s="1">
        <v>4.8543000000000003</v>
      </c>
    </row>
    <row r="646" spans="2:10" x14ac:dyDescent="0.3">
      <c r="B646" s="10">
        <f t="shared" ref="B646:B709" si="20">YEAR(D646)</f>
        <v>2023</v>
      </c>
      <c r="C646" s="10">
        <f t="shared" ref="C646:C709" si="21">MONTH(D646)</f>
        <v>11</v>
      </c>
      <c r="D646" s="3">
        <v>45247</v>
      </c>
      <c r="E646" s="1">
        <v>80.61</v>
      </c>
      <c r="F646" s="1">
        <v>75.89</v>
      </c>
      <c r="G646" s="1">
        <v>2.7725</v>
      </c>
      <c r="H646" s="1">
        <v>2.1844999999999999</v>
      </c>
      <c r="I646" s="1">
        <v>2.96</v>
      </c>
      <c r="J646" s="1">
        <v>4.9058999999999999</v>
      </c>
    </row>
    <row r="647" spans="2:10" x14ac:dyDescent="0.3">
      <c r="B647" s="10">
        <f t="shared" si="20"/>
        <v>2023</v>
      </c>
      <c r="C647" s="10">
        <f t="shared" si="21"/>
        <v>11</v>
      </c>
      <c r="D647" s="3">
        <v>45246</v>
      </c>
      <c r="E647" s="1">
        <v>77.42</v>
      </c>
      <c r="F647" s="1">
        <v>72.900000000000006</v>
      </c>
      <c r="G647" s="1">
        <v>2.7502</v>
      </c>
      <c r="H647" s="1">
        <v>2.1011000000000002</v>
      </c>
      <c r="I647" s="1">
        <v>3.0619999999999998</v>
      </c>
      <c r="J647" s="1">
        <v>4.8632</v>
      </c>
    </row>
    <row r="648" spans="2:10" x14ac:dyDescent="0.3">
      <c r="B648" s="10">
        <f t="shared" si="20"/>
        <v>2023</v>
      </c>
      <c r="C648" s="10">
        <f t="shared" si="21"/>
        <v>11</v>
      </c>
      <c r="D648" s="3">
        <v>45245</v>
      </c>
      <c r="E648" s="1">
        <v>81.180000000000007</v>
      </c>
      <c r="F648" s="1">
        <v>76.66</v>
      </c>
      <c r="G648" s="1">
        <v>2.8687</v>
      </c>
      <c r="H648" s="1">
        <v>2.2018</v>
      </c>
      <c r="I648" s="1">
        <v>3.19</v>
      </c>
      <c r="J648" s="1">
        <v>4.8620000000000001</v>
      </c>
    </row>
    <row r="649" spans="2:10" x14ac:dyDescent="0.3">
      <c r="B649" s="10">
        <f t="shared" si="20"/>
        <v>2023</v>
      </c>
      <c r="C649" s="10">
        <f t="shared" si="21"/>
        <v>11</v>
      </c>
      <c r="D649" s="3">
        <v>45244</v>
      </c>
      <c r="E649" s="1">
        <v>82.47</v>
      </c>
      <c r="F649" s="1">
        <v>78.260000000000005</v>
      </c>
      <c r="G649" s="1">
        <v>2.8371</v>
      </c>
      <c r="H649" s="1">
        <v>2.2227999999999999</v>
      </c>
      <c r="I649" s="1">
        <v>3.1059999999999999</v>
      </c>
      <c r="J649" s="1">
        <v>4.8654000000000002</v>
      </c>
    </row>
    <row r="650" spans="2:10" x14ac:dyDescent="0.3">
      <c r="B650" s="10">
        <f t="shared" si="20"/>
        <v>2023</v>
      </c>
      <c r="C650" s="10">
        <f t="shared" si="21"/>
        <v>11</v>
      </c>
      <c r="D650" s="3">
        <v>45243</v>
      </c>
      <c r="E650" s="1">
        <v>82.52</v>
      </c>
      <c r="F650" s="1">
        <v>78.260000000000005</v>
      </c>
      <c r="G650" s="1">
        <v>2.8393000000000002</v>
      </c>
      <c r="H650" s="1">
        <v>2.2359</v>
      </c>
      <c r="I650" s="1">
        <v>3.1970000000000001</v>
      </c>
      <c r="J650" s="1">
        <v>4.9074999999999998</v>
      </c>
    </row>
    <row r="651" spans="2:10" x14ac:dyDescent="0.3">
      <c r="B651" s="10">
        <f t="shared" si="20"/>
        <v>2023</v>
      </c>
      <c r="C651" s="10">
        <f t="shared" si="21"/>
        <v>11</v>
      </c>
      <c r="D651" s="3">
        <v>45240</v>
      </c>
      <c r="E651" s="1">
        <v>81.430000000000007</v>
      </c>
      <c r="F651" s="1">
        <v>77.17</v>
      </c>
      <c r="G651" s="1">
        <v>2.7431000000000001</v>
      </c>
      <c r="H651" s="1">
        <v>2.1894999999999998</v>
      </c>
      <c r="I651" s="1">
        <v>3.0329999999999999</v>
      </c>
      <c r="J651" s="1">
        <v>4.9013</v>
      </c>
    </row>
    <row r="652" spans="2:10" x14ac:dyDescent="0.3">
      <c r="B652" s="10">
        <f t="shared" si="20"/>
        <v>2023</v>
      </c>
      <c r="C652" s="10">
        <f t="shared" si="21"/>
        <v>11</v>
      </c>
      <c r="D652" s="3">
        <v>45239</v>
      </c>
      <c r="E652" s="1">
        <v>80.010000000000005</v>
      </c>
      <c r="F652" s="1">
        <v>75.739999999999995</v>
      </c>
      <c r="G652" s="1">
        <v>2.7191000000000001</v>
      </c>
      <c r="H652" s="1">
        <v>2.1608000000000001</v>
      </c>
      <c r="I652" s="1">
        <v>3.0409999999999999</v>
      </c>
      <c r="J652" s="1">
        <v>4.9341999999999997</v>
      </c>
    </row>
    <row r="653" spans="2:10" x14ac:dyDescent="0.3">
      <c r="B653" s="10">
        <f t="shared" si="20"/>
        <v>2023</v>
      </c>
      <c r="C653" s="10">
        <f t="shared" si="21"/>
        <v>11</v>
      </c>
      <c r="D653" s="3">
        <v>45238</v>
      </c>
      <c r="E653" s="1">
        <v>79.540000000000006</v>
      </c>
      <c r="F653" s="1">
        <v>75.33</v>
      </c>
      <c r="G653" s="1">
        <v>2.7492000000000001</v>
      </c>
      <c r="H653" s="1">
        <v>2.1284999999999998</v>
      </c>
      <c r="I653" s="1">
        <v>3.1059999999999999</v>
      </c>
      <c r="J653" s="1">
        <v>4.9103000000000003</v>
      </c>
    </row>
    <row r="654" spans="2:10" x14ac:dyDescent="0.3">
      <c r="B654" s="10">
        <f t="shared" si="20"/>
        <v>2023</v>
      </c>
      <c r="C654" s="10">
        <f t="shared" si="21"/>
        <v>11</v>
      </c>
      <c r="D654" s="3">
        <v>45237</v>
      </c>
      <c r="E654" s="1">
        <v>81.61</v>
      </c>
      <c r="F654" s="1">
        <v>77.37</v>
      </c>
      <c r="G654" s="1">
        <v>2.8384</v>
      </c>
      <c r="H654" s="1">
        <v>2.1677</v>
      </c>
      <c r="I654" s="1">
        <v>3.14</v>
      </c>
      <c r="J654" s="1">
        <v>4.8723999999999998</v>
      </c>
    </row>
    <row r="655" spans="2:10" x14ac:dyDescent="0.3">
      <c r="B655" s="10">
        <f t="shared" si="20"/>
        <v>2023</v>
      </c>
      <c r="C655" s="10">
        <f t="shared" si="21"/>
        <v>11</v>
      </c>
      <c r="D655" s="3">
        <v>45236</v>
      </c>
      <c r="E655" s="1">
        <v>85.18</v>
      </c>
      <c r="F655" s="1">
        <v>80.819999999999993</v>
      </c>
      <c r="G655" s="1">
        <v>2.9523999999999999</v>
      </c>
      <c r="H655" s="1">
        <v>2.2359</v>
      </c>
      <c r="I655" s="1">
        <v>3.2639999999999998</v>
      </c>
      <c r="J655" s="1">
        <v>4.8853</v>
      </c>
    </row>
    <row r="656" spans="2:10" x14ac:dyDescent="0.3">
      <c r="B656" s="10">
        <f t="shared" si="20"/>
        <v>2023</v>
      </c>
      <c r="C656" s="10">
        <f t="shared" si="21"/>
        <v>11</v>
      </c>
      <c r="D656" s="3">
        <v>45233</v>
      </c>
      <c r="E656" s="1">
        <v>84.89</v>
      </c>
      <c r="F656" s="1">
        <v>80.510000000000005</v>
      </c>
      <c r="G656" s="1">
        <v>2.9238</v>
      </c>
      <c r="H656" s="1">
        <v>2.2010000000000001</v>
      </c>
      <c r="I656" s="1">
        <v>3.5150000000000001</v>
      </c>
      <c r="J656" s="1">
        <v>4.9012000000000002</v>
      </c>
    </row>
    <row r="657" spans="2:10" x14ac:dyDescent="0.3">
      <c r="B657" s="10">
        <f t="shared" si="20"/>
        <v>2023</v>
      </c>
      <c r="C657" s="10">
        <f t="shared" si="21"/>
        <v>11</v>
      </c>
      <c r="D657" s="3">
        <v>45232</v>
      </c>
      <c r="E657" s="1">
        <v>86.85</v>
      </c>
      <c r="F657" s="1">
        <v>82.46</v>
      </c>
      <c r="G657" s="1">
        <v>3.0255000000000001</v>
      </c>
      <c r="H657" s="1">
        <v>2.246</v>
      </c>
      <c r="I657" s="1">
        <v>3.472</v>
      </c>
      <c r="J657" s="1">
        <v>4.9534000000000002</v>
      </c>
    </row>
    <row r="658" spans="2:10" x14ac:dyDescent="0.3">
      <c r="B658" s="10">
        <f t="shared" si="20"/>
        <v>2023</v>
      </c>
      <c r="C658" s="10">
        <f t="shared" si="21"/>
        <v>11</v>
      </c>
      <c r="D658" s="3">
        <v>45231</v>
      </c>
      <c r="E658" s="1">
        <v>84.63</v>
      </c>
      <c r="F658" s="1">
        <v>80.44</v>
      </c>
      <c r="G658" s="1">
        <v>2.9615</v>
      </c>
      <c r="H658" s="1">
        <v>2.1855000000000002</v>
      </c>
      <c r="I658" s="1">
        <v>3.4940000000000002</v>
      </c>
      <c r="J658" s="1">
        <v>4.9534000000000002</v>
      </c>
    </row>
    <row r="659" spans="2:10" x14ac:dyDescent="0.3">
      <c r="B659" s="10">
        <f t="shared" si="20"/>
        <v>2023</v>
      </c>
      <c r="C659" s="10">
        <f t="shared" si="21"/>
        <v>10</v>
      </c>
      <c r="D659" s="3">
        <v>45230</v>
      </c>
      <c r="E659" s="1">
        <v>87.41</v>
      </c>
      <c r="F659" s="1">
        <v>81.02</v>
      </c>
      <c r="G659" s="1">
        <v>2.9910000000000001</v>
      </c>
      <c r="H659" s="1">
        <v>2.2227000000000001</v>
      </c>
      <c r="I659" s="1">
        <v>3.5750000000000002</v>
      </c>
      <c r="J659" s="1">
        <v>5.0350000000000001</v>
      </c>
    </row>
    <row r="660" spans="2:10" x14ac:dyDescent="0.3">
      <c r="B660" s="10">
        <f t="shared" si="20"/>
        <v>2023</v>
      </c>
      <c r="C660" s="10">
        <f t="shared" si="21"/>
        <v>10</v>
      </c>
      <c r="D660" s="3">
        <v>45229</v>
      </c>
      <c r="E660" s="1">
        <v>87.45</v>
      </c>
      <c r="F660" s="1">
        <v>82.31</v>
      </c>
      <c r="G660" s="1">
        <v>2.9662999999999999</v>
      </c>
      <c r="H660" s="1">
        <v>2.2200000000000002</v>
      </c>
      <c r="I660" s="1">
        <v>3.3519999999999999</v>
      </c>
      <c r="J660" s="1">
        <v>5.0472000000000001</v>
      </c>
    </row>
    <row r="661" spans="2:10" x14ac:dyDescent="0.3">
      <c r="B661" s="10">
        <f t="shared" si="20"/>
        <v>2023</v>
      </c>
      <c r="C661" s="10">
        <f t="shared" si="21"/>
        <v>10</v>
      </c>
      <c r="D661" s="3">
        <v>45226</v>
      </c>
      <c r="E661" s="1">
        <v>90.48</v>
      </c>
      <c r="F661" s="1">
        <v>85.54</v>
      </c>
      <c r="G661" s="1">
        <v>3.0518999999999998</v>
      </c>
      <c r="H661" s="1">
        <v>2.3125</v>
      </c>
      <c r="I661" s="1">
        <v>3.1640000000000001</v>
      </c>
      <c r="J661" s="1">
        <v>5.0152000000000001</v>
      </c>
    </row>
    <row r="662" spans="2:10" x14ac:dyDescent="0.3">
      <c r="B662" s="10">
        <f t="shared" si="20"/>
        <v>2023</v>
      </c>
      <c r="C662" s="10">
        <f t="shared" si="21"/>
        <v>10</v>
      </c>
      <c r="D662" s="3">
        <v>45225</v>
      </c>
      <c r="E662" s="1">
        <v>87.93</v>
      </c>
      <c r="F662" s="1">
        <v>83.21</v>
      </c>
      <c r="G662" s="1">
        <v>3.0438999999999998</v>
      </c>
      <c r="H662" s="1">
        <v>2.2561</v>
      </c>
      <c r="I662" s="1">
        <v>3.214</v>
      </c>
      <c r="J662" s="1">
        <v>4.9861000000000004</v>
      </c>
    </row>
    <row r="663" spans="2:10" x14ac:dyDescent="0.3">
      <c r="B663" s="10">
        <f t="shared" si="20"/>
        <v>2023</v>
      </c>
      <c r="C663" s="10">
        <f t="shared" si="21"/>
        <v>10</v>
      </c>
      <c r="D663" s="3">
        <v>45224</v>
      </c>
      <c r="E663" s="1">
        <v>90.13</v>
      </c>
      <c r="F663" s="1">
        <v>85.39</v>
      </c>
      <c r="G663" s="1">
        <v>3.0305</v>
      </c>
      <c r="H663" s="1">
        <v>2.2841999999999998</v>
      </c>
      <c r="I663" s="1">
        <v>3.01</v>
      </c>
      <c r="J663" s="1">
        <v>4.9946999999999999</v>
      </c>
    </row>
    <row r="664" spans="2:10" x14ac:dyDescent="0.3">
      <c r="B664" s="10">
        <f t="shared" si="20"/>
        <v>2023</v>
      </c>
      <c r="C664" s="10">
        <f t="shared" si="21"/>
        <v>10</v>
      </c>
      <c r="D664" s="3">
        <v>45223</v>
      </c>
      <c r="E664" s="1">
        <v>88.07</v>
      </c>
      <c r="F664" s="1">
        <v>83.74</v>
      </c>
      <c r="G664" s="1">
        <v>3.0449000000000002</v>
      </c>
      <c r="H664" s="1">
        <v>2.2675999999999998</v>
      </c>
      <c r="I664" s="1">
        <v>2.9710000000000001</v>
      </c>
      <c r="J664" s="1">
        <v>4.9908000000000001</v>
      </c>
    </row>
    <row r="665" spans="2:10" x14ac:dyDescent="0.3">
      <c r="B665" s="10">
        <f t="shared" si="20"/>
        <v>2023</v>
      </c>
      <c r="C665" s="10">
        <f t="shared" si="21"/>
        <v>10</v>
      </c>
      <c r="D665" s="3">
        <v>45222</v>
      </c>
      <c r="E665" s="1">
        <v>89.83</v>
      </c>
      <c r="F665" s="1">
        <v>85.49</v>
      </c>
      <c r="G665" s="1">
        <v>3.0954999999999999</v>
      </c>
      <c r="H665" s="1">
        <v>2.3285</v>
      </c>
      <c r="I665" s="1">
        <v>2.9260000000000002</v>
      </c>
      <c r="J665" s="1">
        <v>5.0111999999999997</v>
      </c>
    </row>
    <row r="666" spans="2:10" x14ac:dyDescent="0.3">
      <c r="B666" s="10">
        <f t="shared" si="20"/>
        <v>2023</v>
      </c>
      <c r="C666" s="10">
        <f t="shared" si="21"/>
        <v>10</v>
      </c>
      <c r="D666" s="3">
        <v>45219</v>
      </c>
      <c r="E666" s="1">
        <v>92.16</v>
      </c>
      <c r="F666" s="1">
        <v>88.75</v>
      </c>
      <c r="G666" s="1">
        <v>3.1566000000000001</v>
      </c>
      <c r="H666" s="1">
        <v>2.3736000000000002</v>
      </c>
      <c r="I666" s="1">
        <v>2.899</v>
      </c>
      <c r="J666" s="1">
        <v>5.0312000000000001</v>
      </c>
    </row>
    <row r="667" spans="2:10" x14ac:dyDescent="0.3">
      <c r="B667" s="10">
        <f t="shared" si="20"/>
        <v>2023</v>
      </c>
      <c r="C667" s="10">
        <f t="shared" si="21"/>
        <v>10</v>
      </c>
      <c r="D667" s="3">
        <v>45218</v>
      </c>
      <c r="E667" s="1">
        <v>92.38</v>
      </c>
      <c r="F667" s="1">
        <v>89.37</v>
      </c>
      <c r="G667" s="1">
        <v>3.173</v>
      </c>
      <c r="H667" s="1">
        <v>2.3616999999999999</v>
      </c>
      <c r="I667" s="1">
        <v>2.9569999999999999</v>
      </c>
      <c r="J667" s="1">
        <v>5.0646000000000004</v>
      </c>
    </row>
    <row r="668" spans="2:10" x14ac:dyDescent="0.3">
      <c r="B668" s="10">
        <f t="shared" si="20"/>
        <v>2023</v>
      </c>
      <c r="C668" s="10">
        <f t="shared" si="21"/>
        <v>10</v>
      </c>
      <c r="D668" s="3">
        <v>45217</v>
      </c>
      <c r="E668" s="1">
        <v>91.5</v>
      </c>
      <c r="F668" s="1">
        <v>88.32</v>
      </c>
      <c r="G668" s="1">
        <v>3.1393</v>
      </c>
      <c r="H668" s="1">
        <v>2.3534999999999999</v>
      </c>
      <c r="I668" s="1">
        <v>3.056</v>
      </c>
      <c r="J668" s="1">
        <v>5.0590999999999999</v>
      </c>
    </row>
    <row r="669" spans="2:10" x14ac:dyDescent="0.3">
      <c r="B669" s="10">
        <f t="shared" si="20"/>
        <v>2023</v>
      </c>
      <c r="C669" s="10">
        <f t="shared" si="21"/>
        <v>10</v>
      </c>
      <c r="D669" s="3">
        <v>45216</v>
      </c>
      <c r="E669" s="1">
        <v>89.9</v>
      </c>
      <c r="F669" s="1">
        <v>86.66</v>
      </c>
      <c r="G669" s="1">
        <v>3.1766999999999999</v>
      </c>
      <c r="H669" s="1">
        <v>2.2845</v>
      </c>
      <c r="I669" s="1">
        <v>3.0790000000000002</v>
      </c>
      <c r="J669" s="1">
        <v>5.0414000000000003</v>
      </c>
    </row>
    <row r="670" spans="2:10" x14ac:dyDescent="0.3">
      <c r="B670" s="10">
        <f t="shared" si="20"/>
        <v>2023</v>
      </c>
      <c r="C670" s="10">
        <f t="shared" si="21"/>
        <v>10</v>
      </c>
      <c r="D670" s="3">
        <v>45215</v>
      </c>
      <c r="E670" s="1">
        <v>89.65</v>
      </c>
      <c r="F670" s="1">
        <v>86.66</v>
      </c>
      <c r="G670" s="1">
        <v>3.1492</v>
      </c>
      <c r="H670" s="1">
        <v>2.2730000000000001</v>
      </c>
      <c r="I670" s="1">
        <v>3.109</v>
      </c>
      <c r="J670" s="1">
        <v>5.0377000000000001</v>
      </c>
    </row>
    <row r="671" spans="2:10" x14ac:dyDescent="0.3">
      <c r="B671" s="10">
        <f t="shared" si="20"/>
        <v>2023</v>
      </c>
      <c r="C671" s="10">
        <f t="shared" si="21"/>
        <v>10</v>
      </c>
      <c r="D671" s="3">
        <v>45212</v>
      </c>
      <c r="E671" s="1">
        <v>90.89</v>
      </c>
      <c r="F671" s="1">
        <v>87.69</v>
      </c>
      <c r="G671" s="1">
        <v>3.2117</v>
      </c>
      <c r="H671" s="1">
        <v>2.2652999999999999</v>
      </c>
      <c r="I671" s="1">
        <v>3.2360000000000002</v>
      </c>
      <c r="J671" s="1">
        <v>5.0800999999999998</v>
      </c>
    </row>
    <row r="672" spans="2:10" x14ac:dyDescent="0.3">
      <c r="B672" s="10">
        <f t="shared" si="20"/>
        <v>2023</v>
      </c>
      <c r="C672" s="10">
        <f t="shared" si="21"/>
        <v>10</v>
      </c>
      <c r="D672" s="3">
        <v>45211</v>
      </c>
      <c r="E672" s="1">
        <v>86</v>
      </c>
      <c r="F672" s="1">
        <v>82.91</v>
      </c>
      <c r="G672" s="1">
        <v>3.0449000000000002</v>
      </c>
      <c r="H672" s="1">
        <v>2.165</v>
      </c>
      <c r="I672" s="1">
        <v>3.3439999999999999</v>
      </c>
      <c r="J672" s="1">
        <v>5.0460000000000003</v>
      </c>
    </row>
    <row r="673" spans="2:10" x14ac:dyDescent="0.3">
      <c r="B673" s="10">
        <f t="shared" si="20"/>
        <v>2023</v>
      </c>
      <c r="C673" s="10">
        <f t="shared" si="21"/>
        <v>10</v>
      </c>
      <c r="D673" s="3">
        <v>45210</v>
      </c>
      <c r="E673" s="1">
        <v>85.82</v>
      </c>
      <c r="F673" s="1">
        <v>83.49</v>
      </c>
      <c r="G673" s="1">
        <v>2.9984999999999999</v>
      </c>
      <c r="H673" s="1">
        <v>2.2101000000000002</v>
      </c>
      <c r="I673" s="1">
        <v>3.3769999999999998</v>
      </c>
      <c r="J673" s="1">
        <v>5.0483000000000002</v>
      </c>
    </row>
    <row r="674" spans="2:10" x14ac:dyDescent="0.3">
      <c r="B674" s="10">
        <f t="shared" si="20"/>
        <v>2023</v>
      </c>
      <c r="C674" s="10">
        <f t="shared" si="21"/>
        <v>10</v>
      </c>
      <c r="D674" s="3">
        <v>45209</v>
      </c>
      <c r="E674" s="1">
        <v>87.65</v>
      </c>
      <c r="F674" s="1">
        <v>85.97</v>
      </c>
      <c r="G674" s="1">
        <v>3.0200999999999998</v>
      </c>
      <c r="H674" s="1">
        <v>2.2584</v>
      </c>
      <c r="I674" s="1">
        <v>3.3820000000000001</v>
      </c>
      <c r="J674" s="1">
        <v>5.0515999999999996</v>
      </c>
    </row>
    <row r="675" spans="2:10" x14ac:dyDescent="0.3">
      <c r="B675" s="10">
        <f t="shared" si="20"/>
        <v>2023</v>
      </c>
      <c r="C675" s="10">
        <f t="shared" si="21"/>
        <v>10</v>
      </c>
      <c r="D675" s="3">
        <v>45208</v>
      </c>
      <c r="E675" s="1">
        <v>88.15</v>
      </c>
      <c r="F675" s="1">
        <v>86.38</v>
      </c>
      <c r="G675" s="1">
        <v>2.9666000000000001</v>
      </c>
      <c r="H675" s="1">
        <v>2.2381000000000002</v>
      </c>
      <c r="I675" s="1">
        <v>3.3759999999999999</v>
      </c>
      <c r="J675" s="1">
        <v>5.1355000000000004</v>
      </c>
    </row>
    <row r="676" spans="2:10" x14ac:dyDescent="0.3">
      <c r="B676" s="10">
        <f t="shared" si="20"/>
        <v>2023</v>
      </c>
      <c r="C676" s="10">
        <f t="shared" si="21"/>
        <v>10</v>
      </c>
      <c r="D676" s="3">
        <v>45205</v>
      </c>
      <c r="E676" s="1">
        <v>84.58</v>
      </c>
      <c r="F676" s="1">
        <v>82.79</v>
      </c>
      <c r="G676" s="1">
        <v>2.9007999999999998</v>
      </c>
      <c r="H676" s="1">
        <v>2.1922000000000001</v>
      </c>
      <c r="I676" s="1">
        <v>3.3380000000000001</v>
      </c>
      <c r="J676" s="1">
        <v>5.1456999999999997</v>
      </c>
    </row>
    <row r="677" spans="2:10" x14ac:dyDescent="0.3">
      <c r="B677" s="10">
        <f t="shared" si="20"/>
        <v>2023</v>
      </c>
      <c r="C677" s="10">
        <f t="shared" si="21"/>
        <v>10</v>
      </c>
      <c r="D677" s="3">
        <v>45204</v>
      </c>
      <c r="E677" s="1">
        <v>84.07</v>
      </c>
      <c r="F677" s="1">
        <v>82.31</v>
      </c>
      <c r="G677" s="1">
        <v>2.8687</v>
      </c>
      <c r="H677" s="1">
        <v>2.1890000000000001</v>
      </c>
      <c r="I677" s="1">
        <v>3.1659999999999999</v>
      </c>
      <c r="J677" s="1">
        <v>5.1657999999999999</v>
      </c>
    </row>
    <row r="678" spans="2:10" x14ac:dyDescent="0.3">
      <c r="B678" s="10">
        <f t="shared" si="20"/>
        <v>2023</v>
      </c>
      <c r="C678" s="10">
        <f t="shared" si="21"/>
        <v>10</v>
      </c>
      <c r="D678" s="3">
        <v>45203</v>
      </c>
      <c r="E678" s="1">
        <v>85.81</v>
      </c>
      <c r="F678" s="1">
        <v>84.22</v>
      </c>
      <c r="G678" s="1">
        <v>3.0177999999999998</v>
      </c>
      <c r="H678" s="1">
        <v>2.198</v>
      </c>
      <c r="I678" s="1">
        <v>2.9620000000000002</v>
      </c>
      <c r="J678" s="1">
        <v>5.1562000000000001</v>
      </c>
    </row>
    <row r="679" spans="2:10" x14ac:dyDescent="0.3">
      <c r="B679" s="10">
        <f t="shared" si="20"/>
        <v>2023</v>
      </c>
      <c r="C679" s="10">
        <f t="shared" si="21"/>
        <v>10</v>
      </c>
      <c r="D679" s="3">
        <v>45202</v>
      </c>
      <c r="E679" s="1">
        <v>90.92</v>
      </c>
      <c r="F679" s="1">
        <v>89.23</v>
      </c>
      <c r="G679" s="1">
        <v>3.1953999999999998</v>
      </c>
      <c r="H679" s="1">
        <v>2.3601000000000001</v>
      </c>
      <c r="I679" s="1">
        <v>2.9489999999999998</v>
      </c>
      <c r="J679" s="1">
        <v>5.1669</v>
      </c>
    </row>
    <row r="680" spans="2:10" x14ac:dyDescent="0.3">
      <c r="B680" s="10">
        <f t="shared" si="20"/>
        <v>2023</v>
      </c>
      <c r="C680" s="10">
        <f t="shared" si="21"/>
        <v>10</v>
      </c>
      <c r="D680" s="3">
        <v>45201</v>
      </c>
      <c r="E680" s="1">
        <v>90.71</v>
      </c>
      <c r="F680" s="1">
        <v>88.82</v>
      </c>
      <c r="G680" s="1">
        <v>3.2225000000000001</v>
      </c>
      <c r="H680" s="1">
        <v>2.4121999999999999</v>
      </c>
      <c r="I680" s="1">
        <v>2.84</v>
      </c>
      <c r="J680" s="1">
        <v>5.0609999999999999</v>
      </c>
    </row>
    <row r="681" spans="2:10" x14ac:dyDescent="0.3">
      <c r="B681" s="10">
        <f t="shared" si="20"/>
        <v>2023</v>
      </c>
      <c r="C681" s="10">
        <f t="shared" si="21"/>
        <v>9</v>
      </c>
      <c r="D681" s="3">
        <v>45198</v>
      </c>
      <c r="E681" s="1">
        <v>95.31</v>
      </c>
      <c r="F681" s="1">
        <v>90.79</v>
      </c>
      <c r="G681" s="1">
        <v>3.3622000000000001</v>
      </c>
      <c r="H681" s="1">
        <v>2.4399000000000002</v>
      </c>
      <c r="I681" s="1">
        <v>2.9289999999999998</v>
      </c>
      <c r="J681" s="1">
        <v>5.032</v>
      </c>
    </row>
    <row r="682" spans="2:10" x14ac:dyDescent="0.3">
      <c r="B682" s="10">
        <f t="shared" si="20"/>
        <v>2023</v>
      </c>
      <c r="C682" s="10">
        <f t="shared" si="21"/>
        <v>9</v>
      </c>
      <c r="D682" s="3">
        <v>45197</v>
      </c>
      <c r="E682" s="1">
        <v>95.38</v>
      </c>
      <c r="F682" s="1">
        <v>91.71</v>
      </c>
      <c r="G682" s="1">
        <v>3.3180000000000001</v>
      </c>
      <c r="H682" s="1">
        <v>2.5053000000000001</v>
      </c>
      <c r="I682" s="1">
        <v>2.9449999999999998</v>
      </c>
      <c r="J682" s="1">
        <v>5.0331000000000001</v>
      </c>
    </row>
    <row r="683" spans="2:10" x14ac:dyDescent="0.3">
      <c r="B683" s="10">
        <f t="shared" si="20"/>
        <v>2023</v>
      </c>
      <c r="C683" s="10">
        <f t="shared" si="21"/>
        <v>9</v>
      </c>
      <c r="D683" s="3">
        <v>45196</v>
      </c>
      <c r="E683" s="1">
        <v>96.55</v>
      </c>
      <c r="F683" s="1">
        <v>93.68</v>
      </c>
      <c r="G683" s="1">
        <v>3.3147000000000002</v>
      </c>
      <c r="H683" s="1">
        <v>2.5985999999999998</v>
      </c>
      <c r="I683" s="1">
        <v>2.7639999999999998</v>
      </c>
      <c r="J683" s="1">
        <v>5.0425000000000004</v>
      </c>
    </row>
    <row r="684" spans="2:10" x14ac:dyDescent="0.3">
      <c r="B684" s="10">
        <f t="shared" si="20"/>
        <v>2023</v>
      </c>
      <c r="C684" s="10">
        <f t="shared" si="21"/>
        <v>9</v>
      </c>
      <c r="D684" s="3">
        <v>45195</v>
      </c>
      <c r="E684" s="1">
        <v>93.96</v>
      </c>
      <c r="F684" s="1">
        <v>90.39</v>
      </c>
      <c r="G684" s="1">
        <v>3.2238000000000002</v>
      </c>
      <c r="H684" s="1">
        <v>2.5621999999999998</v>
      </c>
      <c r="I684" s="1">
        <v>2.6560000000000001</v>
      </c>
      <c r="J684" s="1">
        <v>4.9897999999999998</v>
      </c>
    </row>
    <row r="685" spans="2:10" x14ac:dyDescent="0.3">
      <c r="B685" s="10">
        <f t="shared" si="20"/>
        <v>2023</v>
      </c>
      <c r="C685" s="10">
        <f t="shared" si="21"/>
        <v>9</v>
      </c>
      <c r="D685" s="3">
        <v>45194</v>
      </c>
      <c r="E685" s="1">
        <v>93.29</v>
      </c>
      <c r="F685" s="1">
        <v>89.68</v>
      </c>
      <c r="G685" s="1">
        <v>3.2622</v>
      </c>
      <c r="H685" s="1">
        <v>2.5438999999999998</v>
      </c>
      <c r="I685" s="1">
        <v>2.6389999999999998</v>
      </c>
      <c r="J685" s="1">
        <v>4.9678000000000004</v>
      </c>
    </row>
    <row r="686" spans="2:10" x14ac:dyDescent="0.3">
      <c r="B686" s="10">
        <f t="shared" si="20"/>
        <v>2023</v>
      </c>
      <c r="C686" s="10">
        <f t="shared" si="21"/>
        <v>9</v>
      </c>
      <c r="D686" s="3">
        <v>45191</v>
      </c>
      <c r="E686" s="1">
        <v>93.27</v>
      </c>
      <c r="F686" s="1">
        <v>90.03</v>
      </c>
      <c r="G686" s="1">
        <v>3.3062</v>
      </c>
      <c r="H686" s="1">
        <v>2.5617999999999999</v>
      </c>
      <c r="I686" s="1">
        <v>2.637</v>
      </c>
      <c r="J686" s="1">
        <v>4.9351000000000003</v>
      </c>
    </row>
    <row r="687" spans="2:10" x14ac:dyDescent="0.3">
      <c r="B687" s="10">
        <f t="shared" si="20"/>
        <v>2023</v>
      </c>
      <c r="C687" s="10">
        <f t="shared" si="21"/>
        <v>9</v>
      </c>
      <c r="D687" s="3">
        <v>45190</v>
      </c>
      <c r="E687" s="1">
        <v>93.3</v>
      </c>
      <c r="F687" s="1">
        <v>89.63</v>
      </c>
      <c r="G687" s="1">
        <v>3.3679999999999999</v>
      </c>
      <c r="H687" s="1">
        <v>2.6198999999999999</v>
      </c>
      <c r="I687" s="1">
        <v>2.61</v>
      </c>
      <c r="J687" s="1">
        <v>4.9351000000000003</v>
      </c>
    </row>
    <row r="688" spans="2:10" x14ac:dyDescent="0.3">
      <c r="B688" s="10">
        <f t="shared" si="20"/>
        <v>2023</v>
      </c>
      <c r="C688" s="10">
        <f t="shared" si="21"/>
        <v>9</v>
      </c>
      <c r="D688" s="3">
        <v>45189</v>
      </c>
      <c r="E688" s="1">
        <v>93.53</v>
      </c>
      <c r="F688" s="1">
        <v>90.28</v>
      </c>
      <c r="G688" s="1">
        <v>3.3268</v>
      </c>
      <c r="H688" s="1">
        <v>2.6192000000000002</v>
      </c>
      <c r="I688" s="1">
        <v>2.7330000000000001</v>
      </c>
      <c r="J688" s="1">
        <v>4.8800999999999997</v>
      </c>
    </row>
    <row r="689" spans="2:10" x14ac:dyDescent="0.3">
      <c r="B689" s="10">
        <f t="shared" si="20"/>
        <v>2023</v>
      </c>
      <c r="C689" s="10">
        <f t="shared" si="21"/>
        <v>9</v>
      </c>
      <c r="D689" s="3">
        <v>45188</v>
      </c>
      <c r="E689" s="1">
        <v>94.34</v>
      </c>
      <c r="F689" s="1">
        <v>91.2</v>
      </c>
      <c r="G689" s="1">
        <v>3.3738999999999999</v>
      </c>
      <c r="H689" s="1">
        <v>2.6581000000000001</v>
      </c>
      <c r="I689" s="1">
        <v>2.8479999999999999</v>
      </c>
      <c r="J689" s="1">
        <v>4.8673000000000002</v>
      </c>
    </row>
    <row r="690" spans="2:10" x14ac:dyDescent="0.3">
      <c r="B690" s="10">
        <f t="shared" si="20"/>
        <v>2023</v>
      </c>
      <c r="C690" s="10">
        <f t="shared" si="21"/>
        <v>9</v>
      </c>
      <c r="D690" s="3">
        <v>45187</v>
      </c>
      <c r="E690" s="1">
        <v>94.43</v>
      </c>
      <c r="F690" s="1">
        <v>91.48</v>
      </c>
      <c r="G690" s="1">
        <v>3.2883</v>
      </c>
      <c r="H690" s="1">
        <v>2.6979000000000002</v>
      </c>
      <c r="I690" s="1">
        <v>2.7280000000000002</v>
      </c>
      <c r="J690" s="1">
        <v>4.8555999999999999</v>
      </c>
    </row>
    <row r="691" spans="2:10" x14ac:dyDescent="0.3">
      <c r="B691" s="10">
        <f t="shared" si="20"/>
        <v>2023</v>
      </c>
      <c r="C691" s="10">
        <f t="shared" si="21"/>
        <v>9</v>
      </c>
      <c r="D691" s="3">
        <v>45184</v>
      </c>
      <c r="E691" s="1">
        <v>93.93</v>
      </c>
      <c r="F691" s="1">
        <v>90.77</v>
      </c>
      <c r="G691" s="1">
        <v>3.3834</v>
      </c>
      <c r="H691" s="1">
        <v>2.7081</v>
      </c>
      <c r="I691" s="1">
        <v>2.6440000000000001</v>
      </c>
      <c r="J691" s="1">
        <v>4.8662999999999998</v>
      </c>
    </row>
    <row r="692" spans="2:10" x14ac:dyDescent="0.3">
      <c r="B692" s="10">
        <f t="shared" si="20"/>
        <v>2023</v>
      </c>
      <c r="C692" s="10">
        <f t="shared" si="21"/>
        <v>9</v>
      </c>
      <c r="D692" s="3">
        <v>45183</v>
      </c>
      <c r="E692" s="1">
        <v>93.7</v>
      </c>
      <c r="F692" s="1">
        <v>90.16</v>
      </c>
      <c r="G692" s="1">
        <v>3.4815</v>
      </c>
      <c r="H692" s="1">
        <v>2.7427000000000001</v>
      </c>
      <c r="I692" s="1">
        <v>2.7080000000000002</v>
      </c>
      <c r="J692" s="1">
        <v>4.8667999999999996</v>
      </c>
    </row>
    <row r="693" spans="2:10" x14ac:dyDescent="0.3">
      <c r="B693" s="10">
        <f t="shared" si="20"/>
        <v>2023</v>
      </c>
      <c r="C693" s="10">
        <f t="shared" si="21"/>
        <v>9</v>
      </c>
      <c r="D693" s="3">
        <v>45182</v>
      </c>
      <c r="E693" s="1">
        <v>91.88</v>
      </c>
      <c r="F693" s="1">
        <v>88.52</v>
      </c>
      <c r="G693" s="1">
        <v>3.4354</v>
      </c>
      <c r="H693" s="1">
        <v>2.7383999999999999</v>
      </c>
      <c r="I693" s="1">
        <v>2.68</v>
      </c>
      <c r="J693" s="1">
        <v>4.9153000000000002</v>
      </c>
    </row>
    <row r="694" spans="2:10" x14ac:dyDescent="0.3">
      <c r="B694" s="10">
        <f t="shared" si="20"/>
        <v>2023</v>
      </c>
      <c r="C694" s="10">
        <f t="shared" si="21"/>
        <v>9</v>
      </c>
      <c r="D694" s="3">
        <v>45181</v>
      </c>
      <c r="E694" s="1">
        <v>92.06</v>
      </c>
      <c r="F694" s="1">
        <v>88.84</v>
      </c>
      <c r="G694" s="1">
        <v>3.3283</v>
      </c>
      <c r="H694" s="1">
        <v>2.7279</v>
      </c>
      <c r="I694" s="1">
        <v>2.7429999999999999</v>
      </c>
      <c r="J694" s="1">
        <v>4.9470000000000001</v>
      </c>
    </row>
    <row r="695" spans="2:10" x14ac:dyDescent="0.3">
      <c r="B695" s="10">
        <f t="shared" si="20"/>
        <v>2023</v>
      </c>
      <c r="C695" s="10">
        <f t="shared" si="21"/>
        <v>9</v>
      </c>
      <c r="D695" s="3">
        <v>45180</v>
      </c>
      <c r="E695" s="1">
        <v>90.64</v>
      </c>
      <c r="F695" s="1">
        <v>87.29</v>
      </c>
      <c r="G695" s="1">
        <v>3.3622000000000001</v>
      </c>
      <c r="H695" s="1">
        <v>2.7187000000000001</v>
      </c>
      <c r="I695" s="1">
        <v>2.6080000000000001</v>
      </c>
      <c r="J695" s="1">
        <v>4.9306999999999999</v>
      </c>
    </row>
    <row r="696" spans="2:10" x14ac:dyDescent="0.3">
      <c r="B696" s="10">
        <f t="shared" si="20"/>
        <v>2023</v>
      </c>
      <c r="C696" s="10">
        <f t="shared" si="21"/>
        <v>9</v>
      </c>
      <c r="D696" s="3">
        <v>45177</v>
      </c>
      <c r="E696" s="1">
        <v>90.65</v>
      </c>
      <c r="F696" s="1">
        <v>87.51</v>
      </c>
      <c r="G696" s="1">
        <v>3.2991000000000001</v>
      </c>
      <c r="H696" s="1">
        <v>2.6537000000000002</v>
      </c>
      <c r="I696" s="1">
        <v>2.605</v>
      </c>
      <c r="J696" s="1">
        <v>4.9882</v>
      </c>
    </row>
    <row r="697" spans="2:10" x14ac:dyDescent="0.3">
      <c r="B697" s="10">
        <f t="shared" si="20"/>
        <v>2023</v>
      </c>
      <c r="C697" s="10">
        <f t="shared" si="21"/>
        <v>9</v>
      </c>
      <c r="D697" s="3">
        <v>45176</v>
      </c>
      <c r="E697" s="1">
        <v>89.92</v>
      </c>
      <c r="F697" s="1">
        <v>86.87</v>
      </c>
      <c r="G697" s="1">
        <v>3.2122999999999999</v>
      </c>
      <c r="H697" s="1">
        <v>2.6230000000000002</v>
      </c>
      <c r="I697" s="1">
        <v>2.5790000000000002</v>
      </c>
      <c r="J697" s="1">
        <v>4.9767000000000001</v>
      </c>
    </row>
    <row r="698" spans="2:10" x14ac:dyDescent="0.3">
      <c r="B698" s="10">
        <f t="shared" si="20"/>
        <v>2023</v>
      </c>
      <c r="C698" s="10">
        <f t="shared" si="21"/>
        <v>9</v>
      </c>
      <c r="D698" s="3">
        <v>45175</v>
      </c>
      <c r="E698" s="1">
        <v>90.6</v>
      </c>
      <c r="F698" s="1">
        <v>87.54</v>
      </c>
      <c r="G698" s="1">
        <v>3.1926999999999999</v>
      </c>
      <c r="H698" s="1">
        <v>2.6013999999999999</v>
      </c>
      <c r="I698" s="1">
        <v>2.5099999999999998</v>
      </c>
      <c r="J698" s="1">
        <v>4.9783999999999997</v>
      </c>
    </row>
    <row r="699" spans="2:10" x14ac:dyDescent="0.3">
      <c r="B699" s="10">
        <f t="shared" si="20"/>
        <v>2023</v>
      </c>
      <c r="C699" s="10">
        <f t="shared" si="21"/>
        <v>9</v>
      </c>
      <c r="D699" s="3">
        <v>45174</v>
      </c>
      <c r="E699" s="1">
        <v>90.04</v>
      </c>
      <c r="F699" s="1">
        <v>86.69</v>
      </c>
      <c r="G699" s="1">
        <v>3.2195999999999998</v>
      </c>
      <c r="H699" s="1">
        <v>2.581</v>
      </c>
      <c r="I699" s="1">
        <v>2.5819999999999999</v>
      </c>
      <c r="J699" s="1">
        <v>4.9671000000000003</v>
      </c>
    </row>
    <row r="700" spans="2:10" x14ac:dyDescent="0.3">
      <c r="B700" s="10">
        <f t="shared" si="20"/>
        <v>2023</v>
      </c>
      <c r="C700" s="10">
        <f t="shared" si="21"/>
        <v>9</v>
      </c>
      <c r="D700" s="3">
        <v>45173</v>
      </c>
      <c r="E700" s="1">
        <v>89</v>
      </c>
      <c r="J700" s="1">
        <v>4.9375999999999998</v>
      </c>
    </row>
    <row r="701" spans="2:10" x14ac:dyDescent="0.3">
      <c r="B701" s="10">
        <f t="shared" si="20"/>
        <v>2023</v>
      </c>
      <c r="C701" s="10">
        <f t="shared" si="21"/>
        <v>9</v>
      </c>
      <c r="D701" s="3">
        <v>45170</v>
      </c>
      <c r="E701" s="1">
        <v>88.55</v>
      </c>
      <c r="F701" s="1">
        <v>85.55</v>
      </c>
      <c r="G701" s="1">
        <v>3.105</v>
      </c>
      <c r="H701" s="1">
        <v>2.5912000000000002</v>
      </c>
      <c r="I701" s="1">
        <v>2.7650000000000001</v>
      </c>
      <c r="J701" s="1">
        <v>4.9462999999999999</v>
      </c>
    </row>
    <row r="702" spans="2:10" x14ac:dyDescent="0.3">
      <c r="B702" s="10">
        <f t="shared" si="20"/>
        <v>2023</v>
      </c>
      <c r="C702" s="10">
        <f t="shared" si="21"/>
        <v>8</v>
      </c>
      <c r="D702" s="3">
        <v>45169</v>
      </c>
      <c r="E702" s="1">
        <v>86.86</v>
      </c>
      <c r="F702" s="1">
        <v>83.63</v>
      </c>
      <c r="G702" s="1">
        <v>3.1425999999999998</v>
      </c>
      <c r="H702" s="1">
        <v>2.7664</v>
      </c>
      <c r="I702" s="1">
        <v>2.7679999999999998</v>
      </c>
      <c r="J702" s="1">
        <v>4.9543999999999997</v>
      </c>
    </row>
    <row r="703" spans="2:10" x14ac:dyDescent="0.3">
      <c r="B703" s="10">
        <f t="shared" si="20"/>
        <v>2023</v>
      </c>
      <c r="C703" s="10">
        <f t="shared" si="21"/>
        <v>8</v>
      </c>
      <c r="D703" s="3">
        <v>45168</v>
      </c>
      <c r="E703" s="1">
        <v>85.86</v>
      </c>
      <c r="F703" s="1">
        <v>81.63</v>
      </c>
      <c r="G703" s="1">
        <v>3.0962000000000001</v>
      </c>
      <c r="H703" s="1">
        <v>2.8092000000000001</v>
      </c>
      <c r="I703" s="1">
        <v>2.7959999999999998</v>
      </c>
      <c r="J703" s="1">
        <v>4.8890000000000002</v>
      </c>
    </row>
    <row r="704" spans="2:10" x14ac:dyDescent="0.3">
      <c r="B704" s="10">
        <f t="shared" si="20"/>
        <v>2023</v>
      </c>
      <c r="C704" s="10">
        <f t="shared" si="21"/>
        <v>8</v>
      </c>
      <c r="D704" s="3">
        <v>45167</v>
      </c>
      <c r="E704" s="1">
        <v>85.49</v>
      </c>
      <c r="F704" s="1">
        <v>81.16</v>
      </c>
      <c r="G704" s="1">
        <v>3.2094999999999998</v>
      </c>
      <c r="H704" s="1">
        <v>2.7905000000000002</v>
      </c>
      <c r="I704" s="1">
        <v>2.556</v>
      </c>
      <c r="J704" s="1">
        <v>4.8522999999999996</v>
      </c>
    </row>
    <row r="705" spans="2:10" x14ac:dyDescent="0.3">
      <c r="B705" s="10">
        <f t="shared" si="20"/>
        <v>2023</v>
      </c>
      <c r="C705" s="10">
        <f t="shared" si="21"/>
        <v>8</v>
      </c>
      <c r="D705" s="3">
        <v>45166</v>
      </c>
      <c r="E705" s="1">
        <v>84.42</v>
      </c>
      <c r="F705" s="1">
        <v>80.099999999999994</v>
      </c>
      <c r="G705" s="1">
        <v>3.2037</v>
      </c>
      <c r="H705" s="1">
        <v>2.7957000000000001</v>
      </c>
      <c r="I705" s="1">
        <v>2.5790000000000002</v>
      </c>
      <c r="J705" s="1">
        <v>4.8731</v>
      </c>
    </row>
    <row r="706" spans="2:10" x14ac:dyDescent="0.3">
      <c r="B706" s="10">
        <f t="shared" si="20"/>
        <v>2023</v>
      </c>
      <c r="C706" s="10">
        <f t="shared" si="21"/>
        <v>8</v>
      </c>
      <c r="D706" s="3">
        <v>45163</v>
      </c>
      <c r="E706" s="1">
        <v>84.48</v>
      </c>
      <c r="F706" s="1">
        <v>79.83</v>
      </c>
      <c r="G706" s="1">
        <v>3.3075000000000001</v>
      </c>
      <c r="H706" s="1">
        <v>2.8763999999999998</v>
      </c>
      <c r="I706" s="1">
        <v>2.54</v>
      </c>
      <c r="J706" s="1">
        <v>4.8711000000000002</v>
      </c>
    </row>
    <row r="707" spans="2:10" x14ac:dyDescent="0.3">
      <c r="B707" s="10">
        <f t="shared" si="20"/>
        <v>2023</v>
      </c>
      <c r="C707" s="10">
        <f t="shared" si="21"/>
        <v>8</v>
      </c>
      <c r="D707" s="3">
        <v>45162</v>
      </c>
      <c r="E707" s="1">
        <v>83.36</v>
      </c>
      <c r="F707" s="1">
        <v>79.05</v>
      </c>
      <c r="G707" s="1">
        <v>3.1564000000000001</v>
      </c>
      <c r="H707" s="1">
        <v>2.78</v>
      </c>
      <c r="I707" s="1">
        <v>2.5190000000000001</v>
      </c>
      <c r="J707" s="1">
        <v>4.8802000000000003</v>
      </c>
    </row>
    <row r="708" spans="2:10" x14ac:dyDescent="0.3">
      <c r="B708" s="10">
        <f t="shared" si="20"/>
        <v>2023</v>
      </c>
      <c r="C708" s="10">
        <f t="shared" si="21"/>
        <v>8</v>
      </c>
      <c r="D708" s="3">
        <v>45161</v>
      </c>
      <c r="E708" s="1">
        <v>83.21</v>
      </c>
      <c r="F708" s="1">
        <v>78.89</v>
      </c>
      <c r="G708" s="1">
        <v>3.1291000000000002</v>
      </c>
      <c r="H708" s="1">
        <v>2.7688000000000001</v>
      </c>
      <c r="I708" s="1">
        <v>2.4969999999999999</v>
      </c>
      <c r="J708" s="1">
        <v>4.8571999999999997</v>
      </c>
    </row>
    <row r="709" spans="2:10" x14ac:dyDescent="0.3">
      <c r="B709" s="10">
        <f t="shared" si="20"/>
        <v>2023</v>
      </c>
      <c r="C709" s="10">
        <f t="shared" si="21"/>
        <v>8</v>
      </c>
      <c r="D709" s="3">
        <v>45160</v>
      </c>
      <c r="E709" s="1">
        <v>84.03</v>
      </c>
      <c r="F709" s="1">
        <v>80.349999999999994</v>
      </c>
      <c r="G709" s="1">
        <v>3.1387999999999998</v>
      </c>
      <c r="H709" s="1">
        <v>2.7890999999999999</v>
      </c>
      <c r="I709" s="1">
        <v>2.56</v>
      </c>
      <c r="J709" s="1">
        <v>4.9386000000000001</v>
      </c>
    </row>
    <row r="710" spans="2:10" x14ac:dyDescent="0.3">
      <c r="B710" s="10">
        <f t="shared" ref="B710:B773" si="22">YEAR(D710)</f>
        <v>2023</v>
      </c>
      <c r="C710" s="10">
        <f t="shared" ref="C710:C773" si="23">MONTH(D710)</f>
        <v>8</v>
      </c>
      <c r="D710" s="3">
        <v>45159</v>
      </c>
      <c r="E710" s="1">
        <v>84.46</v>
      </c>
      <c r="F710" s="1">
        <v>80.72</v>
      </c>
      <c r="G710" s="1">
        <v>3.1162000000000001</v>
      </c>
      <c r="H710" s="1">
        <v>2.7726000000000002</v>
      </c>
      <c r="I710" s="1">
        <v>2.6320000000000001</v>
      </c>
      <c r="J710" s="1">
        <v>4.9793000000000003</v>
      </c>
    </row>
    <row r="711" spans="2:10" x14ac:dyDescent="0.3">
      <c r="B711" s="10">
        <f t="shared" si="22"/>
        <v>2023</v>
      </c>
      <c r="C711" s="10">
        <f t="shared" si="23"/>
        <v>8</v>
      </c>
      <c r="D711" s="3">
        <v>45156</v>
      </c>
      <c r="E711" s="1">
        <v>84.8</v>
      </c>
      <c r="F711" s="1">
        <v>81.25</v>
      </c>
      <c r="G711" s="1">
        <v>3.1597</v>
      </c>
      <c r="H711" s="1">
        <v>2.8231999999999999</v>
      </c>
      <c r="I711" s="1">
        <v>2.5510000000000002</v>
      </c>
      <c r="J711" s="1">
        <v>4.9694000000000003</v>
      </c>
    </row>
    <row r="712" spans="2:10" x14ac:dyDescent="0.3">
      <c r="B712" s="10">
        <f t="shared" si="22"/>
        <v>2023</v>
      </c>
      <c r="C712" s="10">
        <f t="shared" si="23"/>
        <v>8</v>
      </c>
      <c r="D712" s="3">
        <v>45155</v>
      </c>
      <c r="E712" s="1">
        <v>84.12</v>
      </c>
      <c r="F712" s="1">
        <v>80.39</v>
      </c>
      <c r="G712" s="1">
        <v>3.0937999999999999</v>
      </c>
      <c r="H712" s="1">
        <v>2.8216999999999999</v>
      </c>
      <c r="I712" s="1">
        <v>2.621</v>
      </c>
      <c r="J712" s="1">
        <v>4.9757999999999996</v>
      </c>
    </row>
    <row r="713" spans="2:10" x14ac:dyDescent="0.3">
      <c r="B713" s="10">
        <f t="shared" si="22"/>
        <v>2023</v>
      </c>
      <c r="C713" s="10">
        <f t="shared" si="23"/>
        <v>8</v>
      </c>
      <c r="D713" s="3">
        <v>45154</v>
      </c>
      <c r="E713" s="1">
        <v>83.45</v>
      </c>
      <c r="F713" s="1">
        <v>79.38</v>
      </c>
      <c r="G713" s="1">
        <v>3.0209000000000001</v>
      </c>
      <c r="H713" s="1">
        <v>2.8671000000000002</v>
      </c>
      <c r="I713" s="1">
        <v>2.5920000000000001</v>
      </c>
      <c r="J713" s="1">
        <v>4.9878999999999998</v>
      </c>
    </row>
    <row r="714" spans="2:10" x14ac:dyDescent="0.3">
      <c r="B714" s="10">
        <f t="shared" si="22"/>
        <v>2023</v>
      </c>
      <c r="C714" s="10">
        <f t="shared" si="23"/>
        <v>8</v>
      </c>
      <c r="D714" s="3">
        <v>45153</v>
      </c>
      <c r="E714" s="1">
        <v>84.89</v>
      </c>
      <c r="F714" s="1">
        <v>80.989999999999995</v>
      </c>
      <c r="G714" s="1">
        <v>3.028</v>
      </c>
      <c r="H714" s="1">
        <v>2.8475999999999999</v>
      </c>
      <c r="I714" s="1">
        <v>2.6589999999999998</v>
      </c>
      <c r="J714" s="1">
        <v>4.9844999999999997</v>
      </c>
    </row>
    <row r="715" spans="2:10" x14ac:dyDescent="0.3">
      <c r="B715" s="10">
        <f t="shared" si="22"/>
        <v>2023</v>
      </c>
      <c r="C715" s="10">
        <f t="shared" si="23"/>
        <v>8</v>
      </c>
      <c r="D715" s="3">
        <v>45152</v>
      </c>
      <c r="E715" s="1">
        <v>86.21</v>
      </c>
      <c r="F715" s="1">
        <v>82.51</v>
      </c>
      <c r="G715" s="1">
        <v>3.0882999999999998</v>
      </c>
      <c r="H715" s="1">
        <v>2.9062000000000001</v>
      </c>
      <c r="I715" s="1">
        <v>2.7949999999999999</v>
      </c>
      <c r="J715" s="1">
        <v>4.9615</v>
      </c>
    </row>
    <row r="716" spans="2:10" x14ac:dyDescent="0.3">
      <c r="B716" s="10">
        <f t="shared" si="22"/>
        <v>2023</v>
      </c>
      <c r="C716" s="10">
        <f t="shared" si="23"/>
        <v>8</v>
      </c>
      <c r="D716" s="3">
        <v>45149</v>
      </c>
      <c r="E716" s="1">
        <v>86.81</v>
      </c>
      <c r="F716" s="1">
        <v>83.19</v>
      </c>
      <c r="G716" s="1">
        <v>3.1215000000000002</v>
      </c>
      <c r="H716" s="1">
        <v>2.9649000000000001</v>
      </c>
      <c r="I716" s="1">
        <v>2.77</v>
      </c>
      <c r="J716" s="1">
        <v>4.9047999999999998</v>
      </c>
    </row>
    <row r="717" spans="2:10" x14ac:dyDescent="0.3">
      <c r="B717" s="10">
        <f t="shared" si="22"/>
        <v>2023</v>
      </c>
      <c r="C717" s="10">
        <f t="shared" si="23"/>
        <v>8</v>
      </c>
      <c r="D717" s="3">
        <v>45148</v>
      </c>
      <c r="E717" s="1">
        <v>86.4</v>
      </c>
      <c r="F717" s="1">
        <v>82.82</v>
      </c>
      <c r="G717" s="1">
        <v>3.1533000000000002</v>
      </c>
      <c r="H717" s="1">
        <v>2.9047000000000001</v>
      </c>
      <c r="I717" s="1">
        <v>2.7629999999999999</v>
      </c>
      <c r="J717" s="1">
        <v>4.8924000000000003</v>
      </c>
    </row>
    <row r="718" spans="2:10" x14ac:dyDescent="0.3">
      <c r="B718" s="10">
        <f t="shared" si="22"/>
        <v>2023</v>
      </c>
      <c r="C718" s="10">
        <f t="shared" si="23"/>
        <v>8</v>
      </c>
      <c r="D718" s="3">
        <v>45147</v>
      </c>
      <c r="E718" s="1">
        <v>87.55</v>
      </c>
      <c r="F718" s="1">
        <v>84.4</v>
      </c>
      <c r="G718" s="1">
        <v>3.2069999999999999</v>
      </c>
      <c r="H718" s="1">
        <v>2.9283999999999999</v>
      </c>
      <c r="I718" s="1">
        <v>2.9590000000000001</v>
      </c>
      <c r="J718" s="1">
        <v>4.9020000000000001</v>
      </c>
    </row>
    <row r="719" spans="2:10" x14ac:dyDescent="0.3">
      <c r="B719" s="10">
        <f t="shared" si="22"/>
        <v>2023</v>
      </c>
      <c r="C719" s="10">
        <f t="shared" si="23"/>
        <v>8</v>
      </c>
      <c r="D719" s="3">
        <v>45146</v>
      </c>
      <c r="E719" s="1">
        <v>86.17</v>
      </c>
      <c r="F719" s="1">
        <v>82.92</v>
      </c>
      <c r="G719" s="1">
        <v>3.0855999999999999</v>
      </c>
      <c r="H719" s="1">
        <v>2.8451</v>
      </c>
      <c r="I719" s="1">
        <v>2.7770000000000001</v>
      </c>
      <c r="J719" s="1">
        <v>4.8996000000000004</v>
      </c>
    </row>
    <row r="720" spans="2:10" x14ac:dyDescent="0.3">
      <c r="B720" s="10">
        <f t="shared" si="22"/>
        <v>2023</v>
      </c>
      <c r="C720" s="10">
        <f t="shared" si="23"/>
        <v>8</v>
      </c>
      <c r="D720" s="3">
        <v>45145</v>
      </c>
      <c r="E720" s="1">
        <v>85.34</v>
      </c>
      <c r="F720" s="1">
        <v>81.94</v>
      </c>
      <c r="G720" s="1">
        <v>3.0154999999999998</v>
      </c>
      <c r="H720" s="1">
        <v>2.8043999999999998</v>
      </c>
      <c r="I720" s="1">
        <v>2.7250000000000001</v>
      </c>
      <c r="J720" s="1">
        <v>4.8998999999999997</v>
      </c>
    </row>
    <row r="721" spans="2:10" x14ac:dyDescent="0.3">
      <c r="B721" s="10">
        <f t="shared" si="22"/>
        <v>2023</v>
      </c>
      <c r="C721" s="10">
        <f t="shared" si="23"/>
        <v>8</v>
      </c>
      <c r="D721" s="3">
        <v>45142</v>
      </c>
      <c r="E721" s="1">
        <v>86.24</v>
      </c>
      <c r="F721" s="1">
        <v>82.82</v>
      </c>
      <c r="G721" s="1">
        <v>3.0621999999999998</v>
      </c>
      <c r="H721" s="1">
        <v>2.7831000000000001</v>
      </c>
      <c r="I721" s="1">
        <v>2.577</v>
      </c>
      <c r="J721" s="1">
        <v>4.8733000000000004</v>
      </c>
    </row>
    <row r="722" spans="2:10" x14ac:dyDescent="0.3">
      <c r="B722" s="10">
        <f t="shared" si="22"/>
        <v>2023</v>
      </c>
      <c r="C722" s="10">
        <f t="shared" si="23"/>
        <v>8</v>
      </c>
      <c r="D722" s="3">
        <v>45141</v>
      </c>
      <c r="E722" s="1">
        <v>85.14</v>
      </c>
      <c r="F722" s="1">
        <v>81.55</v>
      </c>
      <c r="G722" s="1">
        <v>3.0749</v>
      </c>
      <c r="H722" s="1">
        <v>2.7646999999999999</v>
      </c>
      <c r="I722" s="1">
        <v>2.5649999999999999</v>
      </c>
      <c r="J722" s="1">
        <v>4.9169999999999998</v>
      </c>
    </row>
    <row r="723" spans="2:10" x14ac:dyDescent="0.3">
      <c r="B723" s="10">
        <f t="shared" si="22"/>
        <v>2023</v>
      </c>
      <c r="C723" s="10">
        <f t="shared" si="23"/>
        <v>8</v>
      </c>
      <c r="D723" s="3">
        <v>45140</v>
      </c>
      <c r="E723" s="1">
        <v>83.2</v>
      </c>
      <c r="F723" s="1">
        <v>79.489999999999995</v>
      </c>
      <c r="G723" s="1">
        <v>3.0043000000000002</v>
      </c>
      <c r="H723" s="1">
        <v>2.7757999999999998</v>
      </c>
      <c r="I723" s="1">
        <v>2.4769999999999999</v>
      </c>
      <c r="J723" s="1">
        <v>4.8120000000000003</v>
      </c>
    </row>
    <row r="724" spans="2:10" x14ac:dyDescent="0.3">
      <c r="B724" s="10">
        <f t="shared" si="22"/>
        <v>2023</v>
      </c>
      <c r="C724" s="10">
        <f t="shared" si="23"/>
        <v>8</v>
      </c>
      <c r="D724" s="3">
        <v>45139</v>
      </c>
      <c r="E724" s="1">
        <v>84.91</v>
      </c>
      <c r="F724" s="1">
        <v>81.37</v>
      </c>
      <c r="G724" s="1">
        <v>3.0234000000000001</v>
      </c>
      <c r="H724" s="1">
        <v>2.8730000000000002</v>
      </c>
      <c r="I724" s="1">
        <v>2.56</v>
      </c>
      <c r="J724" s="1">
        <v>4.7911000000000001</v>
      </c>
    </row>
    <row r="725" spans="2:10" x14ac:dyDescent="0.3">
      <c r="B725" s="10">
        <f t="shared" si="22"/>
        <v>2023</v>
      </c>
      <c r="C725" s="10">
        <f t="shared" si="23"/>
        <v>7</v>
      </c>
      <c r="D725" s="3">
        <v>45138</v>
      </c>
      <c r="E725" s="1">
        <v>85.56</v>
      </c>
      <c r="F725" s="1">
        <v>81.8</v>
      </c>
      <c r="G725" s="1">
        <v>2.9908999999999999</v>
      </c>
      <c r="H725" s="1">
        <v>2.9289999999999998</v>
      </c>
      <c r="I725" s="1">
        <v>2.6339999999999999</v>
      </c>
      <c r="J725" s="1">
        <v>4.7241</v>
      </c>
    </row>
    <row r="726" spans="2:10" x14ac:dyDescent="0.3">
      <c r="B726" s="10">
        <f t="shared" si="22"/>
        <v>2023</v>
      </c>
      <c r="C726" s="10">
        <f t="shared" si="23"/>
        <v>7</v>
      </c>
      <c r="D726" s="3">
        <v>45135</v>
      </c>
      <c r="E726" s="1">
        <v>84.99</v>
      </c>
      <c r="F726" s="1">
        <v>80.58</v>
      </c>
      <c r="G726" s="1">
        <v>2.9586000000000001</v>
      </c>
      <c r="H726" s="1">
        <v>2.9558</v>
      </c>
      <c r="I726" s="1">
        <v>2.6379999999999999</v>
      </c>
      <c r="J726" s="1">
        <v>4.7336</v>
      </c>
    </row>
    <row r="727" spans="2:10" x14ac:dyDescent="0.3">
      <c r="B727" s="10">
        <f t="shared" si="22"/>
        <v>2023</v>
      </c>
      <c r="C727" s="10">
        <f t="shared" si="23"/>
        <v>7</v>
      </c>
      <c r="D727" s="3">
        <v>45134</v>
      </c>
      <c r="E727" s="1">
        <v>84.24</v>
      </c>
      <c r="F727" s="1">
        <v>80.09</v>
      </c>
      <c r="G727" s="1">
        <v>2.9169</v>
      </c>
      <c r="H727" s="1">
        <v>2.9504999999999999</v>
      </c>
      <c r="I727" s="1">
        <v>2.492</v>
      </c>
      <c r="J727" s="1">
        <v>4.7423999999999999</v>
      </c>
    </row>
    <row r="728" spans="2:10" x14ac:dyDescent="0.3">
      <c r="B728" s="10">
        <f t="shared" si="22"/>
        <v>2023</v>
      </c>
      <c r="C728" s="10">
        <f t="shared" si="23"/>
        <v>7</v>
      </c>
      <c r="D728" s="3">
        <v>45133</v>
      </c>
      <c r="E728" s="1">
        <v>82.92</v>
      </c>
      <c r="F728" s="1">
        <v>78.78</v>
      </c>
      <c r="G728" s="1">
        <v>2.8429000000000002</v>
      </c>
      <c r="H728" s="1">
        <v>2.9072</v>
      </c>
      <c r="I728" s="1">
        <v>2.665</v>
      </c>
      <c r="J728" s="1">
        <v>4.7363999999999997</v>
      </c>
    </row>
    <row r="729" spans="2:10" x14ac:dyDescent="0.3">
      <c r="B729" s="10">
        <f t="shared" si="22"/>
        <v>2023</v>
      </c>
      <c r="C729" s="10">
        <f t="shared" si="23"/>
        <v>7</v>
      </c>
      <c r="D729" s="3">
        <v>45132</v>
      </c>
      <c r="E729" s="1">
        <v>83.64</v>
      </c>
      <c r="F729" s="1">
        <v>79.63</v>
      </c>
      <c r="G729" s="1">
        <v>2.7776000000000001</v>
      </c>
      <c r="H729" s="1">
        <v>2.8532999999999999</v>
      </c>
      <c r="I729" s="1">
        <v>2.73</v>
      </c>
      <c r="J729" s="1">
        <v>4.7497999999999996</v>
      </c>
    </row>
    <row r="730" spans="2:10" x14ac:dyDescent="0.3">
      <c r="B730" s="10">
        <f t="shared" si="22"/>
        <v>2023</v>
      </c>
      <c r="C730" s="10">
        <f t="shared" si="23"/>
        <v>7</v>
      </c>
      <c r="D730" s="3">
        <v>45131</v>
      </c>
      <c r="E730" s="1">
        <v>82.74</v>
      </c>
      <c r="F730" s="1">
        <v>78.739999999999995</v>
      </c>
      <c r="G730" s="1">
        <v>2.7705000000000002</v>
      </c>
      <c r="H730" s="1">
        <v>2.8950999999999998</v>
      </c>
      <c r="I730" s="1">
        <v>2.6850000000000001</v>
      </c>
      <c r="J730" s="1">
        <v>4.7271000000000001</v>
      </c>
    </row>
    <row r="731" spans="2:10" x14ac:dyDescent="0.3">
      <c r="B731" s="10">
        <f t="shared" si="22"/>
        <v>2023</v>
      </c>
      <c r="C731" s="10">
        <f t="shared" si="23"/>
        <v>7</v>
      </c>
      <c r="D731" s="3">
        <v>45128</v>
      </c>
      <c r="E731" s="1">
        <v>81.069999999999993</v>
      </c>
      <c r="F731" s="1">
        <v>77.069999999999993</v>
      </c>
      <c r="G731" s="1">
        <v>2.7456999999999998</v>
      </c>
      <c r="H731" s="1">
        <v>2.8018000000000001</v>
      </c>
      <c r="I731" s="1">
        <v>2.7130000000000001</v>
      </c>
      <c r="J731" s="1">
        <v>4.7794999999999996</v>
      </c>
    </row>
    <row r="732" spans="2:10" x14ac:dyDescent="0.3">
      <c r="B732" s="10">
        <f t="shared" si="22"/>
        <v>2023</v>
      </c>
      <c r="C732" s="10">
        <f t="shared" si="23"/>
        <v>7</v>
      </c>
      <c r="D732" s="3">
        <v>45127</v>
      </c>
      <c r="E732" s="1">
        <v>79.64</v>
      </c>
      <c r="F732" s="1">
        <v>75.63</v>
      </c>
      <c r="G732" s="1">
        <v>2.6644000000000001</v>
      </c>
      <c r="H732" s="1">
        <v>2.7431999999999999</v>
      </c>
      <c r="I732" s="1">
        <v>2.7570000000000001</v>
      </c>
      <c r="J732" s="1">
        <v>4.798</v>
      </c>
    </row>
    <row r="733" spans="2:10" x14ac:dyDescent="0.3">
      <c r="B733" s="10">
        <f t="shared" si="22"/>
        <v>2023</v>
      </c>
      <c r="C733" s="10">
        <f t="shared" si="23"/>
        <v>7</v>
      </c>
      <c r="D733" s="3">
        <v>45126</v>
      </c>
      <c r="E733" s="1">
        <v>79.459999999999994</v>
      </c>
      <c r="F733" s="1">
        <v>75.349999999999994</v>
      </c>
      <c r="G733" s="1">
        <v>2.6417999999999999</v>
      </c>
      <c r="H733" s="1">
        <v>2.7204999999999999</v>
      </c>
      <c r="I733" s="1">
        <v>2.6030000000000002</v>
      </c>
      <c r="J733" s="1">
        <v>4.7908999999999997</v>
      </c>
    </row>
    <row r="734" spans="2:10" x14ac:dyDescent="0.3">
      <c r="B734" s="10">
        <f t="shared" si="22"/>
        <v>2023</v>
      </c>
      <c r="C734" s="10">
        <f t="shared" si="23"/>
        <v>7</v>
      </c>
      <c r="D734" s="3">
        <v>45125</v>
      </c>
      <c r="E734" s="1">
        <v>79.63</v>
      </c>
      <c r="F734" s="1">
        <v>75.75</v>
      </c>
      <c r="G734" s="1">
        <v>2.5994000000000002</v>
      </c>
      <c r="H734" s="1">
        <v>2.6943999999999999</v>
      </c>
      <c r="I734" s="1">
        <v>2.629</v>
      </c>
      <c r="J734" s="1">
        <v>4.8105000000000002</v>
      </c>
    </row>
    <row r="735" spans="2:10" x14ac:dyDescent="0.3">
      <c r="B735" s="10">
        <f t="shared" si="22"/>
        <v>2023</v>
      </c>
      <c r="C735" s="10">
        <f t="shared" si="23"/>
        <v>7</v>
      </c>
      <c r="D735" s="3">
        <v>45124</v>
      </c>
      <c r="E735" s="1">
        <v>78.5</v>
      </c>
      <c r="F735" s="1">
        <v>74.150000000000006</v>
      </c>
      <c r="G735" s="1">
        <v>2.5642</v>
      </c>
      <c r="H735" s="1">
        <v>2.6316999999999999</v>
      </c>
      <c r="I735" s="1">
        <v>2.512</v>
      </c>
      <c r="J735" s="1">
        <v>4.8066000000000004</v>
      </c>
    </row>
    <row r="736" spans="2:10" x14ac:dyDescent="0.3">
      <c r="B736" s="10">
        <f t="shared" si="22"/>
        <v>2023</v>
      </c>
      <c r="C736" s="10">
        <f t="shared" si="23"/>
        <v>7</v>
      </c>
      <c r="D736" s="3">
        <v>45121</v>
      </c>
      <c r="E736" s="1">
        <v>79.87</v>
      </c>
      <c r="F736" s="1">
        <v>75.42</v>
      </c>
      <c r="G736" s="1">
        <v>2.5979000000000001</v>
      </c>
      <c r="H736" s="1">
        <v>2.6436999999999999</v>
      </c>
      <c r="I736" s="1">
        <v>2.5390000000000001</v>
      </c>
      <c r="J736" s="1">
        <v>4.7893999999999997</v>
      </c>
    </row>
    <row r="737" spans="2:10" x14ac:dyDescent="0.3">
      <c r="B737" s="10">
        <f t="shared" si="22"/>
        <v>2023</v>
      </c>
      <c r="C737" s="10">
        <f t="shared" si="23"/>
        <v>7</v>
      </c>
      <c r="D737" s="3">
        <v>45120</v>
      </c>
      <c r="E737" s="1">
        <v>81.36</v>
      </c>
      <c r="F737" s="1">
        <v>76.89</v>
      </c>
      <c r="G737" s="1">
        <v>2.6103999999999998</v>
      </c>
      <c r="H737" s="1">
        <v>2.6785999999999999</v>
      </c>
      <c r="I737" s="1">
        <v>2.5449999999999999</v>
      </c>
      <c r="J737" s="1">
        <v>4.7971000000000004</v>
      </c>
    </row>
    <row r="738" spans="2:10" x14ac:dyDescent="0.3">
      <c r="B738" s="10">
        <f t="shared" si="22"/>
        <v>2023</v>
      </c>
      <c r="C738" s="10">
        <f t="shared" si="23"/>
        <v>7</v>
      </c>
      <c r="D738" s="3">
        <v>45119</v>
      </c>
      <c r="E738" s="1">
        <v>80.11</v>
      </c>
      <c r="F738" s="1">
        <v>75.75</v>
      </c>
      <c r="G738" s="1">
        <v>2.5996000000000001</v>
      </c>
      <c r="H738" s="1">
        <v>2.6669999999999998</v>
      </c>
      <c r="I738" s="1">
        <v>2.6320000000000001</v>
      </c>
      <c r="J738" s="1">
        <v>4.8183999999999996</v>
      </c>
    </row>
    <row r="739" spans="2:10" x14ac:dyDescent="0.3">
      <c r="B739" s="10">
        <f t="shared" si="22"/>
        <v>2023</v>
      </c>
      <c r="C739" s="10">
        <f t="shared" si="23"/>
        <v>7</v>
      </c>
      <c r="D739" s="3">
        <v>45118</v>
      </c>
      <c r="E739" s="1">
        <v>79.400000000000006</v>
      </c>
      <c r="F739" s="1">
        <v>74.83</v>
      </c>
      <c r="G739" s="1">
        <v>2.5836999999999999</v>
      </c>
      <c r="H739" s="1">
        <v>2.6227</v>
      </c>
      <c r="I739" s="1">
        <v>2.7309999999999999</v>
      </c>
      <c r="J739" s="1">
        <v>4.8537999999999997</v>
      </c>
    </row>
    <row r="740" spans="2:10" x14ac:dyDescent="0.3">
      <c r="B740" s="10">
        <f t="shared" si="22"/>
        <v>2023</v>
      </c>
      <c r="C740" s="10">
        <f t="shared" si="23"/>
        <v>7</v>
      </c>
      <c r="D740" s="3">
        <v>45117</v>
      </c>
      <c r="E740" s="1">
        <v>77.69</v>
      </c>
      <c r="F740" s="1">
        <v>72.989999999999995</v>
      </c>
      <c r="G740" s="1">
        <v>2.5531999999999999</v>
      </c>
      <c r="H740" s="1">
        <v>2.5695999999999999</v>
      </c>
      <c r="I740" s="1">
        <v>2.669</v>
      </c>
      <c r="J740" s="1">
        <v>4.8978000000000002</v>
      </c>
    </row>
    <row r="741" spans="2:10" x14ac:dyDescent="0.3">
      <c r="B741" s="10">
        <f t="shared" si="22"/>
        <v>2023</v>
      </c>
      <c r="C741" s="10">
        <f t="shared" si="23"/>
        <v>7</v>
      </c>
      <c r="D741" s="3">
        <v>45114</v>
      </c>
      <c r="E741" s="1">
        <v>78.47</v>
      </c>
      <c r="F741" s="1">
        <v>73.86</v>
      </c>
      <c r="G741" s="1">
        <v>2.5590999999999999</v>
      </c>
      <c r="H741" s="1">
        <v>2.5893000000000002</v>
      </c>
      <c r="I741" s="1">
        <v>2.5819999999999999</v>
      </c>
      <c r="J741" s="1">
        <v>4.8719999999999999</v>
      </c>
    </row>
    <row r="742" spans="2:10" x14ac:dyDescent="0.3">
      <c r="B742" s="10">
        <f t="shared" si="22"/>
        <v>2023</v>
      </c>
      <c r="C742" s="10">
        <f t="shared" si="23"/>
        <v>7</v>
      </c>
      <c r="D742" s="3">
        <v>45113</v>
      </c>
      <c r="E742" s="1">
        <v>76.52</v>
      </c>
      <c r="F742" s="1">
        <v>71.8</v>
      </c>
      <c r="G742" s="1">
        <v>2.4794</v>
      </c>
      <c r="H742" s="1">
        <v>2.5438000000000001</v>
      </c>
      <c r="I742" s="1">
        <v>2.609</v>
      </c>
      <c r="J742" s="1">
        <v>4.9192999999999998</v>
      </c>
    </row>
    <row r="743" spans="2:10" x14ac:dyDescent="0.3">
      <c r="B743" s="10">
        <f t="shared" si="22"/>
        <v>2023</v>
      </c>
      <c r="C743" s="10">
        <f t="shared" si="23"/>
        <v>7</v>
      </c>
      <c r="D743" s="3">
        <v>45112</v>
      </c>
      <c r="E743" s="1">
        <v>76.650000000000006</v>
      </c>
      <c r="F743" s="1">
        <v>71.790000000000006</v>
      </c>
      <c r="G743" s="1">
        <v>2.4933000000000001</v>
      </c>
      <c r="H743" s="1">
        <v>2.5183</v>
      </c>
      <c r="I743" s="1">
        <v>2.657</v>
      </c>
      <c r="J743" s="1">
        <v>4.8478000000000003</v>
      </c>
    </row>
    <row r="744" spans="2:10" x14ac:dyDescent="0.3">
      <c r="B744" s="10">
        <f t="shared" si="22"/>
        <v>2023</v>
      </c>
      <c r="C744" s="10">
        <f t="shared" si="23"/>
        <v>7</v>
      </c>
      <c r="D744" s="3">
        <v>45111</v>
      </c>
      <c r="E744" s="1">
        <v>76.25</v>
      </c>
      <c r="J744" s="1">
        <v>4.8407999999999998</v>
      </c>
    </row>
    <row r="745" spans="2:10" x14ac:dyDescent="0.3">
      <c r="B745" s="10">
        <f t="shared" si="22"/>
        <v>2023</v>
      </c>
      <c r="C745" s="10">
        <f t="shared" si="23"/>
        <v>7</v>
      </c>
      <c r="D745" s="3">
        <v>45110</v>
      </c>
      <c r="E745" s="1">
        <v>74.650000000000006</v>
      </c>
      <c r="F745" s="1">
        <v>69.790000000000006</v>
      </c>
      <c r="G745" s="1">
        <v>2.3773</v>
      </c>
      <c r="H745" s="1">
        <v>2.4624000000000001</v>
      </c>
      <c r="I745" s="1">
        <v>2.7090000000000001</v>
      </c>
      <c r="J745" s="1">
        <v>4.8076999999999996</v>
      </c>
    </row>
    <row r="746" spans="2:10" x14ac:dyDescent="0.3">
      <c r="B746" s="10">
        <f t="shared" si="22"/>
        <v>2023</v>
      </c>
      <c r="C746" s="10">
        <f t="shared" si="23"/>
        <v>6</v>
      </c>
      <c r="D746" s="3">
        <v>45107</v>
      </c>
      <c r="E746" s="1">
        <v>74.900000000000006</v>
      </c>
      <c r="F746" s="1">
        <v>70.64</v>
      </c>
      <c r="G746" s="1">
        <v>2.4481999999999999</v>
      </c>
      <c r="H746" s="1">
        <v>2.6339999999999999</v>
      </c>
      <c r="I746" s="1">
        <v>2.798</v>
      </c>
      <c r="J746" s="1">
        <v>4.7859999999999996</v>
      </c>
    </row>
    <row r="747" spans="2:10" x14ac:dyDescent="0.3">
      <c r="B747" s="10">
        <f t="shared" si="22"/>
        <v>2023</v>
      </c>
      <c r="C747" s="10">
        <f t="shared" si="23"/>
        <v>6</v>
      </c>
      <c r="D747" s="3">
        <v>45106</v>
      </c>
      <c r="E747" s="1">
        <v>74.34</v>
      </c>
      <c r="F747" s="1">
        <v>69.86</v>
      </c>
      <c r="G747" s="1">
        <v>2.4156</v>
      </c>
      <c r="H747" s="1">
        <v>2.6177000000000001</v>
      </c>
      <c r="I747" s="1">
        <v>2.7010000000000001</v>
      </c>
      <c r="J747" s="1">
        <v>4.8552999999999997</v>
      </c>
    </row>
    <row r="748" spans="2:10" x14ac:dyDescent="0.3">
      <c r="B748" s="10">
        <f t="shared" si="22"/>
        <v>2023</v>
      </c>
      <c r="C748" s="10">
        <f t="shared" si="23"/>
        <v>6</v>
      </c>
      <c r="D748" s="3">
        <v>45105</v>
      </c>
      <c r="E748" s="1">
        <v>74.03</v>
      </c>
      <c r="F748" s="1">
        <v>69.56</v>
      </c>
      <c r="G748" s="1">
        <v>2.4066999999999998</v>
      </c>
      <c r="H748" s="1">
        <v>2.6034000000000002</v>
      </c>
      <c r="I748" s="1">
        <v>2.6030000000000002</v>
      </c>
      <c r="J748" s="1">
        <v>4.8506</v>
      </c>
    </row>
    <row r="749" spans="2:10" x14ac:dyDescent="0.3">
      <c r="B749" s="10">
        <f t="shared" si="22"/>
        <v>2023</v>
      </c>
      <c r="C749" s="10">
        <f t="shared" si="23"/>
        <v>6</v>
      </c>
      <c r="D749" s="3">
        <v>45104</v>
      </c>
      <c r="E749" s="1">
        <v>72.260000000000005</v>
      </c>
      <c r="F749" s="1">
        <v>67.7</v>
      </c>
      <c r="G749" s="1">
        <v>2.399</v>
      </c>
      <c r="H749" s="1">
        <v>2.5167999999999999</v>
      </c>
      <c r="I749" s="1">
        <v>2.7629999999999999</v>
      </c>
      <c r="J749" s="1">
        <v>4.8102999999999998</v>
      </c>
    </row>
    <row r="750" spans="2:10" x14ac:dyDescent="0.3">
      <c r="B750" s="10">
        <f t="shared" si="22"/>
        <v>2023</v>
      </c>
      <c r="C750" s="10">
        <f t="shared" si="23"/>
        <v>6</v>
      </c>
      <c r="D750" s="3">
        <v>45103</v>
      </c>
      <c r="E750" s="1">
        <v>74.180000000000007</v>
      </c>
      <c r="F750" s="1">
        <v>69.37</v>
      </c>
      <c r="G750" s="1">
        <v>2.4388000000000001</v>
      </c>
      <c r="H750" s="1">
        <v>2.5375000000000001</v>
      </c>
      <c r="I750" s="1">
        <v>2.7909999999999999</v>
      </c>
      <c r="J750" s="1">
        <v>4.7675000000000001</v>
      </c>
    </row>
    <row r="751" spans="2:10" x14ac:dyDescent="0.3">
      <c r="B751" s="10">
        <f t="shared" si="22"/>
        <v>2023</v>
      </c>
      <c r="C751" s="10">
        <f t="shared" si="23"/>
        <v>6</v>
      </c>
      <c r="D751" s="3">
        <v>45100</v>
      </c>
      <c r="E751" s="1">
        <v>73.849999999999994</v>
      </c>
      <c r="F751" s="1">
        <v>69.16</v>
      </c>
      <c r="G751" s="1">
        <v>2.4070999999999998</v>
      </c>
      <c r="H751" s="1">
        <v>2.5171999999999999</v>
      </c>
      <c r="I751" s="1">
        <v>2.7290000000000001</v>
      </c>
      <c r="J751" s="1">
        <v>4.7864000000000004</v>
      </c>
    </row>
    <row r="752" spans="2:10" x14ac:dyDescent="0.3">
      <c r="B752" s="10">
        <f t="shared" si="22"/>
        <v>2023</v>
      </c>
      <c r="C752" s="10">
        <f t="shared" si="23"/>
        <v>6</v>
      </c>
      <c r="D752" s="3">
        <v>45099</v>
      </c>
      <c r="E752" s="1">
        <v>74.14</v>
      </c>
      <c r="F752" s="1">
        <v>69.510000000000005</v>
      </c>
      <c r="G752" s="1">
        <v>2.4655</v>
      </c>
      <c r="H752" s="1">
        <v>2.5501</v>
      </c>
      <c r="I752" s="1">
        <v>2.6080000000000001</v>
      </c>
      <c r="J752" s="1">
        <v>4.7689000000000004</v>
      </c>
    </row>
    <row r="753" spans="2:10" x14ac:dyDescent="0.3">
      <c r="B753" s="10">
        <f t="shared" si="22"/>
        <v>2023</v>
      </c>
      <c r="C753" s="10">
        <f t="shared" si="23"/>
        <v>6</v>
      </c>
      <c r="D753" s="3">
        <v>45098</v>
      </c>
      <c r="E753" s="1">
        <v>77.12</v>
      </c>
      <c r="F753" s="1">
        <v>72.53</v>
      </c>
      <c r="G753" s="1">
        <v>2.5642</v>
      </c>
      <c r="H753" s="1">
        <v>2.6240999999999999</v>
      </c>
      <c r="I753" s="1">
        <v>2.597</v>
      </c>
      <c r="J753" s="1">
        <v>4.7629999999999999</v>
      </c>
    </row>
    <row r="754" spans="2:10" x14ac:dyDescent="0.3">
      <c r="B754" s="10">
        <f t="shared" si="22"/>
        <v>2023</v>
      </c>
      <c r="C754" s="10">
        <f t="shared" si="23"/>
        <v>6</v>
      </c>
      <c r="D754" s="3">
        <v>45097</v>
      </c>
      <c r="E754" s="1">
        <v>75.900000000000006</v>
      </c>
      <c r="F754" s="1">
        <v>70.5</v>
      </c>
      <c r="G754" s="1">
        <v>2.4754</v>
      </c>
      <c r="H754" s="1">
        <v>2.6092</v>
      </c>
      <c r="I754" s="1">
        <v>2.492</v>
      </c>
      <c r="J754" s="1">
        <v>4.7901999999999996</v>
      </c>
    </row>
    <row r="755" spans="2:10" x14ac:dyDescent="0.3">
      <c r="B755" s="10">
        <f t="shared" si="22"/>
        <v>2023</v>
      </c>
      <c r="C755" s="10">
        <f t="shared" si="23"/>
        <v>6</v>
      </c>
      <c r="D755" s="3">
        <v>45096</v>
      </c>
      <c r="E755" s="1">
        <v>76.09</v>
      </c>
      <c r="J755" s="1">
        <v>4.7771999999999997</v>
      </c>
    </row>
    <row r="756" spans="2:10" x14ac:dyDescent="0.3">
      <c r="B756" s="10">
        <f t="shared" si="22"/>
        <v>2023</v>
      </c>
      <c r="C756" s="10">
        <f t="shared" si="23"/>
        <v>6</v>
      </c>
      <c r="D756" s="3">
        <v>45093</v>
      </c>
      <c r="E756" s="1">
        <v>76.61</v>
      </c>
      <c r="F756" s="1">
        <v>71.78</v>
      </c>
      <c r="G756" s="1">
        <v>2.5514000000000001</v>
      </c>
      <c r="H756" s="1">
        <v>2.6804999999999999</v>
      </c>
      <c r="I756" s="1">
        <v>2.6320000000000001</v>
      </c>
      <c r="J756" s="1">
        <v>4.8198999999999996</v>
      </c>
    </row>
    <row r="757" spans="2:10" x14ac:dyDescent="0.3">
      <c r="B757" s="10">
        <f t="shared" si="22"/>
        <v>2023</v>
      </c>
      <c r="C757" s="10">
        <f t="shared" si="23"/>
        <v>6</v>
      </c>
      <c r="D757" s="3">
        <v>45092</v>
      </c>
      <c r="E757" s="1">
        <v>75.67</v>
      </c>
      <c r="F757" s="1">
        <v>70.62</v>
      </c>
      <c r="G757" s="1">
        <v>2.4796</v>
      </c>
      <c r="H757" s="1">
        <v>2.6417000000000002</v>
      </c>
      <c r="I757" s="1">
        <v>2.5329999999999999</v>
      </c>
      <c r="J757" s="1">
        <v>4.8102</v>
      </c>
    </row>
    <row r="758" spans="2:10" x14ac:dyDescent="0.3">
      <c r="B758" s="10">
        <f t="shared" si="22"/>
        <v>2023</v>
      </c>
      <c r="C758" s="10">
        <f t="shared" si="23"/>
        <v>6</v>
      </c>
      <c r="D758" s="3">
        <v>45091</v>
      </c>
      <c r="E758" s="1">
        <v>73.2</v>
      </c>
      <c r="F758" s="1">
        <v>68.27</v>
      </c>
      <c r="G758" s="1">
        <v>2.3576999999999999</v>
      </c>
      <c r="H758" s="1">
        <v>2.5546000000000002</v>
      </c>
      <c r="I758" s="1">
        <v>2.3420000000000001</v>
      </c>
      <c r="J758" s="1">
        <v>4.8146000000000004</v>
      </c>
    </row>
    <row r="759" spans="2:10" x14ac:dyDescent="0.3">
      <c r="B759" s="10">
        <f t="shared" si="22"/>
        <v>2023</v>
      </c>
      <c r="C759" s="10">
        <f t="shared" si="23"/>
        <v>6</v>
      </c>
      <c r="D759" s="3">
        <v>45090</v>
      </c>
      <c r="E759" s="1">
        <v>74.290000000000006</v>
      </c>
      <c r="F759" s="1">
        <v>69.42</v>
      </c>
      <c r="G759" s="1">
        <v>2.3955000000000002</v>
      </c>
      <c r="H759" s="1">
        <v>2.5579000000000001</v>
      </c>
      <c r="I759" s="1">
        <v>2.34</v>
      </c>
      <c r="J759" s="1">
        <v>4.8621999999999996</v>
      </c>
    </row>
    <row r="760" spans="2:10" x14ac:dyDescent="0.3">
      <c r="B760" s="10">
        <f t="shared" si="22"/>
        <v>2023</v>
      </c>
      <c r="C760" s="10">
        <f t="shared" si="23"/>
        <v>6</v>
      </c>
      <c r="D760" s="3">
        <v>45089</v>
      </c>
      <c r="E760" s="1">
        <v>71.84</v>
      </c>
      <c r="F760" s="1">
        <v>67.12</v>
      </c>
      <c r="G760" s="1">
        <v>2.3090999999999999</v>
      </c>
      <c r="H760" s="1">
        <v>2.4826000000000001</v>
      </c>
      <c r="I760" s="1">
        <v>2.266</v>
      </c>
      <c r="J760" s="1">
        <v>4.8613</v>
      </c>
    </row>
    <row r="761" spans="2:10" x14ac:dyDescent="0.3">
      <c r="B761" s="10">
        <f t="shared" si="22"/>
        <v>2023</v>
      </c>
      <c r="C761" s="10">
        <f t="shared" si="23"/>
        <v>6</v>
      </c>
      <c r="D761" s="3">
        <v>45086</v>
      </c>
      <c r="E761" s="1">
        <v>74.790000000000006</v>
      </c>
      <c r="F761" s="1">
        <v>70.17</v>
      </c>
      <c r="G761" s="1">
        <v>2.3610000000000002</v>
      </c>
      <c r="H761" s="1">
        <v>2.5931999999999999</v>
      </c>
      <c r="I761" s="1">
        <v>2.254</v>
      </c>
      <c r="J761" s="1">
        <v>4.8791000000000002</v>
      </c>
    </row>
    <row r="762" spans="2:10" x14ac:dyDescent="0.3">
      <c r="B762" s="10">
        <f t="shared" si="22"/>
        <v>2023</v>
      </c>
      <c r="C762" s="10">
        <f t="shared" si="23"/>
        <v>6</v>
      </c>
      <c r="D762" s="3">
        <v>45085</v>
      </c>
      <c r="E762" s="1">
        <v>75.959999999999994</v>
      </c>
      <c r="F762" s="1">
        <v>71.290000000000006</v>
      </c>
      <c r="G762" s="1">
        <v>2.3898000000000001</v>
      </c>
      <c r="H762" s="1">
        <v>2.6126999999999998</v>
      </c>
      <c r="I762" s="1">
        <v>2.3519999999999999</v>
      </c>
      <c r="J762" s="1">
        <v>4.9234999999999998</v>
      </c>
    </row>
    <row r="763" spans="2:10" x14ac:dyDescent="0.3">
      <c r="B763" s="10">
        <f t="shared" si="22"/>
        <v>2023</v>
      </c>
      <c r="C763" s="10">
        <f t="shared" si="23"/>
        <v>6</v>
      </c>
      <c r="D763" s="3">
        <v>45084</v>
      </c>
      <c r="E763" s="1">
        <v>76.95</v>
      </c>
      <c r="F763" s="1">
        <v>72.53</v>
      </c>
      <c r="G763" s="1">
        <v>2.4018000000000002</v>
      </c>
      <c r="H763" s="1">
        <v>2.6412</v>
      </c>
      <c r="I763" s="1">
        <v>2.3290000000000002</v>
      </c>
      <c r="J763" s="1">
        <v>4.9234999999999998</v>
      </c>
    </row>
    <row r="764" spans="2:10" x14ac:dyDescent="0.3">
      <c r="B764" s="10">
        <f t="shared" si="22"/>
        <v>2023</v>
      </c>
      <c r="C764" s="10">
        <f t="shared" si="23"/>
        <v>6</v>
      </c>
      <c r="D764" s="3">
        <v>45083</v>
      </c>
      <c r="E764" s="1">
        <v>76.290000000000006</v>
      </c>
      <c r="F764" s="1">
        <v>71.739999999999995</v>
      </c>
      <c r="G764" s="1">
        <v>2.3677999999999999</v>
      </c>
      <c r="H764" s="1">
        <v>2.5642999999999998</v>
      </c>
      <c r="I764" s="1">
        <v>2.262</v>
      </c>
      <c r="J764" s="1">
        <v>4.9124999999999996</v>
      </c>
    </row>
    <row r="765" spans="2:10" x14ac:dyDescent="0.3">
      <c r="B765" s="10">
        <f t="shared" si="22"/>
        <v>2023</v>
      </c>
      <c r="C765" s="10">
        <f t="shared" si="23"/>
        <v>6</v>
      </c>
      <c r="D765" s="3">
        <v>45082</v>
      </c>
      <c r="E765" s="1">
        <v>76.709999999999994</v>
      </c>
      <c r="F765" s="1">
        <v>72.150000000000006</v>
      </c>
      <c r="G765" s="1">
        <v>2.3774999999999999</v>
      </c>
      <c r="H765" s="1">
        <v>2.5244</v>
      </c>
      <c r="I765" s="1">
        <v>2.2450000000000001</v>
      </c>
      <c r="J765" s="1">
        <v>4.9288999999999996</v>
      </c>
    </row>
    <row r="766" spans="2:10" x14ac:dyDescent="0.3">
      <c r="B766" s="10">
        <f t="shared" si="22"/>
        <v>2023</v>
      </c>
      <c r="C766" s="10">
        <f t="shared" si="23"/>
        <v>6</v>
      </c>
      <c r="D766" s="3">
        <v>45079</v>
      </c>
      <c r="E766" s="1">
        <v>76.13</v>
      </c>
      <c r="F766" s="1">
        <v>71.739999999999995</v>
      </c>
      <c r="G766" s="1">
        <v>2.3569</v>
      </c>
      <c r="H766" s="1">
        <v>2.5007000000000001</v>
      </c>
      <c r="I766" s="1">
        <v>2.1720000000000002</v>
      </c>
      <c r="J766" s="1">
        <v>4.9570999999999996</v>
      </c>
    </row>
    <row r="767" spans="2:10" x14ac:dyDescent="0.3">
      <c r="B767" s="10">
        <f t="shared" si="22"/>
        <v>2023</v>
      </c>
      <c r="C767" s="10">
        <f t="shared" si="23"/>
        <v>6</v>
      </c>
      <c r="D767" s="3">
        <v>45078</v>
      </c>
      <c r="E767" s="1">
        <v>74.28</v>
      </c>
      <c r="F767" s="1">
        <v>70.099999999999994</v>
      </c>
      <c r="G767" s="1">
        <v>2.3147000000000002</v>
      </c>
      <c r="H767" s="1">
        <v>2.4361999999999999</v>
      </c>
      <c r="I767" s="1">
        <v>2.1579999999999999</v>
      </c>
      <c r="J767" s="1">
        <v>5.0140000000000002</v>
      </c>
    </row>
    <row r="768" spans="2:10" x14ac:dyDescent="0.3">
      <c r="B768" s="10">
        <f t="shared" si="22"/>
        <v>2023</v>
      </c>
      <c r="C768" s="10">
        <f t="shared" si="23"/>
        <v>5</v>
      </c>
      <c r="D768" s="3">
        <v>45077</v>
      </c>
      <c r="E768" s="1">
        <v>72.66</v>
      </c>
      <c r="F768" s="1">
        <v>68.09</v>
      </c>
      <c r="G768" s="1">
        <v>2.2595999999999998</v>
      </c>
      <c r="H768" s="1">
        <v>2.5598999999999998</v>
      </c>
      <c r="I768" s="1">
        <v>2.266</v>
      </c>
      <c r="J768" s="1">
        <v>5.0574000000000003</v>
      </c>
    </row>
    <row r="769" spans="2:10" x14ac:dyDescent="0.3">
      <c r="B769" s="10">
        <f t="shared" si="22"/>
        <v>2023</v>
      </c>
      <c r="C769" s="10">
        <f t="shared" si="23"/>
        <v>5</v>
      </c>
      <c r="D769" s="3">
        <v>45076</v>
      </c>
      <c r="E769" s="1">
        <v>73.540000000000006</v>
      </c>
      <c r="F769" s="1">
        <v>69.459999999999994</v>
      </c>
      <c r="G769" s="1">
        <v>2.2808000000000002</v>
      </c>
      <c r="H769" s="1">
        <v>2.5958999999999999</v>
      </c>
      <c r="I769" s="1">
        <v>2.327</v>
      </c>
      <c r="J769" s="1">
        <v>5.0357000000000003</v>
      </c>
    </row>
    <row r="770" spans="2:10" x14ac:dyDescent="0.3">
      <c r="B770" s="10">
        <f t="shared" si="22"/>
        <v>2023</v>
      </c>
      <c r="C770" s="10">
        <f t="shared" si="23"/>
        <v>5</v>
      </c>
      <c r="D770" s="3">
        <v>45075</v>
      </c>
      <c r="E770" s="1">
        <v>77.069999999999993</v>
      </c>
      <c r="J770" s="1">
        <v>5.0171000000000001</v>
      </c>
    </row>
    <row r="771" spans="2:10" x14ac:dyDescent="0.3">
      <c r="B771" s="10">
        <f t="shared" si="22"/>
        <v>2023</v>
      </c>
      <c r="C771" s="10">
        <f t="shared" si="23"/>
        <v>5</v>
      </c>
      <c r="D771" s="3">
        <v>45072</v>
      </c>
      <c r="E771" s="1">
        <v>76.95</v>
      </c>
      <c r="F771" s="1">
        <v>72.67</v>
      </c>
      <c r="G771" s="1">
        <v>2.3693</v>
      </c>
      <c r="H771" s="1">
        <v>2.7033999999999998</v>
      </c>
      <c r="I771" s="1">
        <v>2.181</v>
      </c>
      <c r="J771" s="1">
        <v>4.9939</v>
      </c>
    </row>
    <row r="772" spans="2:10" x14ac:dyDescent="0.3">
      <c r="B772" s="10">
        <f t="shared" si="22"/>
        <v>2023</v>
      </c>
      <c r="C772" s="10">
        <f t="shared" si="23"/>
        <v>5</v>
      </c>
      <c r="D772" s="3">
        <v>45071</v>
      </c>
      <c r="E772" s="1">
        <v>76.260000000000005</v>
      </c>
      <c r="F772" s="1">
        <v>71.83</v>
      </c>
      <c r="G772" s="1">
        <v>2.3462000000000001</v>
      </c>
      <c r="H772" s="1">
        <v>2.6735000000000002</v>
      </c>
      <c r="I772" s="1">
        <v>2.3069999999999999</v>
      </c>
      <c r="J772" s="1">
        <v>5.0355999999999996</v>
      </c>
    </row>
    <row r="773" spans="2:10" x14ac:dyDescent="0.3">
      <c r="B773" s="10">
        <f t="shared" si="22"/>
        <v>2023</v>
      </c>
      <c r="C773" s="10">
        <f t="shared" si="23"/>
        <v>5</v>
      </c>
      <c r="D773" s="3">
        <v>45070</v>
      </c>
      <c r="E773" s="1">
        <v>78.36</v>
      </c>
      <c r="F773" s="1">
        <v>74.34</v>
      </c>
      <c r="G773" s="1">
        <v>2.4137</v>
      </c>
      <c r="H773" s="1">
        <v>2.7212000000000001</v>
      </c>
      <c r="I773" s="1">
        <v>2.3980000000000001</v>
      </c>
      <c r="J773" s="1">
        <v>4.9619</v>
      </c>
    </row>
    <row r="774" spans="2:10" x14ac:dyDescent="0.3">
      <c r="B774" s="10">
        <f t="shared" ref="B774:B837" si="24">YEAR(D774)</f>
        <v>2023</v>
      </c>
      <c r="C774" s="10">
        <f t="shared" ref="C774:C837" si="25">MONTH(D774)</f>
        <v>5</v>
      </c>
      <c r="D774" s="3">
        <v>45069</v>
      </c>
      <c r="E774" s="1">
        <v>76.84</v>
      </c>
      <c r="F774" s="1">
        <v>72.91</v>
      </c>
      <c r="G774" s="1">
        <v>2.3616999999999999</v>
      </c>
      <c r="H774" s="1">
        <v>2.6621999999999999</v>
      </c>
      <c r="I774" s="1">
        <v>2.3210000000000002</v>
      </c>
      <c r="J774" s="1">
        <v>4.9714</v>
      </c>
    </row>
    <row r="775" spans="2:10" x14ac:dyDescent="0.3">
      <c r="B775" s="10">
        <f t="shared" si="24"/>
        <v>2023</v>
      </c>
      <c r="C775" s="10">
        <f t="shared" si="25"/>
        <v>5</v>
      </c>
      <c r="D775" s="3">
        <v>45068</v>
      </c>
      <c r="E775" s="1">
        <v>75.989999999999995</v>
      </c>
      <c r="F775" s="1">
        <v>71.989999999999995</v>
      </c>
      <c r="G775" s="1">
        <v>2.3664000000000001</v>
      </c>
      <c r="H775" s="1">
        <v>2.6488999999999998</v>
      </c>
      <c r="I775" s="1">
        <v>2.4</v>
      </c>
      <c r="J775" s="1">
        <v>4.9667000000000003</v>
      </c>
    </row>
    <row r="776" spans="2:10" x14ac:dyDescent="0.3">
      <c r="B776" s="10">
        <f t="shared" si="24"/>
        <v>2023</v>
      </c>
      <c r="C776" s="10">
        <f t="shared" si="25"/>
        <v>5</v>
      </c>
      <c r="D776" s="3">
        <v>45065</v>
      </c>
      <c r="E776" s="1">
        <v>75.58</v>
      </c>
      <c r="F776" s="1">
        <v>71.55</v>
      </c>
      <c r="G776" s="1">
        <v>2.3622000000000001</v>
      </c>
      <c r="H776" s="1">
        <v>2.5760999999999998</v>
      </c>
      <c r="I776" s="1">
        <v>2.585</v>
      </c>
      <c r="J776" s="1">
        <v>4.9981</v>
      </c>
    </row>
    <row r="777" spans="2:10" x14ac:dyDescent="0.3">
      <c r="B777" s="10">
        <f t="shared" si="24"/>
        <v>2023</v>
      </c>
      <c r="C777" s="10">
        <f t="shared" si="25"/>
        <v>5</v>
      </c>
      <c r="D777" s="3">
        <v>45064</v>
      </c>
      <c r="E777" s="1">
        <v>75.86</v>
      </c>
      <c r="F777" s="1">
        <v>71.86</v>
      </c>
      <c r="G777" s="1">
        <v>2.4026000000000001</v>
      </c>
      <c r="H777" s="1">
        <v>2.5682999999999998</v>
      </c>
      <c r="I777" s="1">
        <v>2.5920000000000001</v>
      </c>
      <c r="J777" s="1">
        <v>4.9652000000000003</v>
      </c>
    </row>
    <row r="778" spans="2:10" x14ac:dyDescent="0.3">
      <c r="B778" s="10">
        <f t="shared" si="24"/>
        <v>2023</v>
      </c>
      <c r="C778" s="10">
        <f t="shared" si="25"/>
        <v>5</v>
      </c>
      <c r="D778" s="3">
        <v>45063</v>
      </c>
      <c r="E778" s="1">
        <v>76.959999999999994</v>
      </c>
      <c r="F778" s="1">
        <v>72.83</v>
      </c>
      <c r="G778" s="1">
        <v>2.4226000000000001</v>
      </c>
      <c r="H778" s="1">
        <v>2.5691999999999999</v>
      </c>
      <c r="I778" s="1">
        <v>2.3650000000000002</v>
      </c>
      <c r="J778" s="1">
        <v>4.9396000000000004</v>
      </c>
    </row>
    <row r="779" spans="2:10" x14ac:dyDescent="0.3">
      <c r="B779" s="10">
        <f t="shared" si="24"/>
        <v>2023</v>
      </c>
      <c r="C779" s="10">
        <f t="shared" si="25"/>
        <v>5</v>
      </c>
      <c r="D779" s="3">
        <v>45062</v>
      </c>
      <c r="E779" s="1">
        <v>74.91</v>
      </c>
      <c r="F779" s="1">
        <v>70.86</v>
      </c>
      <c r="G779" s="1">
        <v>2.3639000000000001</v>
      </c>
      <c r="H779" s="1">
        <v>2.4790999999999999</v>
      </c>
      <c r="I779" s="1">
        <v>2.3759999999999999</v>
      </c>
      <c r="J779" s="1">
        <v>4.9401999999999999</v>
      </c>
    </row>
    <row r="780" spans="2:10" x14ac:dyDescent="0.3">
      <c r="B780" s="10">
        <f t="shared" si="24"/>
        <v>2023</v>
      </c>
      <c r="C780" s="10">
        <f t="shared" si="25"/>
        <v>5</v>
      </c>
      <c r="D780" s="3">
        <v>45061</v>
      </c>
      <c r="E780" s="1">
        <v>75.23</v>
      </c>
      <c r="F780" s="1">
        <v>71.11</v>
      </c>
      <c r="G780" s="1">
        <v>2.3780000000000001</v>
      </c>
      <c r="H780" s="1">
        <v>2.472</v>
      </c>
      <c r="I780" s="1">
        <v>2.375</v>
      </c>
      <c r="J780" s="1">
        <v>4.8903999999999996</v>
      </c>
    </row>
    <row r="781" spans="2:10" x14ac:dyDescent="0.3">
      <c r="B781" s="10">
        <f t="shared" si="24"/>
        <v>2023</v>
      </c>
      <c r="C781" s="10">
        <f t="shared" si="25"/>
        <v>5</v>
      </c>
      <c r="D781" s="3">
        <v>45058</v>
      </c>
      <c r="E781" s="1">
        <v>74.17</v>
      </c>
      <c r="F781" s="1">
        <v>70.040000000000006</v>
      </c>
      <c r="G781" s="1">
        <v>2.3054999999999999</v>
      </c>
      <c r="H781" s="1">
        <v>2.4302000000000001</v>
      </c>
      <c r="I781" s="1">
        <v>2.266</v>
      </c>
      <c r="J781" s="1">
        <v>4.9195000000000002</v>
      </c>
    </row>
    <row r="782" spans="2:10" x14ac:dyDescent="0.3">
      <c r="B782" s="10">
        <f t="shared" si="24"/>
        <v>2023</v>
      </c>
      <c r="C782" s="10">
        <f t="shared" si="25"/>
        <v>5</v>
      </c>
      <c r="D782" s="3">
        <v>45057</v>
      </c>
      <c r="E782" s="1">
        <v>74.98</v>
      </c>
      <c r="F782" s="1">
        <v>70.87</v>
      </c>
      <c r="G782" s="1">
        <v>2.3494999999999999</v>
      </c>
      <c r="H782" s="1">
        <v>2.4577</v>
      </c>
      <c r="I782" s="1">
        <v>2.19</v>
      </c>
      <c r="J782" s="1">
        <v>4.9295</v>
      </c>
    </row>
    <row r="783" spans="2:10" x14ac:dyDescent="0.3">
      <c r="B783" s="10">
        <f t="shared" si="24"/>
        <v>2023</v>
      </c>
      <c r="C783" s="10">
        <f t="shared" si="25"/>
        <v>5</v>
      </c>
      <c r="D783" s="3">
        <v>45056</v>
      </c>
      <c r="E783" s="1">
        <v>76.41</v>
      </c>
      <c r="F783" s="1">
        <v>72.56</v>
      </c>
      <c r="G783" s="1">
        <v>2.3934000000000002</v>
      </c>
      <c r="H783" s="1">
        <v>2.4948999999999999</v>
      </c>
      <c r="I783" s="1">
        <v>2.1909999999999998</v>
      </c>
      <c r="J783" s="1">
        <v>4.9424000000000001</v>
      </c>
    </row>
    <row r="784" spans="2:10" x14ac:dyDescent="0.3">
      <c r="B784" s="10">
        <f t="shared" si="24"/>
        <v>2023</v>
      </c>
      <c r="C784" s="10">
        <f t="shared" si="25"/>
        <v>5</v>
      </c>
      <c r="D784" s="3">
        <v>45055</v>
      </c>
      <c r="E784" s="1">
        <v>77.44</v>
      </c>
      <c r="F784" s="1">
        <v>73.709999999999994</v>
      </c>
      <c r="G784" s="1">
        <v>2.3902000000000001</v>
      </c>
      <c r="H784" s="1">
        <v>2.4799000000000002</v>
      </c>
      <c r="I784" s="1">
        <v>2.2669999999999999</v>
      </c>
      <c r="J784" s="1">
        <v>4.9862000000000002</v>
      </c>
    </row>
    <row r="785" spans="2:10" x14ac:dyDescent="0.3">
      <c r="B785" s="10">
        <f t="shared" si="24"/>
        <v>2023</v>
      </c>
      <c r="C785" s="10">
        <f t="shared" si="25"/>
        <v>5</v>
      </c>
      <c r="D785" s="3">
        <v>45054</v>
      </c>
      <c r="E785" s="1">
        <v>77.010000000000005</v>
      </c>
      <c r="F785" s="1">
        <v>73.16</v>
      </c>
      <c r="G785" s="1">
        <v>2.3776999999999999</v>
      </c>
      <c r="H785" s="1">
        <v>2.4615999999999998</v>
      </c>
      <c r="I785" s="1">
        <v>2.238</v>
      </c>
      <c r="J785" s="1">
        <v>5.0096999999999996</v>
      </c>
    </row>
    <row r="786" spans="2:10" x14ac:dyDescent="0.3">
      <c r="B786" s="10">
        <f t="shared" si="24"/>
        <v>2023</v>
      </c>
      <c r="C786" s="10">
        <f t="shared" si="25"/>
        <v>5</v>
      </c>
      <c r="D786" s="3">
        <v>45051</v>
      </c>
      <c r="E786" s="1">
        <v>75.3</v>
      </c>
      <c r="F786" s="1">
        <v>71.34</v>
      </c>
      <c r="G786" s="1">
        <v>2.3147000000000002</v>
      </c>
      <c r="H786" s="1">
        <v>2.379</v>
      </c>
      <c r="I786" s="1">
        <v>2.137</v>
      </c>
      <c r="J786" s="1">
        <v>4.9518000000000004</v>
      </c>
    </row>
    <row r="787" spans="2:10" x14ac:dyDescent="0.3">
      <c r="B787" s="10">
        <f t="shared" si="24"/>
        <v>2023</v>
      </c>
      <c r="C787" s="10">
        <f t="shared" si="25"/>
        <v>5</v>
      </c>
      <c r="D787" s="3">
        <v>45050</v>
      </c>
      <c r="E787" s="1">
        <v>72.5</v>
      </c>
      <c r="F787" s="1">
        <v>68.56</v>
      </c>
      <c r="G787" s="1">
        <v>2.2387000000000001</v>
      </c>
      <c r="H787" s="1">
        <v>2.3258999999999999</v>
      </c>
      <c r="I787" s="1">
        <v>2.101</v>
      </c>
      <c r="J787" s="1">
        <v>4.9821999999999997</v>
      </c>
    </row>
    <row r="788" spans="2:10" x14ac:dyDescent="0.3">
      <c r="B788" s="10">
        <f t="shared" si="24"/>
        <v>2023</v>
      </c>
      <c r="C788" s="10">
        <f t="shared" si="25"/>
        <v>5</v>
      </c>
      <c r="D788" s="3">
        <v>45049</v>
      </c>
      <c r="E788" s="1">
        <v>72.33</v>
      </c>
      <c r="F788" s="1">
        <v>68.599999999999994</v>
      </c>
      <c r="G788" s="1">
        <v>2.2323</v>
      </c>
      <c r="H788" s="1">
        <v>2.3220999999999998</v>
      </c>
      <c r="I788" s="1">
        <v>2.17</v>
      </c>
      <c r="J788" s="1">
        <v>4.9949000000000003</v>
      </c>
    </row>
    <row r="789" spans="2:10" x14ac:dyDescent="0.3">
      <c r="B789" s="10">
        <f t="shared" si="24"/>
        <v>2023</v>
      </c>
      <c r="C789" s="10">
        <f t="shared" si="25"/>
        <v>5</v>
      </c>
      <c r="D789" s="3">
        <v>45048</v>
      </c>
      <c r="E789" s="1">
        <v>75.319999999999993</v>
      </c>
      <c r="F789" s="1">
        <v>71.66</v>
      </c>
      <c r="G789" s="1">
        <v>2.2892000000000001</v>
      </c>
      <c r="H789" s="1">
        <v>2.4357000000000002</v>
      </c>
      <c r="I789" s="1">
        <v>2.214</v>
      </c>
      <c r="J789" s="1">
        <v>5.0387000000000004</v>
      </c>
    </row>
    <row r="790" spans="2:10" x14ac:dyDescent="0.3">
      <c r="B790" s="10">
        <f t="shared" si="24"/>
        <v>2023</v>
      </c>
      <c r="C790" s="10">
        <f t="shared" si="25"/>
        <v>5</v>
      </c>
      <c r="D790" s="3">
        <v>45047</v>
      </c>
      <c r="E790" s="1">
        <v>79.31</v>
      </c>
      <c r="F790" s="1">
        <v>75.66</v>
      </c>
      <c r="G790" s="1">
        <v>2.3822999999999999</v>
      </c>
      <c r="H790" s="1">
        <v>2.5503999999999998</v>
      </c>
      <c r="I790" s="1">
        <v>2.3180000000000001</v>
      </c>
      <c r="J790" s="1">
        <v>4.9889000000000001</v>
      </c>
    </row>
    <row r="791" spans="2:10" x14ac:dyDescent="0.3">
      <c r="B791" s="10">
        <f t="shared" si="24"/>
        <v>2023</v>
      </c>
      <c r="C791" s="10">
        <f t="shared" si="25"/>
        <v>4</v>
      </c>
      <c r="D791" s="3">
        <v>45044</v>
      </c>
      <c r="E791" s="1">
        <v>79.540000000000006</v>
      </c>
      <c r="F791" s="1">
        <v>76.78</v>
      </c>
      <c r="G791" s="1">
        <v>2.3786999999999998</v>
      </c>
      <c r="H791" s="1">
        <v>2.5779999999999998</v>
      </c>
      <c r="I791" s="1">
        <v>2.41</v>
      </c>
      <c r="J791" s="1">
        <v>4.9865000000000004</v>
      </c>
    </row>
    <row r="792" spans="2:10" x14ac:dyDescent="0.3">
      <c r="B792" s="10">
        <f t="shared" si="24"/>
        <v>2023</v>
      </c>
      <c r="C792" s="10">
        <f t="shared" si="25"/>
        <v>4</v>
      </c>
      <c r="D792" s="3">
        <v>45043</v>
      </c>
      <c r="E792" s="1">
        <v>78.37</v>
      </c>
      <c r="F792" s="1">
        <v>74.760000000000005</v>
      </c>
      <c r="G792" s="1">
        <v>2.3542000000000001</v>
      </c>
      <c r="H792" s="1">
        <v>2.5327999999999999</v>
      </c>
      <c r="I792" s="1">
        <v>2.355</v>
      </c>
      <c r="J792" s="1">
        <v>4.9771000000000001</v>
      </c>
    </row>
    <row r="793" spans="2:10" x14ac:dyDescent="0.3">
      <c r="B793" s="10">
        <f t="shared" si="24"/>
        <v>2023</v>
      </c>
      <c r="C793" s="10">
        <f t="shared" si="25"/>
        <v>4</v>
      </c>
      <c r="D793" s="3">
        <v>45042</v>
      </c>
      <c r="E793" s="1">
        <v>77.69</v>
      </c>
      <c r="F793" s="1">
        <v>74.3</v>
      </c>
      <c r="G793" s="1">
        <v>2.3730000000000002</v>
      </c>
      <c r="H793" s="1">
        <v>2.5493999999999999</v>
      </c>
      <c r="I793" s="1">
        <v>2.117</v>
      </c>
      <c r="J793" s="1">
        <v>5.0434999999999999</v>
      </c>
    </row>
    <row r="794" spans="2:10" x14ac:dyDescent="0.3">
      <c r="B794" s="10">
        <f t="shared" si="24"/>
        <v>2023</v>
      </c>
      <c r="C794" s="10">
        <f t="shared" si="25"/>
        <v>4</v>
      </c>
      <c r="D794" s="3">
        <v>45041</v>
      </c>
      <c r="E794" s="1">
        <v>80.77</v>
      </c>
      <c r="F794" s="1">
        <v>77.069999999999993</v>
      </c>
      <c r="G794" s="1">
        <v>2.4510999999999998</v>
      </c>
      <c r="H794" s="1">
        <v>2.5886</v>
      </c>
      <c r="I794" s="1">
        <v>2.3069999999999999</v>
      </c>
      <c r="J794" s="1">
        <v>5.0496999999999996</v>
      </c>
    </row>
    <row r="795" spans="2:10" x14ac:dyDescent="0.3">
      <c r="B795" s="10">
        <f t="shared" si="24"/>
        <v>2023</v>
      </c>
      <c r="C795" s="10">
        <f t="shared" si="25"/>
        <v>4</v>
      </c>
      <c r="D795" s="3">
        <v>45040</v>
      </c>
      <c r="E795" s="1">
        <v>82.73</v>
      </c>
      <c r="F795" s="1">
        <v>78.760000000000005</v>
      </c>
      <c r="G795" s="1">
        <v>2.5310000000000001</v>
      </c>
      <c r="H795" s="1">
        <v>2.6318000000000001</v>
      </c>
      <c r="I795" s="1">
        <v>2.2730000000000001</v>
      </c>
      <c r="J795" s="1">
        <v>5.0336999999999996</v>
      </c>
    </row>
    <row r="796" spans="2:10" x14ac:dyDescent="0.3">
      <c r="B796" s="10">
        <f t="shared" si="24"/>
        <v>2023</v>
      </c>
      <c r="C796" s="10">
        <f t="shared" si="25"/>
        <v>4</v>
      </c>
      <c r="D796" s="3">
        <v>45037</v>
      </c>
      <c r="E796" s="1">
        <v>81.66</v>
      </c>
      <c r="F796" s="1">
        <v>77.87</v>
      </c>
      <c r="G796" s="1">
        <v>2.4885999999999999</v>
      </c>
      <c r="H796" s="1">
        <v>2.6015999999999999</v>
      </c>
      <c r="I796" s="1">
        <v>2.2330000000000001</v>
      </c>
      <c r="J796" s="1">
        <v>5.0486000000000004</v>
      </c>
    </row>
    <row r="797" spans="2:10" x14ac:dyDescent="0.3">
      <c r="B797" s="10">
        <f t="shared" si="24"/>
        <v>2023</v>
      </c>
      <c r="C797" s="10">
        <f t="shared" si="25"/>
        <v>4</v>
      </c>
      <c r="D797" s="3">
        <v>45036</v>
      </c>
      <c r="E797" s="1">
        <v>81.099999999999994</v>
      </c>
      <c r="F797" s="1">
        <v>77.290000000000006</v>
      </c>
      <c r="G797" s="1">
        <v>2.4948999999999999</v>
      </c>
      <c r="H797" s="1">
        <v>2.5863999999999998</v>
      </c>
      <c r="I797" s="1">
        <v>2.2490000000000001</v>
      </c>
      <c r="J797" s="1">
        <v>5.0486000000000004</v>
      </c>
    </row>
    <row r="798" spans="2:10" x14ac:dyDescent="0.3">
      <c r="B798" s="10">
        <f t="shared" si="24"/>
        <v>2023</v>
      </c>
      <c r="C798" s="10">
        <f t="shared" si="25"/>
        <v>4</v>
      </c>
      <c r="D798" s="3">
        <v>45035</v>
      </c>
      <c r="E798" s="1">
        <v>83.12</v>
      </c>
      <c r="F798" s="1">
        <v>79.16</v>
      </c>
      <c r="G798" s="1">
        <v>2.5577000000000001</v>
      </c>
      <c r="H798" s="1">
        <v>2.6455000000000002</v>
      </c>
      <c r="I798" s="1">
        <v>2.222</v>
      </c>
      <c r="J798" s="1">
        <v>5.0753000000000004</v>
      </c>
    </row>
    <row r="799" spans="2:10" x14ac:dyDescent="0.3">
      <c r="B799" s="10">
        <f t="shared" si="24"/>
        <v>2023</v>
      </c>
      <c r="C799" s="10">
        <f t="shared" si="25"/>
        <v>4</v>
      </c>
      <c r="D799" s="3">
        <v>45034</v>
      </c>
      <c r="E799" s="1">
        <v>84.77</v>
      </c>
      <c r="F799" s="1">
        <v>80.86</v>
      </c>
      <c r="G799" s="1">
        <v>2.5998999999999999</v>
      </c>
      <c r="H799" s="1">
        <v>2.7509000000000001</v>
      </c>
      <c r="I799" s="1">
        <v>2.3660000000000001</v>
      </c>
      <c r="J799" s="1">
        <v>4.984</v>
      </c>
    </row>
    <row r="800" spans="2:10" x14ac:dyDescent="0.3">
      <c r="B800" s="10">
        <f t="shared" si="24"/>
        <v>2023</v>
      </c>
      <c r="C800" s="10">
        <f t="shared" si="25"/>
        <v>4</v>
      </c>
      <c r="D800" s="3">
        <v>45033</v>
      </c>
      <c r="E800" s="1">
        <v>84.76</v>
      </c>
      <c r="F800" s="1">
        <v>80.83</v>
      </c>
      <c r="G800" s="1">
        <v>2.6147</v>
      </c>
      <c r="H800" s="1">
        <v>2.774</v>
      </c>
      <c r="I800" s="1">
        <v>2.2749999999999999</v>
      </c>
      <c r="J800" s="1">
        <v>4.9413</v>
      </c>
    </row>
    <row r="801" spans="2:10" x14ac:dyDescent="0.3">
      <c r="B801" s="10">
        <f t="shared" si="24"/>
        <v>2023</v>
      </c>
      <c r="C801" s="10">
        <f t="shared" si="25"/>
        <v>4</v>
      </c>
      <c r="D801" s="3">
        <v>45030</v>
      </c>
      <c r="E801" s="1">
        <v>86.31</v>
      </c>
      <c r="F801" s="1">
        <v>82.52</v>
      </c>
      <c r="G801" s="1">
        <v>2.6392000000000002</v>
      </c>
      <c r="H801" s="1">
        <v>2.8359000000000001</v>
      </c>
      <c r="I801" s="1">
        <v>2.1139999999999999</v>
      </c>
      <c r="J801" s="1">
        <v>4.9096000000000002</v>
      </c>
    </row>
    <row r="802" spans="2:10" x14ac:dyDescent="0.3">
      <c r="B802" s="10">
        <f t="shared" si="24"/>
        <v>2023</v>
      </c>
      <c r="C802" s="10">
        <f t="shared" si="25"/>
        <v>4</v>
      </c>
      <c r="D802" s="3">
        <v>45029</v>
      </c>
      <c r="E802" s="1">
        <v>86.09</v>
      </c>
      <c r="F802" s="1">
        <v>82.16</v>
      </c>
      <c r="G802" s="1">
        <v>2.6728000000000001</v>
      </c>
      <c r="H802" s="1">
        <v>2.8317000000000001</v>
      </c>
      <c r="I802" s="1">
        <v>2.0070000000000001</v>
      </c>
      <c r="J802" s="1">
        <v>4.9272</v>
      </c>
    </row>
    <row r="803" spans="2:10" x14ac:dyDescent="0.3">
      <c r="B803" s="10">
        <f t="shared" si="24"/>
        <v>2023</v>
      </c>
      <c r="C803" s="10">
        <f t="shared" si="25"/>
        <v>4</v>
      </c>
      <c r="D803" s="3">
        <v>45028</v>
      </c>
      <c r="E803" s="1">
        <v>87.33</v>
      </c>
      <c r="F803" s="1">
        <v>83.26</v>
      </c>
      <c r="G803" s="1">
        <v>2.7031000000000001</v>
      </c>
      <c r="H803" s="1">
        <v>2.8727</v>
      </c>
      <c r="I803" s="1">
        <v>2.093</v>
      </c>
      <c r="J803" s="1">
        <v>4.9180999999999999</v>
      </c>
    </row>
    <row r="804" spans="2:10" x14ac:dyDescent="0.3">
      <c r="B804" s="10">
        <f t="shared" si="24"/>
        <v>2023</v>
      </c>
      <c r="C804" s="10">
        <f t="shared" si="25"/>
        <v>4</v>
      </c>
      <c r="D804" s="3">
        <v>45027</v>
      </c>
      <c r="E804" s="1">
        <v>85.61</v>
      </c>
      <c r="F804" s="1">
        <v>81.53</v>
      </c>
      <c r="G804" s="1">
        <v>2.6682000000000001</v>
      </c>
      <c r="H804" s="1">
        <v>2.8652000000000002</v>
      </c>
      <c r="I804" s="1">
        <v>2.1859999999999999</v>
      </c>
      <c r="J804" s="1">
        <v>5.0053999999999998</v>
      </c>
    </row>
    <row r="805" spans="2:10" x14ac:dyDescent="0.3">
      <c r="B805" s="10">
        <f t="shared" si="24"/>
        <v>2023</v>
      </c>
      <c r="C805" s="10">
        <f t="shared" si="25"/>
        <v>4</v>
      </c>
      <c r="D805" s="3">
        <v>45026</v>
      </c>
      <c r="E805" s="1">
        <v>84.18</v>
      </c>
      <c r="F805" s="1">
        <v>79.739999999999995</v>
      </c>
      <c r="G805" s="1">
        <v>2.6814</v>
      </c>
      <c r="H805" s="1">
        <v>2.8079000000000001</v>
      </c>
      <c r="I805" s="1">
        <v>2.1720000000000002</v>
      </c>
      <c r="J805" s="1">
        <v>5.0655000000000001</v>
      </c>
    </row>
    <row r="806" spans="2:10" x14ac:dyDescent="0.3">
      <c r="B806" s="10">
        <f t="shared" si="24"/>
        <v>2023</v>
      </c>
      <c r="C806" s="10">
        <f t="shared" si="25"/>
        <v>4</v>
      </c>
      <c r="D806" s="3">
        <v>45023</v>
      </c>
      <c r="J806" s="1">
        <v>5.0548999999999999</v>
      </c>
    </row>
    <row r="807" spans="2:10" x14ac:dyDescent="0.3">
      <c r="B807" s="10">
        <f t="shared" si="24"/>
        <v>2023</v>
      </c>
      <c r="C807" s="10">
        <f t="shared" si="25"/>
        <v>4</v>
      </c>
      <c r="D807" s="3">
        <v>45022</v>
      </c>
      <c r="E807" s="1">
        <v>85.12</v>
      </c>
      <c r="F807" s="1">
        <v>80.7</v>
      </c>
      <c r="G807" s="1">
        <v>2.6604999999999999</v>
      </c>
      <c r="H807" s="1">
        <v>2.8132999999999999</v>
      </c>
      <c r="I807" s="1">
        <v>2.0110000000000001</v>
      </c>
      <c r="J807" s="1">
        <v>5.0570000000000004</v>
      </c>
    </row>
    <row r="808" spans="2:10" x14ac:dyDescent="0.3">
      <c r="B808" s="10">
        <f t="shared" si="24"/>
        <v>2023</v>
      </c>
      <c r="C808" s="10">
        <f t="shared" si="25"/>
        <v>4</v>
      </c>
      <c r="D808" s="3">
        <v>45021</v>
      </c>
      <c r="E808" s="1">
        <v>84.99</v>
      </c>
      <c r="F808" s="1">
        <v>80.61</v>
      </c>
      <c r="G808" s="1">
        <v>2.7309999999999999</v>
      </c>
      <c r="H808" s="1">
        <v>2.8201000000000001</v>
      </c>
      <c r="I808" s="1">
        <v>2.1549999999999998</v>
      </c>
      <c r="J808" s="1">
        <v>5.0339999999999998</v>
      </c>
    </row>
    <row r="809" spans="2:10" x14ac:dyDescent="0.3">
      <c r="B809" s="10">
        <f t="shared" si="24"/>
        <v>2023</v>
      </c>
      <c r="C809" s="10">
        <f t="shared" si="25"/>
        <v>4</v>
      </c>
      <c r="D809" s="3">
        <v>45020</v>
      </c>
      <c r="E809" s="1">
        <v>84.94</v>
      </c>
      <c r="F809" s="1">
        <v>80.709999999999994</v>
      </c>
      <c r="G809" s="1">
        <v>2.6667000000000001</v>
      </c>
      <c r="H809" s="1">
        <v>2.7370999999999999</v>
      </c>
      <c r="I809" s="1">
        <v>2.1059999999999999</v>
      </c>
      <c r="J809" s="1">
        <v>5.0716000000000001</v>
      </c>
    </row>
    <row r="810" spans="2:10" x14ac:dyDescent="0.3">
      <c r="B810" s="10">
        <f t="shared" si="24"/>
        <v>2023</v>
      </c>
      <c r="C810" s="10">
        <f t="shared" si="25"/>
        <v>4</v>
      </c>
      <c r="D810" s="3">
        <v>45019</v>
      </c>
      <c r="E810" s="1">
        <v>84.93</v>
      </c>
      <c r="F810" s="1">
        <v>80.42</v>
      </c>
      <c r="G810" s="1">
        <v>2.6625999999999999</v>
      </c>
      <c r="H810" s="1">
        <v>2.7574999999999998</v>
      </c>
      <c r="I810" s="1">
        <v>2.097</v>
      </c>
      <c r="J810" s="1">
        <v>5.0632000000000001</v>
      </c>
    </row>
    <row r="811" spans="2:10" x14ac:dyDescent="0.3">
      <c r="B811" s="10">
        <f t="shared" si="24"/>
        <v>2023</v>
      </c>
      <c r="C811" s="10">
        <f t="shared" si="25"/>
        <v>3</v>
      </c>
      <c r="D811" s="3">
        <v>45016</v>
      </c>
      <c r="E811" s="1">
        <v>79.77</v>
      </c>
      <c r="F811" s="1">
        <v>75.67</v>
      </c>
      <c r="G811" s="1">
        <v>2.6762999999999999</v>
      </c>
      <c r="H811" s="1">
        <v>2.7004999999999999</v>
      </c>
      <c r="I811" s="1">
        <v>2.2160000000000002</v>
      </c>
      <c r="J811" s="1">
        <v>5.0631000000000004</v>
      </c>
    </row>
    <row r="812" spans="2:10" x14ac:dyDescent="0.3">
      <c r="B812" s="10">
        <f t="shared" si="24"/>
        <v>2023</v>
      </c>
      <c r="C812" s="10">
        <f t="shared" si="25"/>
        <v>3</v>
      </c>
      <c r="D812" s="3">
        <v>45015</v>
      </c>
      <c r="E812" s="1">
        <v>79.27</v>
      </c>
      <c r="F812" s="1">
        <v>74.37</v>
      </c>
      <c r="G812" s="1">
        <v>2.6236999999999999</v>
      </c>
      <c r="H812" s="1">
        <v>2.6614</v>
      </c>
      <c r="I812" s="1">
        <v>2.1040000000000001</v>
      </c>
      <c r="J812" s="1">
        <v>5.0937999999999999</v>
      </c>
    </row>
    <row r="813" spans="2:10" x14ac:dyDescent="0.3">
      <c r="B813" s="10">
        <f t="shared" si="24"/>
        <v>2023</v>
      </c>
      <c r="C813" s="10">
        <f t="shared" si="25"/>
        <v>3</v>
      </c>
      <c r="D813" s="3">
        <v>45014</v>
      </c>
      <c r="E813" s="1">
        <v>78.28</v>
      </c>
      <c r="F813" s="1">
        <v>72.97</v>
      </c>
      <c r="G813" s="1">
        <v>2.6581000000000001</v>
      </c>
      <c r="H813" s="1">
        <v>2.6680999999999999</v>
      </c>
      <c r="I813" s="1">
        <v>1.9910000000000001</v>
      </c>
      <c r="J813" s="1">
        <v>5.1356000000000002</v>
      </c>
    </row>
    <row r="814" spans="2:10" x14ac:dyDescent="0.3">
      <c r="B814" s="10">
        <f t="shared" si="24"/>
        <v>2023</v>
      </c>
      <c r="C814" s="10">
        <f t="shared" si="25"/>
        <v>3</v>
      </c>
      <c r="D814" s="3">
        <v>45013</v>
      </c>
      <c r="E814" s="1">
        <v>78.650000000000006</v>
      </c>
      <c r="F814" s="1">
        <v>73.2</v>
      </c>
      <c r="G814" s="1">
        <v>2.7696000000000001</v>
      </c>
      <c r="H814" s="1">
        <v>2.7121</v>
      </c>
      <c r="I814" s="1">
        <v>2.0299999999999998</v>
      </c>
      <c r="J814" s="1">
        <v>5.1654999999999998</v>
      </c>
    </row>
    <row r="815" spans="2:10" x14ac:dyDescent="0.3">
      <c r="B815" s="10">
        <f t="shared" si="24"/>
        <v>2023</v>
      </c>
      <c r="C815" s="10">
        <f t="shared" si="25"/>
        <v>3</v>
      </c>
      <c r="D815" s="3">
        <v>45012</v>
      </c>
      <c r="E815" s="1">
        <v>78.12</v>
      </c>
      <c r="F815" s="1">
        <v>72.81</v>
      </c>
      <c r="G815" s="1">
        <v>2.7704</v>
      </c>
      <c r="H815" s="1">
        <v>2.6842000000000001</v>
      </c>
      <c r="I815" s="1">
        <v>2.0880000000000001</v>
      </c>
      <c r="J815" s="1">
        <v>5.1982999999999997</v>
      </c>
    </row>
    <row r="816" spans="2:10" x14ac:dyDescent="0.3">
      <c r="B816" s="10">
        <f t="shared" si="24"/>
        <v>2023</v>
      </c>
      <c r="C816" s="10">
        <f t="shared" si="25"/>
        <v>3</v>
      </c>
      <c r="D816" s="3">
        <v>45009</v>
      </c>
      <c r="E816" s="1">
        <v>74.989999999999995</v>
      </c>
      <c r="F816" s="1">
        <v>69.260000000000005</v>
      </c>
      <c r="G816" s="1">
        <v>2.6951999999999998</v>
      </c>
      <c r="H816" s="1">
        <v>2.5884999999999998</v>
      </c>
      <c r="I816" s="1">
        <v>2.2160000000000002</v>
      </c>
      <c r="J816" s="1">
        <v>5.2462999999999997</v>
      </c>
    </row>
    <row r="817" spans="2:10" x14ac:dyDescent="0.3">
      <c r="B817" s="10">
        <f t="shared" si="24"/>
        <v>2023</v>
      </c>
      <c r="C817" s="10">
        <f t="shared" si="25"/>
        <v>3</v>
      </c>
      <c r="D817" s="3">
        <v>45008</v>
      </c>
      <c r="E817" s="1">
        <v>75.91</v>
      </c>
      <c r="F817" s="1">
        <v>69.959999999999994</v>
      </c>
      <c r="G817" s="1">
        <v>2.6846999999999999</v>
      </c>
      <c r="H817" s="1">
        <v>2.6059000000000001</v>
      </c>
      <c r="I817" s="1">
        <v>2.1539999999999999</v>
      </c>
      <c r="J817" s="1">
        <v>5.2972999999999999</v>
      </c>
    </row>
    <row r="818" spans="2:10" x14ac:dyDescent="0.3">
      <c r="B818" s="10">
        <f t="shared" si="24"/>
        <v>2023</v>
      </c>
      <c r="C818" s="10">
        <f t="shared" si="25"/>
        <v>3</v>
      </c>
      <c r="D818" s="3">
        <v>45007</v>
      </c>
      <c r="E818" s="1">
        <v>76.69</v>
      </c>
      <c r="F818" s="1">
        <v>70.900000000000006</v>
      </c>
      <c r="G818" s="1">
        <v>2.7403</v>
      </c>
      <c r="H818" s="1">
        <v>2.5931999999999999</v>
      </c>
      <c r="I818" s="1">
        <v>2.1709999999999998</v>
      </c>
      <c r="J818" s="1">
        <v>5.2369000000000003</v>
      </c>
    </row>
    <row r="819" spans="2:10" x14ac:dyDescent="0.3">
      <c r="B819" s="10">
        <f t="shared" si="24"/>
        <v>2023</v>
      </c>
      <c r="C819" s="10">
        <f t="shared" si="25"/>
        <v>3</v>
      </c>
      <c r="D819" s="3">
        <v>45006</v>
      </c>
      <c r="E819" s="1">
        <v>75.319999999999993</v>
      </c>
      <c r="F819" s="1">
        <v>69.33</v>
      </c>
      <c r="G819" s="1">
        <v>2.6901999999999999</v>
      </c>
      <c r="H819" s="1">
        <v>2.5388999999999999</v>
      </c>
      <c r="I819" s="1">
        <v>2.3479999999999999</v>
      </c>
      <c r="J819" s="1">
        <v>5.2430000000000003</v>
      </c>
    </row>
    <row r="820" spans="2:10" x14ac:dyDescent="0.3">
      <c r="B820" s="10">
        <f t="shared" si="24"/>
        <v>2023</v>
      </c>
      <c r="C820" s="10">
        <f t="shared" si="25"/>
        <v>3</v>
      </c>
      <c r="D820" s="3">
        <v>45005</v>
      </c>
      <c r="E820" s="1">
        <v>73.790000000000006</v>
      </c>
      <c r="F820" s="1">
        <v>67.64</v>
      </c>
      <c r="G820" s="1">
        <v>2.6871</v>
      </c>
      <c r="H820" s="1">
        <v>2.536</v>
      </c>
      <c r="I820" s="1">
        <v>2.2229999999999999</v>
      </c>
      <c r="J820" s="1">
        <v>5.2367999999999997</v>
      </c>
    </row>
    <row r="821" spans="2:10" x14ac:dyDescent="0.3">
      <c r="B821" s="10">
        <f t="shared" si="24"/>
        <v>2023</v>
      </c>
      <c r="C821" s="10">
        <f t="shared" si="25"/>
        <v>3</v>
      </c>
      <c r="D821" s="3">
        <v>45002</v>
      </c>
      <c r="E821" s="1">
        <v>72.97</v>
      </c>
      <c r="F821" s="1">
        <v>66.739999999999995</v>
      </c>
      <c r="G821" s="1">
        <v>2.6787000000000001</v>
      </c>
      <c r="H821" s="1">
        <v>2.5015000000000001</v>
      </c>
      <c r="I821" s="1">
        <v>2.3380000000000001</v>
      </c>
      <c r="J821" s="1">
        <v>5.2778</v>
      </c>
    </row>
    <row r="822" spans="2:10" x14ac:dyDescent="0.3">
      <c r="B822" s="10">
        <f t="shared" si="24"/>
        <v>2023</v>
      </c>
      <c r="C822" s="10">
        <f t="shared" si="25"/>
        <v>3</v>
      </c>
      <c r="D822" s="3">
        <v>45001</v>
      </c>
      <c r="E822" s="1">
        <v>74.7</v>
      </c>
      <c r="F822" s="1">
        <v>68.349999999999994</v>
      </c>
      <c r="G822" s="1">
        <v>2.6435</v>
      </c>
      <c r="H822" s="1">
        <v>2.5034999999999998</v>
      </c>
      <c r="I822" s="1">
        <v>2.5139999999999998</v>
      </c>
      <c r="J822" s="1">
        <v>5.2285000000000004</v>
      </c>
    </row>
    <row r="823" spans="2:10" x14ac:dyDescent="0.3">
      <c r="B823" s="10">
        <f t="shared" si="24"/>
        <v>2023</v>
      </c>
      <c r="C823" s="10">
        <f t="shared" si="25"/>
        <v>3</v>
      </c>
      <c r="D823" s="3">
        <v>45000</v>
      </c>
      <c r="E823" s="1">
        <v>73.69</v>
      </c>
      <c r="F823" s="1">
        <v>67.61</v>
      </c>
      <c r="G823" s="1">
        <v>2.6049000000000002</v>
      </c>
      <c r="H823" s="1">
        <v>2.4384000000000001</v>
      </c>
      <c r="I823" s="1">
        <v>2.4390000000000001</v>
      </c>
      <c r="J823" s="1">
        <v>5.2881999999999998</v>
      </c>
    </row>
    <row r="824" spans="2:10" x14ac:dyDescent="0.3">
      <c r="B824" s="10">
        <f t="shared" si="24"/>
        <v>2023</v>
      </c>
      <c r="C824" s="10">
        <f t="shared" si="25"/>
        <v>3</v>
      </c>
      <c r="D824" s="3">
        <v>44999</v>
      </c>
      <c r="E824" s="1">
        <v>77.45</v>
      </c>
      <c r="F824" s="1">
        <v>71.33</v>
      </c>
      <c r="G824" s="1">
        <v>2.7143999999999999</v>
      </c>
      <c r="H824" s="1">
        <v>2.5529999999999999</v>
      </c>
      <c r="I824" s="1">
        <v>2.573</v>
      </c>
      <c r="J824" s="1">
        <v>5.2542999999999997</v>
      </c>
    </row>
    <row r="825" spans="2:10" x14ac:dyDescent="0.3">
      <c r="B825" s="10">
        <f t="shared" si="24"/>
        <v>2023</v>
      </c>
      <c r="C825" s="10">
        <f t="shared" si="25"/>
        <v>3</v>
      </c>
      <c r="D825" s="3">
        <v>44998</v>
      </c>
      <c r="E825" s="1">
        <v>80.77</v>
      </c>
      <c r="F825" s="1">
        <v>74.8</v>
      </c>
      <c r="G825" s="1">
        <v>2.7614999999999998</v>
      </c>
      <c r="H825" s="1">
        <v>2.5914000000000001</v>
      </c>
      <c r="I825" s="1">
        <v>2.6059999999999999</v>
      </c>
      <c r="J825" s="1">
        <v>5.2458999999999998</v>
      </c>
    </row>
    <row r="826" spans="2:10" x14ac:dyDescent="0.3">
      <c r="B826" s="10">
        <f t="shared" si="24"/>
        <v>2023</v>
      </c>
      <c r="C826" s="10">
        <f t="shared" si="25"/>
        <v>3</v>
      </c>
      <c r="D826" s="3">
        <v>44995</v>
      </c>
      <c r="E826" s="1">
        <v>82.78</v>
      </c>
      <c r="F826" s="1">
        <v>76.680000000000007</v>
      </c>
      <c r="G826" s="1">
        <v>2.7728999999999999</v>
      </c>
      <c r="H826" s="1">
        <v>2.6457999999999999</v>
      </c>
      <c r="I826" s="1">
        <v>2.4300000000000002</v>
      </c>
      <c r="J826" s="1">
        <v>5.2165999999999997</v>
      </c>
    </row>
    <row r="827" spans="2:10" x14ac:dyDescent="0.3">
      <c r="B827" s="10">
        <f t="shared" si="24"/>
        <v>2023</v>
      </c>
      <c r="C827" s="10">
        <f t="shared" si="25"/>
        <v>3</v>
      </c>
      <c r="D827" s="3">
        <v>44994</v>
      </c>
      <c r="E827" s="1">
        <v>81.59</v>
      </c>
      <c r="F827" s="1">
        <v>75.72</v>
      </c>
      <c r="G827" s="1">
        <v>2.6688999999999998</v>
      </c>
      <c r="H827" s="1">
        <v>2.6051000000000002</v>
      </c>
      <c r="I827" s="1">
        <v>2.5430000000000001</v>
      </c>
      <c r="J827" s="1">
        <v>5.1645000000000003</v>
      </c>
    </row>
    <row r="828" spans="2:10" x14ac:dyDescent="0.3">
      <c r="B828" s="10">
        <f t="shared" si="24"/>
        <v>2023</v>
      </c>
      <c r="C828" s="10">
        <f t="shared" si="25"/>
        <v>3</v>
      </c>
      <c r="D828" s="3">
        <v>44993</v>
      </c>
      <c r="E828" s="1">
        <v>82.66</v>
      </c>
      <c r="F828" s="1">
        <v>76.66</v>
      </c>
      <c r="G828" s="1">
        <v>2.7418999999999998</v>
      </c>
      <c r="H828" s="1">
        <v>2.6888999999999998</v>
      </c>
      <c r="I828" s="1">
        <v>2.5510000000000002</v>
      </c>
      <c r="J828" s="1">
        <v>5.1452999999999998</v>
      </c>
    </row>
    <row r="829" spans="2:10" x14ac:dyDescent="0.3">
      <c r="B829" s="10">
        <f t="shared" si="24"/>
        <v>2023</v>
      </c>
      <c r="C829" s="10">
        <f t="shared" si="25"/>
        <v>3</v>
      </c>
      <c r="D829" s="3">
        <v>44992</v>
      </c>
      <c r="E829" s="1">
        <v>83.29</v>
      </c>
      <c r="F829" s="1">
        <v>77.58</v>
      </c>
      <c r="G829" s="1">
        <v>2.7974999999999999</v>
      </c>
      <c r="H829" s="1">
        <v>2.7006999999999999</v>
      </c>
      <c r="I829" s="1">
        <v>2.6869999999999998</v>
      </c>
      <c r="J829" s="1">
        <v>5.1909999999999998</v>
      </c>
    </row>
    <row r="830" spans="2:10" x14ac:dyDescent="0.3">
      <c r="B830" s="10">
        <f t="shared" si="24"/>
        <v>2023</v>
      </c>
      <c r="C830" s="10">
        <f t="shared" si="25"/>
        <v>3</v>
      </c>
      <c r="D830" s="3">
        <v>44991</v>
      </c>
      <c r="E830" s="1">
        <v>86.18</v>
      </c>
      <c r="F830" s="1">
        <v>80.459999999999994</v>
      </c>
      <c r="G830" s="1">
        <v>2.8866000000000001</v>
      </c>
      <c r="H830" s="1">
        <v>2.7965</v>
      </c>
      <c r="I830" s="1">
        <v>2.5720000000000001</v>
      </c>
      <c r="J830" s="1">
        <v>5.1534000000000004</v>
      </c>
    </row>
    <row r="831" spans="2:10" x14ac:dyDescent="0.3">
      <c r="B831" s="10">
        <f t="shared" si="24"/>
        <v>2023</v>
      </c>
      <c r="C831" s="10">
        <f t="shared" si="25"/>
        <v>3</v>
      </c>
      <c r="D831" s="3">
        <v>44988</v>
      </c>
      <c r="E831" s="1">
        <v>85.83</v>
      </c>
      <c r="F831" s="1">
        <v>79.680000000000007</v>
      </c>
      <c r="G831" s="1">
        <v>2.9131</v>
      </c>
      <c r="H831" s="1">
        <v>2.7504</v>
      </c>
      <c r="I831" s="1">
        <v>3.0089999999999999</v>
      </c>
      <c r="J831" s="1">
        <v>5.1955999999999998</v>
      </c>
    </row>
    <row r="832" spans="2:10" x14ac:dyDescent="0.3">
      <c r="B832" s="10">
        <f t="shared" si="24"/>
        <v>2023</v>
      </c>
      <c r="C832" s="10">
        <f t="shared" si="25"/>
        <v>3</v>
      </c>
      <c r="D832" s="3">
        <v>44987</v>
      </c>
      <c r="E832" s="1">
        <v>84.75</v>
      </c>
      <c r="F832" s="1">
        <v>78.16</v>
      </c>
      <c r="G832" s="1">
        <v>2.8662000000000001</v>
      </c>
      <c r="H832" s="1">
        <v>2.7002999999999999</v>
      </c>
      <c r="I832" s="1">
        <v>2.7650000000000001</v>
      </c>
      <c r="J832" s="1">
        <v>5.2005999999999997</v>
      </c>
    </row>
    <row r="833" spans="2:10" x14ac:dyDescent="0.3">
      <c r="B833" s="10">
        <f t="shared" si="24"/>
        <v>2023</v>
      </c>
      <c r="C833" s="10">
        <f t="shared" si="25"/>
        <v>3</v>
      </c>
      <c r="D833" s="3">
        <v>44986</v>
      </c>
      <c r="E833" s="1">
        <v>84.31</v>
      </c>
      <c r="F833" s="1">
        <v>77.69</v>
      </c>
      <c r="G833" s="1">
        <v>2.8738000000000001</v>
      </c>
      <c r="H833" s="1">
        <v>2.6747999999999998</v>
      </c>
      <c r="I833" s="1">
        <v>2.8109999999999999</v>
      </c>
      <c r="J833" s="1">
        <v>5.1794000000000002</v>
      </c>
    </row>
    <row r="834" spans="2:10" x14ac:dyDescent="0.3">
      <c r="B834" s="10">
        <f t="shared" si="24"/>
        <v>2023</v>
      </c>
      <c r="C834" s="10">
        <f t="shared" si="25"/>
        <v>2</v>
      </c>
      <c r="D834" s="3">
        <v>44985</v>
      </c>
      <c r="E834" s="1">
        <v>83.89</v>
      </c>
      <c r="F834" s="1">
        <v>77.05</v>
      </c>
      <c r="G834" s="1">
        <v>2.8209</v>
      </c>
      <c r="H834" s="1">
        <v>2.4342999999999999</v>
      </c>
      <c r="I834" s="1">
        <v>2.7469999999999999</v>
      </c>
      <c r="J834" s="1">
        <v>5.2366999999999999</v>
      </c>
    </row>
    <row r="835" spans="2:10" x14ac:dyDescent="0.3">
      <c r="B835" s="10">
        <f t="shared" si="24"/>
        <v>2023</v>
      </c>
      <c r="C835" s="10">
        <f t="shared" si="25"/>
        <v>2</v>
      </c>
      <c r="D835" s="3">
        <v>44984</v>
      </c>
      <c r="E835" s="1">
        <v>82.45</v>
      </c>
      <c r="F835" s="1">
        <v>75.680000000000007</v>
      </c>
      <c r="G835" s="1">
        <v>2.8197999999999999</v>
      </c>
      <c r="H835" s="1">
        <v>2.3683000000000001</v>
      </c>
      <c r="I835" s="1">
        <v>2.7309999999999999</v>
      </c>
      <c r="J835" s="1">
        <v>5.2008000000000001</v>
      </c>
    </row>
    <row r="836" spans="2:10" x14ac:dyDescent="0.3">
      <c r="B836" s="10">
        <f t="shared" si="24"/>
        <v>2023</v>
      </c>
      <c r="C836" s="10">
        <f t="shared" si="25"/>
        <v>2</v>
      </c>
      <c r="D836" s="3">
        <v>44981</v>
      </c>
      <c r="E836" s="1">
        <v>83.16</v>
      </c>
      <c r="F836" s="1">
        <v>76.319999999999993</v>
      </c>
      <c r="G836" s="1">
        <v>2.7961999999999998</v>
      </c>
      <c r="H836" s="1">
        <v>2.3586999999999998</v>
      </c>
      <c r="I836" s="1">
        <v>2.4510000000000001</v>
      </c>
      <c r="J836" s="1">
        <v>5.21</v>
      </c>
    </row>
    <row r="837" spans="2:10" x14ac:dyDescent="0.3">
      <c r="B837" s="10">
        <f t="shared" si="24"/>
        <v>2023</v>
      </c>
      <c r="C837" s="10">
        <f t="shared" si="25"/>
        <v>2</v>
      </c>
      <c r="D837" s="3">
        <v>44980</v>
      </c>
      <c r="E837" s="1">
        <v>82.21</v>
      </c>
      <c r="F837" s="1">
        <v>75.39</v>
      </c>
      <c r="G837" s="1">
        <v>2.7081</v>
      </c>
      <c r="H837" s="1">
        <v>2.3795000000000002</v>
      </c>
      <c r="I837" s="1">
        <v>2.3140000000000001</v>
      </c>
      <c r="J837" s="1">
        <v>5.1372999999999998</v>
      </c>
    </row>
    <row r="838" spans="2:10" x14ac:dyDescent="0.3">
      <c r="B838" s="10">
        <f t="shared" ref="B838:B901" si="26">YEAR(D838)</f>
        <v>2023</v>
      </c>
      <c r="C838" s="10">
        <f t="shared" ref="C838:C901" si="27">MONTH(D838)</f>
        <v>2</v>
      </c>
      <c r="D838" s="3">
        <v>44979</v>
      </c>
      <c r="E838" s="1">
        <v>80.599999999999994</v>
      </c>
      <c r="F838" s="1">
        <v>73.95</v>
      </c>
      <c r="G838" s="1">
        <v>2.7147999999999999</v>
      </c>
      <c r="H838" s="1">
        <v>2.3376000000000001</v>
      </c>
      <c r="I838" s="1">
        <v>2.1739999999999999</v>
      </c>
      <c r="J838" s="1">
        <v>5.1521999999999997</v>
      </c>
    </row>
    <row r="839" spans="2:10" x14ac:dyDescent="0.3">
      <c r="B839" s="10">
        <f t="shared" si="26"/>
        <v>2023</v>
      </c>
      <c r="C839" s="10">
        <f t="shared" si="27"/>
        <v>2</v>
      </c>
      <c r="D839" s="3">
        <v>44978</v>
      </c>
      <c r="E839" s="1">
        <v>83.05</v>
      </c>
      <c r="F839" s="1">
        <v>76.16</v>
      </c>
      <c r="G839" s="1">
        <v>2.7919</v>
      </c>
      <c r="H839" s="1">
        <v>2.4156</v>
      </c>
      <c r="I839" s="1">
        <v>2.073</v>
      </c>
      <c r="J839" s="1">
        <v>5.1675000000000004</v>
      </c>
    </row>
    <row r="840" spans="2:10" x14ac:dyDescent="0.3">
      <c r="B840" s="10">
        <f t="shared" si="26"/>
        <v>2023</v>
      </c>
      <c r="C840" s="10">
        <f t="shared" si="27"/>
        <v>2</v>
      </c>
      <c r="D840" s="3">
        <v>44977</v>
      </c>
      <c r="E840" s="1">
        <v>84.07</v>
      </c>
      <c r="J840" s="1">
        <v>5.1673999999999998</v>
      </c>
    </row>
    <row r="841" spans="2:10" x14ac:dyDescent="0.3">
      <c r="B841" s="10">
        <f t="shared" si="26"/>
        <v>2023</v>
      </c>
      <c r="C841" s="10">
        <f t="shared" si="27"/>
        <v>2</v>
      </c>
      <c r="D841" s="3">
        <v>44974</v>
      </c>
      <c r="E841" s="1">
        <v>83</v>
      </c>
      <c r="F841" s="1">
        <v>76.34</v>
      </c>
      <c r="G841" s="1">
        <v>2.7121</v>
      </c>
      <c r="H841" s="1">
        <v>2.4081999999999999</v>
      </c>
      <c r="I841" s="1">
        <v>2.2749999999999999</v>
      </c>
      <c r="J841" s="1">
        <v>5.1673999999999998</v>
      </c>
    </row>
    <row r="842" spans="2:10" x14ac:dyDescent="0.3">
      <c r="B842" s="10">
        <f t="shared" si="26"/>
        <v>2023</v>
      </c>
      <c r="C842" s="10">
        <f t="shared" si="27"/>
        <v>2</v>
      </c>
      <c r="D842" s="3">
        <v>44973</v>
      </c>
      <c r="E842" s="1">
        <v>85.14</v>
      </c>
      <c r="F842" s="1">
        <v>78.489999999999995</v>
      </c>
      <c r="G842" s="1">
        <v>2.8108</v>
      </c>
      <c r="H842" s="1">
        <v>2.4355000000000002</v>
      </c>
      <c r="I842" s="1">
        <v>2.3889999999999998</v>
      </c>
      <c r="J842" s="1">
        <v>5.2178000000000004</v>
      </c>
    </row>
    <row r="843" spans="2:10" x14ac:dyDescent="0.3">
      <c r="B843" s="10">
        <f t="shared" si="26"/>
        <v>2023</v>
      </c>
      <c r="C843" s="10">
        <f t="shared" si="27"/>
        <v>2</v>
      </c>
      <c r="D843" s="3">
        <v>44972</v>
      </c>
      <c r="E843" s="1">
        <v>85.38</v>
      </c>
      <c r="F843" s="1">
        <v>78.59</v>
      </c>
      <c r="G843" s="1">
        <v>2.8443999999999998</v>
      </c>
      <c r="H843" s="1">
        <v>2.4977999999999998</v>
      </c>
      <c r="I843" s="1">
        <v>2.4710000000000001</v>
      </c>
      <c r="J843" s="1">
        <v>5.2190000000000003</v>
      </c>
    </row>
    <row r="844" spans="2:10" x14ac:dyDescent="0.3">
      <c r="B844" s="10">
        <f t="shared" si="26"/>
        <v>2023</v>
      </c>
      <c r="C844" s="10">
        <f t="shared" si="27"/>
        <v>2</v>
      </c>
      <c r="D844" s="3">
        <v>44971</v>
      </c>
      <c r="E844" s="1">
        <v>85.58</v>
      </c>
      <c r="F844" s="1">
        <v>79.06</v>
      </c>
      <c r="G844" s="1">
        <v>2.9401000000000002</v>
      </c>
      <c r="H844" s="1">
        <v>2.4885000000000002</v>
      </c>
      <c r="I844" s="1">
        <v>2.5670000000000002</v>
      </c>
      <c r="J844" s="1">
        <v>5.1923000000000004</v>
      </c>
    </row>
    <row r="845" spans="2:10" x14ac:dyDescent="0.3">
      <c r="B845" s="10">
        <f t="shared" si="26"/>
        <v>2023</v>
      </c>
      <c r="C845" s="10">
        <f t="shared" si="27"/>
        <v>2</v>
      </c>
      <c r="D845" s="3">
        <v>44970</v>
      </c>
      <c r="E845" s="1">
        <v>86.61</v>
      </c>
      <c r="F845" s="1">
        <v>80.14</v>
      </c>
      <c r="G845" s="1">
        <v>2.9056999999999999</v>
      </c>
      <c r="H845" s="1">
        <v>2.5310999999999999</v>
      </c>
      <c r="I845" s="1">
        <v>2.4049999999999998</v>
      </c>
      <c r="J845" s="1">
        <v>5.1596000000000002</v>
      </c>
    </row>
    <row r="846" spans="2:10" x14ac:dyDescent="0.3">
      <c r="B846" s="10">
        <f t="shared" si="26"/>
        <v>2023</v>
      </c>
      <c r="C846" s="10">
        <f t="shared" si="27"/>
        <v>2</v>
      </c>
      <c r="D846" s="3">
        <v>44967</v>
      </c>
      <c r="E846" s="1">
        <v>86.39</v>
      </c>
      <c r="F846" s="1">
        <v>79.72</v>
      </c>
      <c r="G846" s="1">
        <v>2.8645999999999998</v>
      </c>
      <c r="H846" s="1">
        <v>2.5036999999999998</v>
      </c>
      <c r="I846" s="1">
        <v>2.5139999999999998</v>
      </c>
      <c r="J846" s="1">
        <v>5.2150999999999996</v>
      </c>
    </row>
    <row r="847" spans="2:10" x14ac:dyDescent="0.3">
      <c r="B847" s="10">
        <f t="shared" si="26"/>
        <v>2023</v>
      </c>
      <c r="C847" s="10">
        <f t="shared" si="27"/>
        <v>2</v>
      </c>
      <c r="D847" s="3">
        <v>44966</v>
      </c>
      <c r="E847" s="1">
        <v>84.5</v>
      </c>
      <c r="F847" s="1">
        <v>78.06</v>
      </c>
      <c r="G847" s="1">
        <v>2.8153999999999999</v>
      </c>
      <c r="H847" s="1">
        <v>2.4474999999999998</v>
      </c>
      <c r="I847" s="1">
        <v>2.4300000000000002</v>
      </c>
      <c r="J847" s="1">
        <v>5.2911000000000001</v>
      </c>
    </row>
    <row r="848" spans="2:10" x14ac:dyDescent="0.3">
      <c r="B848" s="10">
        <f t="shared" si="26"/>
        <v>2023</v>
      </c>
      <c r="C848" s="10">
        <f t="shared" si="27"/>
        <v>2</v>
      </c>
      <c r="D848" s="3">
        <v>44965</v>
      </c>
      <c r="E848" s="1">
        <v>85.09</v>
      </c>
      <c r="F848" s="1">
        <v>78.47</v>
      </c>
      <c r="G848" s="1">
        <v>2.8933</v>
      </c>
      <c r="H848" s="1">
        <v>2.4628000000000001</v>
      </c>
      <c r="I848" s="1">
        <v>2.3959999999999999</v>
      </c>
      <c r="J848" s="1">
        <v>5.2007000000000003</v>
      </c>
    </row>
    <row r="849" spans="2:10" x14ac:dyDescent="0.3">
      <c r="B849" s="10">
        <f t="shared" si="26"/>
        <v>2023</v>
      </c>
      <c r="C849" s="10">
        <f t="shared" si="27"/>
        <v>2</v>
      </c>
      <c r="D849" s="3">
        <v>44964</v>
      </c>
      <c r="E849" s="1">
        <v>83.69</v>
      </c>
      <c r="F849" s="1">
        <v>77.14</v>
      </c>
      <c r="G849" s="1">
        <v>2.9043999999999999</v>
      </c>
      <c r="H849" s="1">
        <v>2.4567999999999999</v>
      </c>
      <c r="I849" s="1">
        <v>2.5840000000000001</v>
      </c>
      <c r="J849" s="1">
        <v>5.2100999999999997</v>
      </c>
    </row>
    <row r="850" spans="2:10" x14ac:dyDescent="0.3">
      <c r="B850" s="10">
        <f t="shared" si="26"/>
        <v>2023</v>
      </c>
      <c r="C850" s="10">
        <f t="shared" si="27"/>
        <v>2</v>
      </c>
      <c r="D850" s="3">
        <v>44963</v>
      </c>
      <c r="E850" s="1">
        <v>80.989999999999995</v>
      </c>
      <c r="F850" s="1">
        <v>74.11</v>
      </c>
      <c r="G850" s="1">
        <v>2.7686999999999999</v>
      </c>
      <c r="H850" s="1">
        <v>2.3734000000000002</v>
      </c>
      <c r="I850" s="1">
        <v>2.4569999999999999</v>
      </c>
      <c r="J850" s="1">
        <v>5.1463999999999999</v>
      </c>
    </row>
    <row r="851" spans="2:10" x14ac:dyDescent="0.3">
      <c r="B851" s="10">
        <f t="shared" si="26"/>
        <v>2023</v>
      </c>
      <c r="C851" s="10">
        <f t="shared" si="27"/>
        <v>2</v>
      </c>
      <c r="D851" s="3">
        <v>44960</v>
      </c>
      <c r="E851" s="1">
        <v>79.94</v>
      </c>
      <c r="F851" s="1">
        <v>73.39</v>
      </c>
      <c r="G851" s="1">
        <v>2.7753000000000001</v>
      </c>
      <c r="H851" s="1">
        <v>2.3210000000000002</v>
      </c>
      <c r="I851" s="1">
        <v>2.41</v>
      </c>
      <c r="J851" s="1">
        <v>5.1521999999999997</v>
      </c>
    </row>
    <row r="852" spans="2:10" x14ac:dyDescent="0.3">
      <c r="B852" s="10">
        <f t="shared" si="26"/>
        <v>2023</v>
      </c>
      <c r="C852" s="10">
        <f t="shared" si="27"/>
        <v>2</v>
      </c>
      <c r="D852" s="3">
        <v>44959</v>
      </c>
      <c r="E852" s="1">
        <v>82.17</v>
      </c>
      <c r="F852" s="1">
        <v>75.88</v>
      </c>
      <c r="G852" s="1">
        <v>2.8967000000000001</v>
      </c>
      <c r="H852" s="1">
        <v>2.4523000000000001</v>
      </c>
      <c r="I852" s="1">
        <v>2.456</v>
      </c>
      <c r="J852" s="1">
        <v>5.0503999999999998</v>
      </c>
    </row>
    <row r="853" spans="2:10" x14ac:dyDescent="0.3">
      <c r="B853" s="10">
        <f t="shared" si="26"/>
        <v>2023</v>
      </c>
      <c r="C853" s="10">
        <f t="shared" si="27"/>
        <v>2</v>
      </c>
      <c r="D853" s="3">
        <v>44958</v>
      </c>
      <c r="E853" s="1">
        <v>82.84</v>
      </c>
      <c r="F853" s="1">
        <v>76.41</v>
      </c>
      <c r="G853" s="1">
        <v>2.9510999999999998</v>
      </c>
      <c r="H853" s="1">
        <v>2.4538000000000002</v>
      </c>
      <c r="I853" s="1">
        <v>2.468</v>
      </c>
      <c r="J853" s="1">
        <v>5.0547000000000004</v>
      </c>
    </row>
    <row r="854" spans="2:10" x14ac:dyDescent="0.3">
      <c r="B854" s="10">
        <f t="shared" si="26"/>
        <v>2023</v>
      </c>
      <c r="C854" s="10">
        <f t="shared" si="27"/>
        <v>1</v>
      </c>
      <c r="D854" s="3">
        <v>44957</v>
      </c>
      <c r="E854" s="1">
        <v>84.49</v>
      </c>
      <c r="F854" s="1">
        <v>78.87</v>
      </c>
      <c r="G854" s="1">
        <v>3.1823000000000001</v>
      </c>
      <c r="H854" s="1">
        <v>2.5434999999999999</v>
      </c>
      <c r="I854" s="1">
        <v>2.6840000000000002</v>
      </c>
      <c r="J854" s="1">
        <v>5.0731000000000002</v>
      </c>
    </row>
    <row r="855" spans="2:10" x14ac:dyDescent="0.3">
      <c r="B855" s="10">
        <f t="shared" si="26"/>
        <v>2023</v>
      </c>
      <c r="C855" s="10">
        <f t="shared" si="27"/>
        <v>1</v>
      </c>
      <c r="D855" s="3">
        <v>44956</v>
      </c>
      <c r="E855" s="1">
        <v>84.9</v>
      </c>
      <c r="F855" s="1">
        <v>77.900000000000006</v>
      </c>
      <c r="G855" s="1">
        <v>3.1107999999999998</v>
      </c>
      <c r="H855" s="1">
        <v>2.4988999999999999</v>
      </c>
      <c r="I855" s="1">
        <v>2.677</v>
      </c>
      <c r="J855" s="1">
        <v>5.1162000000000001</v>
      </c>
    </row>
    <row r="856" spans="2:10" x14ac:dyDescent="0.3">
      <c r="B856" s="10">
        <f t="shared" si="26"/>
        <v>2023</v>
      </c>
      <c r="C856" s="10">
        <f t="shared" si="27"/>
        <v>1</v>
      </c>
      <c r="D856" s="3">
        <v>44953</v>
      </c>
      <c r="E856" s="1">
        <v>86.66</v>
      </c>
      <c r="F856" s="1">
        <v>79.680000000000007</v>
      </c>
      <c r="G856" s="1">
        <v>3.2654999999999998</v>
      </c>
      <c r="H856" s="1">
        <v>2.5886</v>
      </c>
      <c r="I856" s="1">
        <v>3.109</v>
      </c>
      <c r="J856" s="1">
        <v>5.1089000000000002</v>
      </c>
    </row>
    <row r="857" spans="2:10" x14ac:dyDescent="0.3">
      <c r="B857" s="10">
        <f t="shared" si="26"/>
        <v>2023</v>
      </c>
      <c r="C857" s="10">
        <f t="shared" si="27"/>
        <v>1</v>
      </c>
      <c r="D857" s="3">
        <v>44952</v>
      </c>
      <c r="E857" s="1">
        <v>87.47</v>
      </c>
      <c r="F857" s="1">
        <v>81.010000000000005</v>
      </c>
      <c r="G857" s="1">
        <v>3.3965000000000001</v>
      </c>
      <c r="H857" s="1">
        <v>2.6120999999999999</v>
      </c>
      <c r="I857" s="1">
        <v>2.944</v>
      </c>
      <c r="J857" s="1">
        <v>5.0658000000000003</v>
      </c>
    </row>
    <row r="858" spans="2:10" x14ac:dyDescent="0.3">
      <c r="B858" s="10">
        <f t="shared" si="26"/>
        <v>2023</v>
      </c>
      <c r="C858" s="10">
        <f t="shared" si="27"/>
        <v>1</v>
      </c>
      <c r="D858" s="3">
        <v>44951</v>
      </c>
      <c r="E858" s="1">
        <v>86.12</v>
      </c>
      <c r="F858" s="1">
        <v>80.150000000000006</v>
      </c>
      <c r="G858" s="1">
        <v>3.3613</v>
      </c>
      <c r="H858" s="1">
        <v>2.5933999999999999</v>
      </c>
      <c r="I858" s="1">
        <v>3.0670000000000002</v>
      </c>
      <c r="J858" s="1">
        <v>5.0734000000000004</v>
      </c>
    </row>
    <row r="859" spans="2:10" x14ac:dyDescent="0.3">
      <c r="B859" s="10">
        <f t="shared" si="26"/>
        <v>2023</v>
      </c>
      <c r="C859" s="10">
        <f t="shared" si="27"/>
        <v>1</v>
      </c>
      <c r="D859" s="3">
        <v>44950</v>
      </c>
      <c r="E859" s="1">
        <v>86.13</v>
      </c>
      <c r="F859" s="1">
        <v>80.13</v>
      </c>
      <c r="G859" s="1">
        <v>3.4272</v>
      </c>
      <c r="H859" s="1">
        <v>2.6486999999999998</v>
      </c>
      <c r="I859" s="1">
        <v>3.258</v>
      </c>
      <c r="J859" s="1">
        <v>5.1391999999999998</v>
      </c>
    </row>
    <row r="860" spans="2:10" x14ac:dyDescent="0.3">
      <c r="B860" s="10">
        <f t="shared" si="26"/>
        <v>2023</v>
      </c>
      <c r="C860" s="10">
        <f t="shared" si="27"/>
        <v>1</v>
      </c>
      <c r="D860" s="3">
        <v>44949</v>
      </c>
      <c r="E860" s="1">
        <v>88.19</v>
      </c>
      <c r="F860" s="1">
        <v>81.62</v>
      </c>
      <c r="G860" s="1">
        <v>3.5508999999999999</v>
      </c>
      <c r="H860" s="1">
        <v>2.6964999999999999</v>
      </c>
      <c r="I860" s="1">
        <v>3.4470000000000001</v>
      </c>
      <c r="J860" s="1">
        <v>5.2076000000000002</v>
      </c>
    </row>
    <row r="861" spans="2:10" x14ac:dyDescent="0.3">
      <c r="B861" s="10">
        <f t="shared" si="26"/>
        <v>2023</v>
      </c>
      <c r="C861" s="10">
        <f t="shared" si="27"/>
        <v>1</v>
      </c>
      <c r="D861" s="3">
        <v>44946</v>
      </c>
      <c r="E861" s="1">
        <v>87.63</v>
      </c>
      <c r="F861" s="1">
        <v>81.31</v>
      </c>
      <c r="G861" s="1">
        <v>3.4668000000000001</v>
      </c>
      <c r="H861" s="1">
        <v>2.6454</v>
      </c>
      <c r="I861" s="1">
        <v>3.1739999999999999</v>
      </c>
      <c r="J861" s="1">
        <v>5.2073999999999998</v>
      </c>
    </row>
    <row r="862" spans="2:10" x14ac:dyDescent="0.3">
      <c r="B862" s="10">
        <f t="shared" si="26"/>
        <v>2023</v>
      </c>
      <c r="C862" s="10">
        <f t="shared" si="27"/>
        <v>1</v>
      </c>
      <c r="D862" s="3">
        <v>44945</v>
      </c>
      <c r="E862" s="1">
        <v>86.16</v>
      </c>
      <c r="F862" s="1">
        <v>80.33</v>
      </c>
      <c r="G862" s="1">
        <v>3.3759000000000001</v>
      </c>
      <c r="H862" s="1">
        <v>2.5968</v>
      </c>
      <c r="I862" s="1">
        <v>3.2749999999999999</v>
      </c>
      <c r="J862" s="1">
        <v>5.1741000000000001</v>
      </c>
    </row>
    <row r="863" spans="2:10" x14ac:dyDescent="0.3">
      <c r="B863" s="10">
        <f t="shared" si="26"/>
        <v>2023</v>
      </c>
      <c r="C863" s="10">
        <f t="shared" si="27"/>
        <v>1</v>
      </c>
      <c r="D863" s="3">
        <v>44944</v>
      </c>
      <c r="E863" s="1">
        <v>84.98</v>
      </c>
      <c r="F863" s="1">
        <v>79.48</v>
      </c>
      <c r="G863" s="1">
        <v>3.2629999999999999</v>
      </c>
      <c r="H863" s="1">
        <v>2.5234999999999999</v>
      </c>
      <c r="I863" s="1">
        <v>3.3109999999999999</v>
      </c>
      <c r="J863" s="1">
        <v>5.1863000000000001</v>
      </c>
    </row>
    <row r="864" spans="2:10" x14ac:dyDescent="0.3">
      <c r="B864" s="10">
        <f t="shared" si="26"/>
        <v>2023</v>
      </c>
      <c r="C864" s="10">
        <f t="shared" si="27"/>
        <v>1</v>
      </c>
      <c r="D864" s="3">
        <v>44943</v>
      </c>
      <c r="E864" s="1">
        <v>85.92</v>
      </c>
      <c r="F864" s="1">
        <v>80.180000000000007</v>
      </c>
      <c r="G864" s="1">
        <v>3.2509999999999999</v>
      </c>
      <c r="H864" s="1">
        <v>2.5451000000000001</v>
      </c>
      <c r="I864" s="1">
        <v>3.5859999999999999</v>
      </c>
      <c r="J864" s="1">
        <v>5.1002999999999998</v>
      </c>
    </row>
    <row r="865" spans="2:10" x14ac:dyDescent="0.3">
      <c r="B865" s="10">
        <f t="shared" si="26"/>
        <v>2023</v>
      </c>
      <c r="C865" s="10">
        <f t="shared" si="27"/>
        <v>1</v>
      </c>
      <c r="D865" s="3">
        <v>44942</v>
      </c>
      <c r="E865" s="1">
        <v>84.46</v>
      </c>
      <c r="J865" s="1">
        <v>5.1474000000000002</v>
      </c>
    </row>
    <row r="866" spans="2:10" x14ac:dyDescent="0.3">
      <c r="B866" s="10">
        <f t="shared" si="26"/>
        <v>2023</v>
      </c>
      <c r="C866" s="10">
        <f t="shared" si="27"/>
        <v>1</v>
      </c>
      <c r="D866" s="3">
        <v>44939</v>
      </c>
      <c r="E866" s="1">
        <v>85.28</v>
      </c>
      <c r="F866" s="1">
        <v>79.86</v>
      </c>
      <c r="G866" s="1">
        <v>3.2559</v>
      </c>
      <c r="H866" s="1">
        <v>2.5327999999999999</v>
      </c>
      <c r="I866" s="1">
        <v>3.419</v>
      </c>
      <c r="J866" s="1">
        <v>5.0956000000000001</v>
      </c>
    </row>
    <row r="867" spans="2:10" x14ac:dyDescent="0.3">
      <c r="B867" s="10">
        <f t="shared" si="26"/>
        <v>2023</v>
      </c>
      <c r="C867" s="10">
        <f t="shared" si="27"/>
        <v>1</v>
      </c>
      <c r="D867" s="3">
        <v>44938</v>
      </c>
      <c r="E867" s="1">
        <v>84.03</v>
      </c>
      <c r="F867" s="1">
        <v>78.39</v>
      </c>
      <c r="G867" s="1">
        <v>3.2189999999999999</v>
      </c>
      <c r="H867" s="1">
        <v>2.4752999999999998</v>
      </c>
      <c r="I867" s="1">
        <v>3.6949999999999998</v>
      </c>
      <c r="J867" s="1">
        <v>5.1082000000000001</v>
      </c>
    </row>
    <row r="868" spans="2:10" x14ac:dyDescent="0.3">
      <c r="B868" s="10">
        <f t="shared" si="26"/>
        <v>2023</v>
      </c>
      <c r="C868" s="10">
        <f t="shared" si="27"/>
        <v>1</v>
      </c>
      <c r="D868" s="3">
        <v>44937</v>
      </c>
      <c r="E868" s="1">
        <v>82.67</v>
      </c>
      <c r="F868" s="1">
        <v>77.41</v>
      </c>
      <c r="G868" s="1">
        <v>3.2179000000000002</v>
      </c>
      <c r="H868" s="1">
        <v>2.4344999999999999</v>
      </c>
      <c r="I868" s="1">
        <v>3.6709999999999998</v>
      </c>
      <c r="J868" s="1">
        <v>5.16</v>
      </c>
    </row>
    <row r="869" spans="2:10" x14ac:dyDescent="0.3">
      <c r="B869" s="10">
        <f t="shared" si="26"/>
        <v>2023</v>
      </c>
      <c r="C869" s="10">
        <f t="shared" si="27"/>
        <v>1</v>
      </c>
      <c r="D869" s="3">
        <v>44936</v>
      </c>
      <c r="E869" s="1">
        <v>80.099999999999994</v>
      </c>
      <c r="F869" s="1">
        <v>75.12</v>
      </c>
      <c r="G869" s="1">
        <v>3.1356999999999999</v>
      </c>
      <c r="H869" s="1">
        <v>2.3277000000000001</v>
      </c>
      <c r="I869" s="1">
        <v>3.6389999999999998</v>
      </c>
      <c r="J869" s="1">
        <v>5.1997</v>
      </c>
    </row>
    <row r="870" spans="2:10" x14ac:dyDescent="0.3">
      <c r="B870" s="10">
        <f t="shared" si="26"/>
        <v>2023</v>
      </c>
      <c r="C870" s="10">
        <f t="shared" si="27"/>
        <v>1</v>
      </c>
      <c r="D870" s="3">
        <v>44935</v>
      </c>
      <c r="E870" s="1">
        <v>79.650000000000006</v>
      </c>
      <c r="F870" s="1">
        <v>74.63</v>
      </c>
      <c r="G870" s="1">
        <v>3.036</v>
      </c>
      <c r="H870" s="1">
        <v>2.2928999999999999</v>
      </c>
      <c r="I870" s="1">
        <v>3.91</v>
      </c>
      <c r="J870" s="1">
        <v>5.2545999999999999</v>
      </c>
    </row>
    <row r="871" spans="2:10" x14ac:dyDescent="0.3">
      <c r="B871" s="10">
        <f t="shared" si="26"/>
        <v>2023</v>
      </c>
      <c r="C871" s="10">
        <f t="shared" si="27"/>
        <v>1</v>
      </c>
      <c r="D871" s="3">
        <v>44932</v>
      </c>
      <c r="E871" s="1">
        <v>78.569999999999993</v>
      </c>
      <c r="F871" s="1">
        <v>73.77</v>
      </c>
      <c r="G871" s="1">
        <v>3.0045000000000002</v>
      </c>
      <c r="H871" s="1">
        <v>2.2446000000000002</v>
      </c>
      <c r="I871" s="1">
        <v>3.71</v>
      </c>
      <c r="J871" s="1">
        <v>5.2253999999999996</v>
      </c>
    </row>
    <row r="872" spans="2:10" x14ac:dyDescent="0.3">
      <c r="B872" s="10">
        <f t="shared" si="26"/>
        <v>2023</v>
      </c>
      <c r="C872" s="10">
        <f t="shared" si="27"/>
        <v>1</v>
      </c>
      <c r="D872" s="3">
        <v>44931</v>
      </c>
      <c r="E872" s="1">
        <v>78.69</v>
      </c>
      <c r="F872" s="1">
        <v>73.67</v>
      </c>
      <c r="G872" s="1">
        <v>2.9723000000000002</v>
      </c>
      <c r="H872" s="1">
        <v>2.2671000000000001</v>
      </c>
      <c r="I872" s="1">
        <v>3.72</v>
      </c>
      <c r="J872" s="1">
        <v>5.3509000000000002</v>
      </c>
    </row>
    <row r="873" spans="2:10" x14ac:dyDescent="0.3">
      <c r="B873" s="10">
        <f t="shared" si="26"/>
        <v>2023</v>
      </c>
      <c r="C873" s="10">
        <f t="shared" si="27"/>
        <v>1</v>
      </c>
      <c r="D873" s="3">
        <v>44930</v>
      </c>
      <c r="E873" s="1">
        <v>77.84</v>
      </c>
      <c r="F873" s="1">
        <v>72.84</v>
      </c>
      <c r="G873" s="1">
        <v>2.9719000000000002</v>
      </c>
      <c r="H873" s="1">
        <v>2.2591999999999999</v>
      </c>
      <c r="I873" s="1">
        <v>4.1719999999999997</v>
      </c>
      <c r="J873" s="1">
        <v>5.4311999999999996</v>
      </c>
    </row>
    <row r="874" spans="2:10" x14ac:dyDescent="0.3">
      <c r="B874" s="10">
        <f t="shared" si="26"/>
        <v>2023</v>
      </c>
      <c r="C874" s="10">
        <f t="shared" si="27"/>
        <v>1</v>
      </c>
      <c r="D874" s="3">
        <v>44929</v>
      </c>
      <c r="E874" s="1">
        <v>82.1</v>
      </c>
      <c r="F874" s="1">
        <v>76.930000000000007</v>
      </c>
      <c r="G874" s="1">
        <v>3.0865</v>
      </c>
      <c r="H874" s="1">
        <v>2.3612000000000002</v>
      </c>
      <c r="I874" s="1">
        <v>3.988</v>
      </c>
      <c r="J874" s="1">
        <v>5.4797000000000002</v>
      </c>
    </row>
    <row r="875" spans="2:10" x14ac:dyDescent="0.3">
      <c r="B875" s="10">
        <f t="shared" si="26"/>
        <v>2023</v>
      </c>
      <c r="C875" s="10">
        <f t="shared" si="27"/>
        <v>1</v>
      </c>
      <c r="D875" s="3">
        <v>44928</v>
      </c>
      <c r="J875" s="1">
        <v>5.3632999999999997</v>
      </c>
    </row>
    <row r="876" spans="2:10" x14ac:dyDescent="0.3">
      <c r="B876" s="10">
        <f t="shared" si="26"/>
        <v>2022</v>
      </c>
      <c r="C876" s="10">
        <f t="shared" si="27"/>
        <v>12</v>
      </c>
      <c r="D876" s="3">
        <v>44925</v>
      </c>
      <c r="E876" s="1">
        <v>85.91</v>
      </c>
      <c r="F876" s="1">
        <v>80.260000000000005</v>
      </c>
      <c r="G876" s="1">
        <v>3.3622000000000001</v>
      </c>
      <c r="H876" s="1">
        <v>2.4594999999999998</v>
      </c>
      <c r="I876" s="1">
        <v>4.4749999999999996</v>
      </c>
      <c r="J876" s="1">
        <v>5.2859999999999996</v>
      </c>
    </row>
    <row r="877" spans="2:10" x14ac:dyDescent="0.3">
      <c r="B877" s="10">
        <f t="shared" si="26"/>
        <v>2022</v>
      </c>
      <c r="C877" s="10">
        <f t="shared" si="27"/>
        <v>12</v>
      </c>
      <c r="D877" s="3">
        <v>44924</v>
      </c>
      <c r="E877" s="1">
        <v>82.26</v>
      </c>
      <c r="F877" s="1">
        <v>78.400000000000006</v>
      </c>
      <c r="G877" s="1">
        <v>3.3130000000000002</v>
      </c>
      <c r="H877" s="1">
        <v>2.3706999999999998</v>
      </c>
      <c r="I877" s="1">
        <v>4.5590000000000002</v>
      </c>
      <c r="J877" s="1">
        <v>5.2859999999999996</v>
      </c>
    </row>
    <row r="878" spans="2:10" x14ac:dyDescent="0.3">
      <c r="B878" s="10">
        <f t="shared" si="26"/>
        <v>2022</v>
      </c>
      <c r="C878" s="10">
        <f t="shared" si="27"/>
        <v>12</v>
      </c>
      <c r="D878" s="3">
        <v>44923</v>
      </c>
      <c r="E878" s="1">
        <v>83.26</v>
      </c>
      <c r="F878" s="1">
        <v>78.959999999999994</v>
      </c>
      <c r="G878" s="1">
        <v>3.3778000000000001</v>
      </c>
      <c r="H878" s="1">
        <v>2.3628999999999998</v>
      </c>
      <c r="I878" s="1">
        <v>4.7089999999999996</v>
      </c>
      <c r="J878" s="1">
        <v>5.2675999999999998</v>
      </c>
    </row>
    <row r="879" spans="2:10" x14ac:dyDescent="0.3">
      <c r="B879" s="10">
        <f t="shared" si="26"/>
        <v>2022</v>
      </c>
      <c r="C879" s="10">
        <f t="shared" si="27"/>
        <v>12</v>
      </c>
      <c r="D879" s="3">
        <v>44922</v>
      </c>
      <c r="E879" s="1">
        <v>84.33</v>
      </c>
      <c r="F879" s="1">
        <v>79.53</v>
      </c>
      <c r="G879" s="1">
        <v>3.3536999999999999</v>
      </c>
      <c r="H879" s="1">
        <v>2.3601999999999999</v>
      </c>
      <c r="I879" s="1">
        <v>5.282</v>
      </c>
      <c r="J879" s="1">
        <v>5.2927999999999997</v>
      </c>
    </row>
    <row r="880" spans="2:10" x14ac:dyDescent="0.3">
      <c r="B880" s="10">
        <f t="shared" si="26"/>
        <v>2022</v>
      </c>
      <c r="C880" s="10">
        <f t="shared" si="27"/>
        <v>12</v>
      </c>
      <c r="D880" s="3">
        <v>44921</v>
      </c>
      <c r="J880" s="1">
        <v>5.2186000000000003</v>
      </c>
    </row>
    <row r="881" spans="2:10" x14ac:dyDescent="0.3">
      <c r="B881" s="10">
        <f t="shared" si="26"/>
        <v>2022</v>
      </c>
      <c r="C881" s="10">
        <f t="shared" si="27"/>
        <v>12</v>
      </c>
      <c r="D881" s="3">
        <v>44918</v>
      </c>
      <c r="E881" s="1">
        <v>83.92</v>
      </c>
      <c r="F881" s="1">
        <v>79.56</v>
      </c>
      <c r="G881" s="1">
        <v>3.2660999999999998</v>
      </c>
      <c r="H881" s="1">
        <v>2.3835999999999999</v>
      </c>
      <c r="I881" s="1">
        <v>5.0789999999999997</v>
      </c>
      <c r="J881" s="1">
        <v>5.1651999999999996</v>
      </c>
    </row>
    <row r="882" spans="2:10" x14ac:dyDescent="0.3">
      <c r="B882" s="10">
        <f t="shared" si="26"/>
        <v>2022</v>
      </c>
      <c r="C882" s="10">
        <f t="shared" si="27"/>
        <v>12</v>
      </c>
      <c r="D882" s="3">
        <v>44917</v>
      </c>
      <c r="E882" s="1">
        <v>80.98</v>
      </c>
      <c r="F882" s="1">
        <v>77.489999999999995</v>
      </c>
      <c r="G882" s="1">
        <v>3.1314000000000002</v>
      </c>
      <c r="H882" s="1">
        <v>2.2488000000000001</v>
      </c>
      <c r="I882" s="1">
        <v>4.9989999999999997</v>
      </c>
      <c r="J882" s="1">
        <v>5.1665000000000001</v>
      </c>
    </row>
    <row r="883" spans="2:10" x14ac:dyDescent="0.3">
      <c r="B883" s="10">
        <f t="shared" si="26"/>
        <v>2022</v>
      </c>
      <c r="C883" s="10">
        <f t="shared" si="27"/>
        <v>12</v>
      </c>
      <c r="D883" s="3">
        <v>44916</v>
      </c>
      <c r="E883" s="1">
        <v>82.2</v>
      </c>
      <c r="F883" s="1">
        <v>78.290000000000006</v>
      </c>
      <c r="G883" s="1">
        <v>3.1395</v>
      </c>
      <c r="H883" s="1">
        <v>2.2557999999999998</v>
      </c>
      <c r="I883" s="1">
        <v>5.3319999999999999</v>
      </c>
      <c r="J883" s="1">
        <v>5.2008999999999999</v>
      </c>
    </row>
    <row r="884" spans="2:10" x14ac:dyDescent="0.3">
      <c r="B884" s="10">
        <f t="shared" si="26"/>
        <v>2022</v>
      </c>
      <c r="C884" s="10">
        <f t="shared" si="27"/>
        <v>12</v>
      </c>
      <c r="D884" s="3">
        <v>44915</v>
      </c>
      <c r="E884" s="1">
        <v>79.989999999999995</v>
      </c>
      <c r="F884" s="1">
        <v>76.09</v>
      </c>
      <c r="G884" s="1">
        <v>3.0589</v>
      </c>
      <c r="H884" s="1">
        <v>2.2227999999999999</v>
      </c>
      <c r="I884" s="1">
        <v>5.3259999999999996</v>
      </c>
      <c r="J884" s="1">
        <v>5.1996000000000002</v>
      </c>
    </row>
    <row r="885" spans="2:10" x14ac:dyDescent="0.3">
      <c r="B885" s="10">
        <f t="shared" si="26"/>
        <v>2022</v>
      </c>
      <c r="C885" s="10">
        <f t="shared" si="27"/>
        <v>12</v>
      </c>
      <c r="D885" s="3">
        <v>44914</v>
      </c>
      <c r="E885" s="1">
        <v>79.8</v>
      </c>
      <c r="F885" s="1">
        <v>75.19</v>
      </c>
      <c r="G885" s="1">
        <v>3.0535000000000001</v>
      </c>
      <c r="H885" s="1">
        <v>2.1776</v>
      </c>
      <c r="I885" s="1">
        <v>5.851</v>
      </c>
      <c r="J885" s="1">
        <v>5.2930000000000001</v>
      </c>
    </row>
    <row r="886" spans="2:10" x14ac:dyDescent="0.3">
      <c r="B886" s="10">
        <f t="shared" si="26"/>
        <v>2022</v>
      </c>
      <c r="C886" s="10">
        <f t="shared" si="27"/>
        <v>12</v>
      </c>
      <c r="D886" s="3">
        <v>44911</v>
      </c>
      <c r="E886" s="1">
        <v>79.040000000000006</v>
      </c>
      <c r="F886" s="1">
        <v>74.290000000000006</v>
      </c>
      <c r="G886" s="1">
        <v>3.1198999999999999</v>
      </c>
      <c r="H886" s="1">
        <v>2.1322999999999999</v>
      </c>
      <c r="I886" s="1">
        <v>6.6</v>
      </c>
      <c r="J886" s="1">
        <v>5.3140000000000001</v>
      </c>
    </row>
    <row r="887" spans="2:10" x14ac:dyDescent="0.3">
      <c r="B887" s="10">
        <f t="shared" si="26"/>
        <v>2022</v>
      </c>
      <c r="C887" s="10">
        <f t="shared" si="27"/>
        <v>12</v>
      </c>
      <c r="D887" s="3">
        <v>44910</v>
      </c>
      <c r="E887" s="1">
        <v>81.209999999999994</v>
      </c>
      <c r="F887" s="1">
        <v>76.11</v>
      </c>
      <c r="G887" s="1">
        <v>3.2833999999999999</v>
      </c>
      <c r="H887" s="1">
        <v>2.1667999999999998</v>
      </c>
      <c r="I887" s="1">
        <v>6.97</v>
      </c>
      <c r="J887" s="1">
        <v>5.3129999999999997</v>
      </c>
    </row>
    <row r="888" spans="2:10" x14ac:dyDescent="0.3">
      <c r="B888" s="10">
        <f t="shared" si="26"/>
        <v>2022</v>
      </c>
      <c r="C888" s="10">
        <f t="shared" si="27"/>
        <v>12</v>
      </c>
      <c r="D888" s="3">
        <v>44909</v>
      </c>
      <c r="E888" s="1">
        <v>82.7</v>
      </c>
      <c r="F888" s="1">
        <v>77.28</v>
      </c>
      <c r="G888" s="1">
        <v>3.2768000000000002</v>
      </c>
      <c r="H888" s="1">
        <v>2.2444000000000002</v>
      </c>
      <c r="I888" s="1">
        <v>6.43</v>
      </c>
      <c r="J888" s="1">
        <v>5.2786999999999997</v>
      </c>
    </row>
    <row r="889" spans="2:10" x14ac:dyDescent="0.3">
      <c r="B889" s="10">
        <f t="shared" si="26"/>
        <v>2022</v>
      </c>
      <c r="C889" s="10">
        <f t="shared" si="27"/>
        <v>12</v>
      </c>
      <c r="D889" s="3">
        <v>44908</v>
      </c>
      <c r="E889" s="1">
        <v>80.680000000000007</v>
      </c>
      <c r="F889" s="1">
        <v>75.39</v>
      </c>
      <c r="G889" s="1">
        <v>3.0922000000000001</v>
      </c>
      <c r="H889" s="1">
        <v>2.1608999999999998</v>
      </c>
      <c r="I889" s="1">
        <v>6.9349999999999996</v>
      </c>
      <c r="J889" s="1">
        <v>5.2938000000000001</v>
      </c>
    </row>
    <row r="890" spans="2:10" x14ac:dyDescent="0.3">
      <c r="B890" s="10">
        <f t="shared" si="26"/>
        <v>2022</v>
      </c>
      <c r="C890" s="10">
        <f t="shared" si="27"/>
        <v>12</v>
      </c>
      <c r="D890" s="3">
        <v>44907</v>
      </c>
      <c r="E890" s="1">
        <v>77.989999999999995</v>
      </c>
      <c r="F890" s="1">
        <v>73.17</v>
      </c>
      <c r="G890" s="1">
        <v>2.9685000000000001</v>
      </c>
      <c r="H890" s="1">
        <v>2.081</v>
      </c>
      <c r="I890" s="1">
        <v>6.5869999999999997</v>
      </c>
      <c r="J890" s="1">
        <v>5.3226000000000004</v>
      </c>
    </row>
    <row r="891" spans="2:10" x14ac:dyDescent="0.3">
      <c r="B891" s="10">
        <f t="shared" si="26"/>
        <v>2022</v>
      </c>
      <c r="C891" s="10">
        <f t="shared" si="27"/>
        <v>12</v>
      </c>
      <c r="D891" s="3">
        <v>44904</v>
      </c>
      <c r="E891" s="1">
        <v>76.099999999999994</v>
      </c>
      <c r="F891" s="1">
        <v>71.02</v>
      </c>
      <c r="G891" s="1">
        <v>2.7936999999999999</v>
      </c>
      <c r="H891" s="1">
        <v>2.0560999999999998</v>
      </c>
      <c r="I891" s="1">
        <v>6.2450000000000001</v>
      </c>
      <c r="J891" s="1">
        <v>5.24</v>
      </c>
    </row>
    <row r="892" spans="2:10" x14ac:dyDescent="0.3">
      <c r="B892" s="10">
        <f t="shared" si="26"/>
        <v>2022</v>
      </c>
      <c r="C892" s="10">
        <f t="shared" si="27"/>
        <v>12</v>
      </c>
      <c r="D892" s="3">
        <v>44903</v>
      </c>
      <c r="E892" s="1">
        <v>76.150000000000006</v>
      </c>
      <c r="F892" s="1">
        <v>71.459999999999994</v>
      </c>
      <c r="G892" s="1">
        <v>2.8797999999999999</v>
      </c>
      <c r="H892" s="1">
        <v>2.0491000000000001</v>
      </c>
      <c r="I892" s="1">
        <v>5.9619999999999997</v>
      </c>
      <c r="J892" s="1">
        <v>5.2252999999999998</v>
      </c>
    </row>
    <row r="893" spans="2:10" x14ac:dyDescent="0.3">
      <c r="B893" s="10">
        <f t="shared" si="26"/>
        <v>2022</v>
      </c>
      <c r="C893" s="10">
        <f t="shared" si="27"/>
        <v>12</v>
      </c>
      <c r="D893" s="3">
        <v>44902</v>
      </c>
      <c r="E893" s="1">
        <v>77.17</v>
      </c>
      <c r="F893" s="1">
        <v>72.010000000000005</v>
      </c>
      <c r="G893" s="1">
        <v>2.7805</v>
      </c>
      <c r="H893" s="1">
        <v>2.0771999999999999</v>
      </c>
      <c r="I893" s="1">
        <v>5.7229999999999999</v>
      </c>
      <c r="J893" s="1">
        <v>5.2047999999999996</v>
      </c>
    </row>
    <row r="894" spans="2:10" x14ac:dyDescent="0.3">
      <c r="B894" s="10">
        <f t="shared" si="26"/>
        <v>2022</v>
      </c>
      <c r="C894" s="10">
        <f t="shared" si="27"/>
        <v>12</v>
      </c>
      <c r="D894" s="3">
        <v>44901</v>
      </c>
      <c r="E894" s="1">
        <v>79.349999999999994</v>
      </c>
      <c r="F894" s="1">
        <v>74.25</v>
      </c>
      <c r="G894" s="1">
        <v>2.9155000000000002</v>
      </c>
      <c r="H894" s="1">
        <v>2.1490999999999998</v>
      </c>
      <c r="I894" s="1">
        <v>5.4690000000000003</v>
      </c>
      <c r="J894" s="1">
        <v>5.2351999999999999</v>
      </c>
    </row>
    <row r="895" spans="2:10" x14ac:dyDescent="0.3">
      <c r="B895" s="10">
        <f t="shared" si="26"/>
        <v>2022</v>
      </c>
      <c r="C895" s="10">
        <f t="shared" si="27"/>
        <v>12</v>
      </c>
      <c r="D895" s="3">
        <v>44900</v>
      </c>
      <c r="E895" s="1">
        <v>82.68</v>
      </c>
      <c r="F895" s="1">
        <v>76.930000000000007</v>
      </c>
      <c r="G895" s="1">
        <v>2.9998</v>
      </c>
      <c r="H895" s="1">
        <v>2.2019000000000002</v>
      </c>
      <c r="I895" s="1">
        <v>5.577</v>
      </c>
      <c r="J895" s="1">
        <v>5.2808999999999999</v>
      </c>
    </row>
    <row r="896" spans="2:10" x14ac:dyDescent="0.3">
      <c r="B896" s="10">
        <f t="shared" si="26"/>
        <v>2022</v>
      </c>
      <c r="C896" s="10">
        <f t="shared" si="27"/>
        <v>12</v>
      </c>
      <c r="D896" s="3">
        <v>44897</v>
      </c>
      <c r="E896" s="1">
        <v>85.57</v>
      </c>
      <c r="F896" s="1">
        <v>79.98</v>
      </c>
      <c r="G896" s="1">
        <v>3.1684999999999999</v>
      </c>
      <c r="H896" s="1">
        <v>2.2804000000000002</v>
      </c>
      <c r="I896" s="1">
        <v>6.2809999999999997</v>
      </c>
      <c r="J896" s="1">
        <v>5.2188999999999997</v>
      </c>
    </row>
    <row r="897" spans="2:10" x14ac:dyDescent="0.3">
      <c r="B897" s="10">
        <f t="shared" si="26"/>
        <v>2022</v>
      </c>
      <c r="C897" s="10">
        <f t="shared" si="27"/>
        <v>12</v>
      </c>
      <c r="D897" s="3">
        <v>44896</v>
      </c>
      <c r="E897" s="1">
        <v>86.88</v>
      </c>
      <c r="F897" s="1">
        <v>81.22</v>
      </c>
      <c r="G897" s="1">
        <v>3.2624</v>
      </c>
      <c r="H897" s="1">
        <v>2.3420000000000001</v>
      </c>
      <c r="I897" s="1">
        <v>6.7380000000000004</v>
      </c>
      <c r="J897" s="1">
        <v>5.1848000000000001</v>
      </c>
    </row>
    <row r="898" spans="2:10" x14ac:dyDescent="0.3">
      <c r="B898" s="10">
        <f t="shared" si="26"/>
        <v>2022</v>
      </c>
      <c r="C898" s="10">
        <f t="shared" si="27"/>
        <v>11</v>
      </c>
      <c r="D898" s="3">
        <v>44895</v>
      </c>
      <c r="E898" s="1">
        <v>85.43</v>
      </c>
      <c r="F898" s="1">
        <v>80.55</v>
      </c>
      <c r="G898" s="1">
        <v>3.3628999999999998</v>
      </c>
      <c r="H898" s="1">
        <v>2.4184999999999999</v>
      </c>
      <c r="I898" s="1">
        <v>6.93</v>
      </c>
      <c r="J898" s="1">
        <v>5.1851000000000003</v>
      </c>
    </row>
    <row r="899" spans="2:10" x14ac:dyDescent="0.3">
      <c r="B899" s="10">
        <f t="shared" si="26"/>
        <v>2022</v>
      </c>
      <c r="C899" s="10">
        <f t="shared" si="27"/>
        <v>11</v>
      </c>
      <c r="D899" s="3">
        <v>44894</v>
      </c>
      <c r="E899" s="1">
        <v>83.03</v>
      </c>
      <c r="F899" s="1">
        <v>78.2</v>
      </c>
      <c r="G899" s="1">
        <v>3.2959000000000001</v>
      </c>
      <c r="H899" s="1">
        <v>2.3321000000000001</v>
      </c>
      <c r="I899" s="1">
        <v>7.2350000000000003</v>
      </c>
      <c r="J899" s="1">
        <v>5.2694999999999999</v>
      </c>
    </row>
    <row r="900" spans="2:10" x14ac:dyDescent="0.3">
      <c r="B900" s="10">
        <f t="shared" si="26"/>
        <v>2022</v>
      </c>
      <c r="C900" s="10">
        <f t="shared" si="27"/>
        <v>11</v>
      </c>
      <c r="D900" s="3">
        <v>44893</v>
      </c>
      <c r="E900" s="1">
        <v>83.19</v>
      </c>
      <c r="F900" s="1">
        <v>77.239999999999995</v>
      </c>
      <c r="G900" s="1">
        <v>3.2153999999999998</v>
      </c>
      <c r="H900" s="1">
        <v>2.3306</v>
      </c>
      <c r="I900" s="1">
        <v>6.7119999999999997</v>
      </c>
      <c r="J900" s="1">
        <v>5.3654000000000002</v>
      </c>
    </row>
    <row r="901" spans="2:10" x14ac:dyDescent="0.3">
      <c r="B901" s="10">
        <f t="shared" si="26"/>
        <v>2022</v>
      </c>
      <c r="C901" s="10">
        <f t="shared" si="27"/>
        <v>11</v>
      </c>
      <c r="D901" s="3">
        <v>44890</v>
      </c>
      <c r="E901" s="1">
        <v>83.63</v>
      </c>
      <c r="F901" s="1">
        <v>76.28</v>
      </c>
      <c r="G901" s="1">
        <v>3.2391000000000001</v>
      </c>
      <c r="H901" s="1">
        <v>2.3281999999999998</v>
      </c>
      <c r="I901" s="1">
        <v>7.024</v>
      </c>
      <c r="J901" s="1">
        <v>5.4097999999999997</v>
      </c>
    </row>
    <row r="902" spans="2:10" x14ac:dyDescent="0.3">
      <c r="B902" s="10">
        <f t="shared" ref="B902:B965" si="28">YEAR(D902)</f>
        <v>2022</v>
      </c>
      <c r="C902" s="10">
        <f t="shared" ref="C902:C965" si="29">MONTH(D902)</f>
        <v>11</v>
      </c>
      <c r="D902" s="3">
        <v>44889</v>
      </c>
      <c r="E902" s="1">
        <v>85.34</v>
      </c>
      <c r="J902" s="1">
        <v>5.3208000000000002</v>
      </c>
    </row>
    <row r="903" spans="2:10" x14ac:dyDescent="0.3">
      <c r="B903" s="10">
        <f t="shared" si="28"/>
        <v>2022</v>
      </c>
      <c r="C903" s="10">
        <f t="shared" si="29"/>
        <v>11</v>
      </c>
      <c r="D903" s="3">
        <v>44888</v>
      </c>
      <c r="E903" s="1">
        <v>85.41</v>
      </c>
      <c r="F903" s="1">
        <v>77.94</v>
      </c>
      <c r="G903" s="1">
        <v>3.3593000000000002</v>
      </c>
      <c r="H903" s="1">
        <v>2.4744000000000002</v>
      </c>
      <c r="I903" s="1">
        <v>7.3079999999999998</v>
      </c>
      <c r="J903" s="1">
        <v>5.3590999999999998</v>
      </c>
    </row>
    <row r="904" spans="2:10" x14ac:dyDescent="0.3">
      <c r="B904" s="10">
        <f t="shared" si="28"/>
        <v>2022</v>
      </c>
      <c r="C904" s="10">
        <f t="shared" si="29"/>
        <v>11</v>
      </c>
      <c r="D904" s="3">
        <v>44887</v>
      </c>
      <c r="E904" s="1">
        <v>88.36</v>
      </c>
      <c r="F904" s="1">
        <v>80.95</v>
      </c>
      <c r="G904" s="1">
        <v>3.4712999999999998</v>
      </c>
      <c r="H904" s="1">
        <v>2.5405000000000002</v>
      </c>
      <c r="I904" s="1">
        <v>6.7789999999999999</v>
      </c>
      <c r="J904" s="1">
        <v>5.3586</v>
      </c>
    </row>
    <row r="905" spans="2:10" x14ac:dyDescent="0.3">
      <c r="B905" s="10">
        <f t="shared" si="28"/>
        <v>2022</v>
      </c>
      <c r="C905" s="10">
        <f t="shared" si="29"/>
        <v>11</v>
      </c>
      <c r="D905" s="3">
        <v>44886</v>
      </c>
      <c r="E905" s="1">
        <v>87.45</v>
      </c>
      <c r="F905" s="1">
        <v>79.73</v>
      </c>
      <c r="G905" s="1">
        <v>3.4973000000000001</v>
      </c>
      <c r="H905" s="1">
        <v>2.4371</v>
      </c>
      <c r="I905" s="1">
        <v>6.7759999999999998</v>
      </c>
      <c r="J905" s="1">
        <v>5.32</v>
      </c>
    </row>
    <row r="906" spans="2:10" x14ac:dyDescent="0.3">
      <c r="B906" s="10">
        <f t="shared" si="28"/>
        <v>2022</v>
      </c>
      <c r="C906" s="10">
        <f t="shared" si="29"/>
        <v>11</v>
      </c>
      <c r="D906" s="3">
        <v>44883</v>
      </c>
      <c r="E906" s="1">
        <v>87.62</v>
      </c>
      <c r="F906" s="1">
        <v>80.08</v>
      </c>
      <c r="G906" s="1">
        <v>3.5181</v>
      </c>
      <c r="H906" s="1">
        <v>2.4207999999999998</v>
      </c>
      <c r="I906" s="1">
        <v>6.3029999999999999</v>
      </c>
      <c r="J906" s="1">
        <v>5.3826999999999998</v>
      </c>
    </row>
    <row r="907" spans="2:10" x14ac:dyDescent="0.3">
      <c r="B907" s="10">
        <f t="shared" si="28"/>
        <v>2022</v>
      </c>
      <c r="C907" s="10">
        <f t="shared" si="29"/>
        <v>11</v>
      </c>
      <c r="D907" s="3">
        <v>44882</v>
      </c>
      <c r="E907" s="1">
        <v>89.78</v>
      </c>
      <c r="F907" s="1">
        <v>81.64</v>
      </c>
      <c r="G907" s="1">
        <v>3.5247999999999999</v>
      </c>
      <c r="H907" s="1">
        <v>2.4546999999999999</v>
      </c>
      <c r="I907" s="1">
        <v>6.3689999999999998</v>
      </c>
      <c r="J907" s="1">
        <v>5.4230999999999998</v>
      </c>
    </row>
    <row r="908" spans="2:10" x14ac:dyDescent="0.3">
      <c r="B908" s="10">
        <f t="shared" si="28"/>
        <v>2022</v>
      </c>
      <c r="C908" s="10">
        <f t="shared" si="29"/>
        <v>11</v>
      </c>
      <c r="D908" s="3">
        <v>44881</v>
      </c>
      <c r="E908" s="1">
        <v>92.86</v>
      </c>
      <c r="F908" s="1">
        <v>85.59</v>
      </c>
      <c r="G908" s="1">
        <v>3.6135999999999999</v>
      </c>
      <c r="H908" s="1">
        <v>2.508</v>
      </c>
      <c r="I908" s="1">
        <v>6.2</v>
      </c>
      <c r="J908" s="1">
        <v>5.3997999999999999</v>
      </c>
    </row>
    <row r="909" spans="2:10" x14ac:dyDescent="0.3">
      <c r="B909" s="10">
        <f t="shared" si="28"/>
        <v>2022</v>
      </c>
      <c r="C909" s="10">
        <f t="shared" si="29"/>
        <v>11</v>
      </c>
      <c r="D909" s="3">
        <v>44880</v>
      </c>
      <c r="E909" s="1">
        <v>93.86</v>
      </c>
      <c r="F909" s="1">
        <v>86.92</v>
      </c>
      <c r="G909" s="1">
        <v>3.6413000000000002</v>
      </c>
      <c r="H909" s="1">
        <v>2.5160999999999998</v>
      </c>
      <c r="I909" s="1">
        <v>6.0339999999999998</v>
      </c>
      <c r="J909" s="1">
        <v>5.3324999999999996</v>
      </c>
    </row>
    <row r="910" spans="2:10" x14ac:dyDescent="0.3">
      <c r="B910" s="10">
        <f t="shared" si="28"/>
        <v>2022</v>
      </c>
      <c r="C910" s="10">
        <f t="shared" si="29"/>
        <v>11</v>
      </c>
      <c r="D910" s="3">
        <v>44879</v>
      </c>
      <c r="E910" s="1">
        <v>93.14</v>
      </c>
      <c r="F910" s="1">
        <v>85.87</v>
      </c>
      <c r="G910" s="1">
        <v>3.544</v>
      </c>
      <c r="H910" s="1">
        <v>2.5285000000000002</v>
      </c>
      <c r="I910" s="1">
        <v>5.9329999999999998</v>
      </c>
      <c r="J910" s="1">
        <v>5.3320999999999996</v>
      </c>
    </row>
    <row r="911" spans="2:10" x14ac:dyDescent="0.3">
      <c r="B911" s="10">
        <f t="shared" si="28"/>
        <v>2022</v>
      </c>
      <c r="C911" s="10">
        <f t="shared" si="29"/>
        <v>11</v>
      </c>
      <c r="D911" s="3">
        <v>44876</v>
      </c>
      <c r="E911" s="1">
        <v>95.99</v>
      </c>
      <c r="F911" s="1">
        <v>88.96</v>
      </c>
      <c r="G911" s="1">
        <v>3.5552999999999999</v>
      </c>
      <c r="H911" s="1">
        <v>2.6095999999999999</v>
      </c>
      <c r="I911" s="1">
        <v>5.8789999999999996</v>
      </c>
      <c r="J911" s="1">
        <v>5.3250000000000002</v>
      </c>
    </row>
    <row r="912" spans="2:10" x14ac:dyDescent="0.3">
      <c r="B912" s="10">
        <f t="shared" si="28"/>
        <v>2022</v>
      </c>
      <c r="C912" s="10">
        <f t="shared" si="29"/>
        <v>11</v>
      </c>
      <c r="D912" s="3">
        <v>44875</v>
      </c>
      <c r="E912" s="1">
        <v>93.67</v>
      </c>
      <c r="F912" s="1">
        <v>86.47</v>
      </c>
      <c r="G912" s="1">
        <v>3.5693999999999999</v>
      </c>
      <c r="H912" s="1">
        <v>2.5663</v>
      </c>
      <c r="I912" s="1">
        <v>6.2389999999999999</v>
      </c>
      <c r="J912" s="1">
        <v>5.3449</v>
      </c>
    </row>
    <row r="913" spans="2:10" x14ac:dyDescent="0.3">
      <c r="B913" s="10">
        <f t="shared" si="28"/>
        <v>2022</v>
      </c>
      <c r="C913" s="10">
        <f t="shared" si="29"/>
        <v>11</v>
      </c>
      <c r="D913" s="3">
        <v>44874</v>
      </c>
      <c r="E913" s="1">
        <v>92.65</v>
      </c>
      <c r="F913" s="1">
        <v>85.83</v>
      </c>
      <c r="G913" s="1">
        <v>3.6562999999999999</v>
      </c>
      <c r="H913" s="1">
        <v>2.5446</v>
      </c>
      <c r="I913" s="1">
        <v>5.8650000000000002</v>
      </c>
      <c r="J913" s="1">
        <v>5.1863999999999999</v>
      </c>
    </row>
    <row r="914" spans="2:10" x14ac:dyDescent="0.3">
      <c r="B914" s="10">
        <f t="shared" si="28"/>
        <v>2022</v>
      </c>
      <c r="C914" s="10">
        <f t="shared" si="29"/>
        <v>11</v>
      </c>
      <c r="D914" s="3">
        <v>44873</v>
      </c>
      <c r="E914" s="1">
        <v>95.36</v>
      </c>
      <c r="F914" s="1">
        <v>88.91</v>
      </c>
      <c r="G914" s="1">
        <v>3.7707000000000002</v>
      </c>
      <c r="H914" s="1">
        <v>2.6366999999999998</v>
      </c>
      <c r="I914" s="1">
        <v>6.1379999999999999</v>
      </c>
      <c r="J914" s="1">
        <v>5.1440000000000001</v>
      </c>
    </row>
    <row r="915" spans="2:10" x14ac:dyDescent="0.3">
      <c r="B915" s="10">
        <f t="shared" si="28"/>
        <v>2022</v>
      </c>
      <c r="C915" s="10">
        <f t="shared" si="29"/>
        <v>11</v>
      </c>
      <c r="D915" s="3">
        <v>44872</v>
      </c>
      <c r="E915" s="1">
        <v>97.92</v>
      </c>
      <c r="F915" s="1">
        <v>91.79</v>
      </c>
      <c r="G915" s="1">
        <v>3.7810999999999999</v>
      </c>
      <c r="H915" s="1">
        <v>2.6530999999999998</v>
      </c>
      <c r="I915" s="1">
        <v>6.944</v>
      </c>
      <c r="J915" s="1">
        <v>5.1566999999999998</v>
      </c>
    </row>
    <row r="916" spans="2:10" x14ac:dyDescent="0.3">
      <c r="B916" s="10">
        <f t="shared" si="28"/>
        <v>2022</v>
      </c>
      <c r="C916" s="10">
        <f t="shared" si="29"/>
        <v>11</v>
      </c>
      <c r="D916" s="3">
        <v>44869</v>
      </c>
      <c r="E916" s="1">
        <v>98.57</v>
      </c>
      <c r="F916" s="1">
        <v>92.61</v>
      </c>
      <c r="G916" s="1">
        <v>3.9148000000000001</v>
      </c>
      <c r="H916" s="1">
        <v>2.7347999999999999</v>
      </c>
      <c r="I916" s="1">
        <v>6.4</v>
      </c>
      <c r="J916" s="1">
        <v>5.0556999999999999</v>
      </c>
    </row>
    <row r="917" spans="2:10" x14ac:dyDescent="0.3">
      <c r="B917" s="10">
        <f t="shared" si="28"/>
        <v>2022</v>
      </c>
      <c r="C917" s="10">
        <f t="shared" si="29"/>
        <v>11</v>
      </c>
      <c r="D917" s="3">
        <v>44868</v>
      </c>
      <c r="E917" s="1">
        <v>94.67</v>
      </c>
      <c r="F917" s="1">
        <v>88.17</v>
      </c>
      <c r="G917" s="1">
        <v>3.8653</v>
      </c>
      <c r="H917" s="1">
        <v>2.6939000000000002</v>
      </c>
      <c r="I917" s="1">
        <v>5.9749999999999996</v>
      </c>
      <c r="J917" s="1">
        <v>5.1136999999999997</v>
      </c>
    </row>
    <row r="918" spans="2:10" x14ac:dyDescent="0.3">
      <c r="B918" s="10">
        <f t="shared" si="28"/>
        <v>2022</v>
      </c>
      <c r="C918" s="10">
        <f t="shared" si="29"/>
        <v>11</v>
      </c>
      <c r="D918" s="3">
        <v>44867</v>
      </c>
      <c r="E918" s="1">
        <v>96.16</v>
      </c>
      <c r="F918" s="1">
        <v>90</v>
      </c>
      <c r="G918" s="1">
        <v>3.6774</v>
      </c>
      <c r="H918" s="1">
        <v>2.6972</v>
      </c>
      <c r="I918" s="1">
        <v>6.2679999999999998</v>
      </c>
      <c r="J918" s="1">
        <v>5.1432000000000002</v>
      </c>
    </row>
    <row r="919" spans="2:10" x14ac:dyDescent="0.3">
      <c r="B919" s="10">
        <f t="shared" si="28"/>
        <v>2022</v>
      </c>
      <c r="C919" s="10">
        <f t="shared" si="29"/>
        <v>11</v>
      </c>
      <c r="D919" s="3">
        <v>44866</v>
      </c>
      <c r="E919" s="1">
        <v>94.65</v>
      </c>
      <c r="F919" s="1">
        <v>88.37</v>
      </c>
      <c r="G919" s="1">
        <v>3.6211000000000002</v>
      </c>
      <c r="H919" s="1">
        <v>2.5945</v>
      </c>
      <c r="I919" s="1">
        <v>5.7140000000000004</v>
      </c>
      <c r="J919" s="1">
        <v>5.1475</v>
      </c>
    </row>
    <row r="920" spans="2:10" x14ac:dyDescent="0.3">
      <c r="B920" s="10">
        <f t="shared" si="28"/>
        <v>2022</v>
      </c>
      <c r="C920" s="10">
        <f t="shared" si="29"/>
        <v>10</v>
      </c>
      <c r="D920" s="3">
        <v>44865</v>
      </c>
      <c r="E920" s="1">
        <v>94.83</v>
      </c>
      <c r="F920" s="1">
        <v>86.53</v>
      </c>
      <c r="G920" s="1">
        <v>4.1909000000000001</v>
      </c>
      <c r="H920" s="1">
        <v>2.8107000000000002</v>
      </c>
      <c r="I920" s="1">
        <v>6.3550000000000004</v>
      </c>
      <c r="J920" s="1">
        <v>5.1791</v>
      </c>
    </row>
    <row r="921" spans="2:10" x14ac:dyDescent="0.3">
      <c r="B921" s="10">
        <f t="shared" si="28"/>
        <v>2022</v>
      </c>
      <c r="C921" s="10">
        <f t="shared" si="29"/>
        <v>10</v>
      </c>
      <c r="D921" s="3">
        <v>44862</v>
      </c>
      <c r="E921" s="1">
        <v>95.77</v>
      </c>
      <c r="F921" s="1">
        <v>87.9</v>
      </c>
      <c r="G921" s="1">
        <v>4.5498000000000003</v>
      </c>
      <c r="H921" s="1">
        <v>2.9066000000000001</v>
      </c>
      <c r="I921" s="1">
        <v>5.6840000000000002</v>
      </c>
      <c r="J921" s="1">
        <v>5.2949000000000002</v>
      </c>
    </row>
    <row r="922" spans="2:10" x14ac:dyDescent="0.3">
      <c r="B922" s="10">
        <f t="shared" si="28"/>
        <v>2022</v>
      </c>
      <c r="C922" s="10">
        <f t="shared" si="29"/>
        <v>10</v>
      </c>
      <c r="D922" s="3">
        <v>44861</v>
      </c>
      <c r="E922" s="1">
        <v>96.96</v>
      </c>
      <c r="F922" s="1">
        <v>89.08</v>
      </c>
      <c r="G922" s="1">
        <v>4.3338999999999999</v>
      </c>
      <c r="H922" s="1">
        <v>3.0116000000000001</v>
      </c>
      <c r="I922" s="1">
        <v>5.1859999999999999</v>
      </c>
      <c r="J922" s="1">
        <v>5.3449</v>
      </c>
    </row>
    <row r="923" spans="2:10" x14ac:dyDescent="0.3">
      <c r="B923" s="10">
        <f t="shared" si="28"/>
        <v>2022</v>
      </c>
      <c r="C923" s="10">
        <f t="shared" si="29"/>
        <v>10</v>
      </c>
      <c r="D923" s="3">
        <v>44860</v>
      </c>
      <c r="E923" s="1">
        <v>95.69</v>
      </c>
      <c r="F923" s="1">
        <v>87.91</v>
      </c>
      <c r="G923" s="1">
        <v>4.1200999999999999</v>
      </c>
      <c r="H923" s="1">
        <v>2.8994</v>
      </c>
      <c r="I923" s="1">
        <v>5.6059999999999999</v>
      </c>
      <c r="J923" s="1">
        <v>5.3803999999999998</v>
      </c>
    </row>
    <row r="924" spans="2:10" x14ac:dyDescent="0.3">
      <c r="B924" s="10">
        <f t="shared" si="28"/>
        <v>2022</v>
      </c>
      <c r="C924" s="10">
        <f t="shared" si="29"/>
        <v>10</v>
      </c>
      <c r="D924" s="3">
        <v>44859</v>
      </c>
      <c r="E924" s="1">
        <v>93.52</v>
      </c>
      <c r="F924" s="1">
        <v>85.32</v>
      </c>
      <c r="G924" s="1">
        <v>3.9672000000000001</v>
      </c>
      <c r="H924" s="1">
        <v>2.9159999999999999</v>
      </c>
      <c r="I924" s="1">
        <v>5.6130000000000004</v>
      </c>
      <c r="J924" s="1">
        <v>5.3167</v>
      </c>
    </row>
    <row r="925" spans="2:10" x14ac:dyDescent="0.3">
      <c r="B925" s="10">
        <f t="shared" si="28"/>
        <v>2022</v>
      </c>
      <c r="C925" s="10">
        <f t="shared" si="29"/>
        <v>10</v>
      </c>
      <c r="D925" s="3">
        <v>44858</v>
      </c>
      <c r="E925" s="1">
        <v>93.26</v>
      </c>
      <c r="F925" s="1">
        <v>84.58</v>
      </c>
      <c r="G925" s="1">
        <v>3.9201000000000001</v>
      </c>
      <c r="H925" s="1">
        <v>2.7302</v>
      </c>
      <c r="I925" s="1">
        <v>5.1989999999999998</v>
      </c>
      <c r="J925" s="1">
        <v>5.3032000000000004</v>
      </c>
    </row>
    <row r="926" spans="2:10" x14ac:dyDescent="0.3">
      <c r="B926" s="10">
        <f t="shared" si="28"/>
        <v>2022</v>
      </c>
      <c r="C926" s="10">
        <f t="shared" si="29"/>
        <v>10</v>
      </c>
      <c r="D926" s="3">
        <v>44855</v>
      </c>
      <c r="E926" s="1">
        <v>93.5</v>
      </c>
      <c r="F926" s="1">
        <v>85.05</v>
      </c>
      <c r="G926" s="1">
        <v>3.8323</v>
      </c>
      <c r="H926" s="1">
        <v>2.6619999999999999</v>
      </c>
      <c r="I926" s="1">
        <v>4.9589999999999996</v>
      </c>
      <c r="J926" s="1">
        <v>5.1604999999999999</v>
      </c>
    </row>
    <row r="927" spans="2:10" x14ac:dyDescent="0.3">
      <c r="B927" s="10">
        <f t="shared" si="28"/>
        <v>2022</v>
      </c>
      <c r="C927" s="10">
        <f t="shared" si="29"/>
        <v>10</v>
      </c>
      <c r="D927" s="3">
        <v>44854</v>
      </c>
      <c r="E927" s="1">
        <v>92.38</v>
      </c>
      <c r="F927" s="1">
        <v>85.98</v>
      </c>
      <c r="G927" s="1">
        <v>3.7568000000000001</v>
      </c>
      <c r="H927" s="1">
        <v>2.6478000000000002</v>
      </c>
      <c r="I927" s="1">
        <v>5.3579999999999997</v>
      </c>
      <c r="J927" s="1">
        <v>5.2146999999999997</v>
      </c>
    </row>
    <row r="928" spans="2:10" x14ac:dyDescent="0.3">
      <c r="B928" s="10">
        <f t="shared" si="28"/>
        <v>2022</v>
      </c>
      <c r="C928" s="10">
        <f t="shared" si="29"/>
        <v>10</v>
      </c>
      <c r="D928" s="3">
        <v>44853</v>
      </c>
      <c r="E928" s="1">
        <v>92.41</v>
      </c>
      <c r="F928" s="1">
        <v>85.55</v>
      </c>
      <c r="G928" s="1">
        <v>3.9043000000000001</v>
      </c>
      <c r="H928" s="1">
        <v>2.6522000000000001</v>
      </c>
      <c r="I928" s="1">
        <v>5.4619999999999997</v>
      </c>
      <c r="J928" s="1">
        <v>5.27</v>
      </c>
    </row>
    <row r="929" spans="2:10" x14ac:dyDescent="0.3">
      <c r="B929" s="10">
        <f t="shared" si="28"/>
        <v>2022</v>
      </c>
      <c r="C929" s="10">
        <f t="shared" si="29"/>
        <v>10</v>
      </c>
      <c r="D929" s="3">
        <v>44852</v>
      </c>
      <c r="E929" s="1">
        <v>90.03</v>
      </c>
      <c r="F929" s="1">
        <v>82.82</v>
      </c>
      <c r="G929" s="1">
        <v>3.9935</v>
      </c>
      <c r="H929" s="1">
        <v>2.5506000000000002</v>
      </c>
      <c r="I929" s="1">
        <v>5.7450000000000001</v>
      </c>
      <c r="J929" s="1">
        <v>5.2404999999999999</v>
      </c>
    </row>
    <row r="930" spans="2:10" x14ac:dyDescent="0.3">
      <c r="B930" s="10">
        <f t="shared" si="28"/>
        <v>2022</v>
      </c>
      <c r="C930" s="10">
        <f t="shared" si="29"/>
        <v>10</v>
      </c>
      <c r="D930" s="3">
        <v>44851</v>
      </c>
      <c r="E930" s="1">
        <v>91.62</v>
      </c>
      <c r="F930" s="1">
        <v>85.46</v>
      </c>
      <c r="G930" s="1">
        <v>4.0852000000000004</v>
      </c>
      <c r="H930" s="1">
        <v>2.5931000000000002</v>
      </c>
      <c r="I930" s="1">
        <v>5.9989999999999997</v>
      </c>
      <c r="J930" s="1">
        <v>5.2808000000000002</v>
      </c>
    </row>
    <row r="931" spans="2:10" x14ac:dyDescent="0.3">
      <c r="B931" s="10">
        <f t="shared" si="28"/>
        <v>2022</v>
      </c>
      <c r="C931" s="10">
        <f t="shared" si="29"/>
        <v>10</v>
      </c>
      <c r="D931" s="3">
        <v>44848</v>
      </c>
      <c r="E931" s="1">
        <v>91.63</v>
      </c>
      <c r="F931" s="1">
        <v>85.61</v>
      </c>
      <c r="G931" s="1">
        <v>3.9802</v>
      </c>
      <c r="H931" s="1">
        <v>2.6309</v>
      </c>
      <c r="I931" s="1">
        <v>6.4530000000000003</v>
      </c>
      <c r="J931" s="1">
        <v>5.3251999999999997</v>
      </c>
    </row>
    <row r="932" spans="2:10" x14ac:dyDescent="0.3">
      <c r="B932" s="10">
        <f t="shared" si="28"/>
        <v>2022</v>
      </c>
      <c r="C932" s="10">
        <f t="shared" si="29"/>
        <v>10</v>
      </c>
      <c r="D932" s="3">
        <v>44847</v>
      </c>
      <c r="E932" s="1">
        <v>94.57</v>
      </c>
      <c r="F932" s="1">
        <v>89.11</v>
      </c>
      <c r="G932" s="1">
        <v>4.0948000000000002</v>
      </c>
      <c r="H932" s="1">
        <v>2.7033999999999998</v>
      </c>
      <c r="I932" s="1">
        <v>6.7409999999999997</v>
      </c>
      <c r="J932" s="1">
        <v>5.2625999999999999</v>
      </c>
    </row>
    <row r="933" spans="2:10" x14ac:dyDescent="0.3">
      <c r="B933" s="10">
        <f t="shared" si="28"/>
        <v>2022</v>
      </c>
      <c r="C933" s="10">
        <f t="shared" si="29"/>
        <v>10</v>
      </c>
      <c r="D933" s="3">
        <v>44846</v>
      </c>
      <c r="E933" s="1">
        <v>92.45</v>
      </c>
      <c r="F933" s="1">
        <v>87.27</v>
      </c>
      <c r="G933" s="1">
        <v>3.9327999999999999</v>
      </c>
      <c r="H933" s="1">
        <v>2.6303000000000001</v>
      </c>
      <c r="I933" s="1">
        <v>6.4349999999999996</v>
      </c>
      <c r="J933" s="1">
        <v>5.2930000000000001</v>
      </c>
    </row>
    <row r="934" spans="2:10" x14ac:dyDescent="0.3">
      <c r="B934" s="10">
        <f t="shared" si="28"/>
        <v>2022</v>
      </c>
      <c r="C934" s="10">
        <f t="shared" si="29"/>
        <v>10</v>
      </c>
      <c r="D934" s="3">
        <v>44845</v>
      </c>
      <c r="E934" s="1">
        <v>94.29</v>
      </c>
      <c r="F934" s="1">
        <v>89.35</v>
      </c>
      <c r="G934" s="1">
        <v>3.9308000000000001</v>
      </c>
      <c r="H934" s="1">
        <v>2.6273</v>
      </c>
      <c r="I934" s="1">
        <v>6.5960000000000001</v>
      </c>
      <c r="J934" s="1">
        <v>5.3005000000000004</v>
      </c>
    </row>
    <row r="935" spans="2:10" x14ac:dyDescent="0.3">
      <c r="B935" s="10">
        <f t="shared" si="28"/>
        <v>2022</v>
      </c>
      <c r="C935" s="10">
        <f t="shared" si="29"/>
        <v>10</v>
      </c>
      <c r="D935" s="3">
        <v>44844</v>
      </c>
      <c r="E935" s="1">
        <v>96.19</v>
      </c>
      <c r="F935" s="1">
        <v>91.13</v>
      </c>
      <c r="G935" s="1">
        <v>3.9146999999999998</v>
      </c>
      <c r="H935" s="1">
        <v>2.6227999999999998</v>
      </c>
      <c r="I935" s="1">
        <v>6.4349999999999996</v>
      </c>
      <c r="J935" s="1">
        <v>5.1901000000000002</v>
      </c>
    </row>
    <row r="936" spans="2:10" x14ac:dyDescent="0.3">
      <c r="B936" s="10">
        <f t="shared" si="28"/>
        <v>2022</v>
      </c>
      <c r="C936" s="10">
        <f t="shared" si="29"/>
        <v>10</v>
      </c>
      <c r="D936" s="3">
        <v>44841</v>
      </c>
      <c r="E936" s="1">
        <v>97.92</v>
      </c>
      <c r="F936" s="1">
        <v>92.64</v>
      </c>
      <c r="G936" s="1">
        <v>4.0186999999999999</v>
      </c>
      <c r="H936" s="1">
        <v>2.7345999999999999</v>
      </c>
      <c r="I936" s="1">
        <v>6.7480000000000002</v>
      </c>
      <c r="J936" s="1">
        <v>5.1996000000000002</v>
      </c>
    </row>
    <row r="937" spans="2:10" x14ac:dyDescent="0.3">
      <c r="B937" s="10">
        <f t="shared" si="28"/>
        <v>2022</v>
      </c>
      <c r="C937" s="10">
        <f t="shared" si="29"/>
        <v>10</v>
      </c>
      <c r="D937" s="3">
        <v>44840</v>
      </c>
      <c r="E937" s="1">
        <v>94.42</v>
      </c>
      <c r="F937" s="1">
        <v>88.45</v>
      </c>
      <c r="G937" s="1">
        <v>3.8649</v>
      </c>
      <c r="H937" s="1">
        <v>2.6814</v>
      </c>
      <c r="I937" s="1">
        <v>6.9720000000000004</v>
      </c>
      <c r="J937" s="1">
        <v>5.2217000000000002</v>
      </c>
    </row>
    <row r="938" spans="2:10" x14ac:dyDescent="0.3">
      <c r="B938" s="10">
        <f t="shared" si="28"/>
        <v>2022</v>
      </c>
      <c r="C938" s="10">
        <f t="shared" si="29"/>
        <v>10</v>
      </c>
      <c r="D938" s="3">
        <v>44839</v>
      </c>
      <c r="E938" s="1">
        <v>93.37</v>
      </c>
      <c r="F938" s="1">
        <v>87.76</v>
      </c>
      <c r="G938" s="1">
        <v>3.6869000000000001</v>
      </c>
      <c r="H938" s="1">
        <v>2.6684999999999999</v>
      </c>
      <c r="I938" s="1">
        <v>6.93</v>
      </c>
      <c r="J938" s="1">
        <v>5.194</v>
      </c>
    </row>
    <row r="939" spans="2:10" x14ac:dyDescent="0.3">
      <c r="B939" s="10">
        <f t="shared" si="28"/>
        <v>2022</v>
      </c>
      <c r="C939" s="10">
        <f t="shared" si="29"/>
        <v>10</v>
      </c>
      <c r="D939" s="3">
        <v>44838</v>
      </c>
      <c r="E939" s="1">
        <v>91.8</v>
      </c>
      <c r="F939" s="1">
        <v>86.52</v>
      </c>
      <c r="G939" s="1">
        <v>3.5358000000000001</v>
      </c>
      <c r="H939" s="1">
        <v>2.6829999999999998</v>
      </c>
      <c r="I939" s="1">
        <v>6.8369999999999997</v>
      </c>
      <c r="J939" s="1">
        <v>5.1769999999999996</v>
      </c>
    </row>
    <row r="940" spans="2:10" x14ac:dyDescent="0.3">
      <c r="B940" s="10">
        <f t="shared" si="28"/>
        <v>2022</v>
      </c>
      <c r="C940" s="10">
        <f t="shared" si="29"/>
        <v>10</v>
      </c>
      <c r="D940" s="3">
        <v>44837</v>
      </c>
      <c r="E940" s="1">
        <v>88.86</v>
      </c>
      <c r="F940" s="1">
        <v>83.63</v>
      </c>
      <c r="G940" s="1">
        <v>3.3691</v>
      </c>
      <c r="H940" s="1">
        <v>2.5129000000000001</v>
      </c>
      <c r="I940" s="1">
        <v>6.47</v>
      </c>
      <c r="J940" s="1">
        <v>5.1672000000000002</v>
      </c>
    </row>
    <row r="941" spans="2:10" x14ac:dyDescent="0.3">
      <c r="B941" s="10">
        <f t="shared" si="28"/>
        <v>2022</v>
      </c>
      <c r="C941" s="10">
        <f t="shared" si="29"/>
        <v>9</v>
      </c>
      <c r="D941" s="3">
        <v>44834</v>
      </c>
      <c r="E941" s="1">
        <v>87.96</v>
      </c>
      <c r="F941" s="1">
        <v>79.489999999999995</v>
      </c>
      <c r="G941" s="1">
        <v>3.3690000000000002</v>
      </c>
      <c r="H941" s="1">
        <v>2.4725999999999999</v>
      </c>
      <c r="I941" s="1">
        <v>6.766</v>
      </c>
      <c r="J941" s="1">
        <v>5.4154</v>
      </c>
    </row>
    <row r="942" spans="2:10" x14ac:dyDescent="0.3">
      <c r="B942" s="10">
        <f t="shared" si="28"/>
        <v>2022</v>
      </c>
      <c r="C942" s="10">
        <f t="shared" si="29"/>
        <v>9</v>
      </c>
      <c r="D942" s="3">
        <v>44833</v>
      </c>
      <c r="E942" s="1">
        <v>88.49</v>
      </c>
      <c r="F942" s="1">
        <v>81.23</v>
      </c>
      <c r="G942" s="1">
        <v>3.4146000000000001</v>
      </c>
      <c r="H942" s="1">
        <v>2.5076000000000001</v>
      </c>
      <c r="I942" s="1">
        <v>6.8739999999999997</v>
      </c>
      <c r="J942" s="1">
        <v>5.3963999999999999</v>
      </c>
    </row>
    <row r="943" spans="2:10" x14ac:dyDescent="0.3">
      <c r="B943" s="10">
        <f t="shared" si="28"/>
        <v>2022</v>
      </c>
      <c r="C943" s="10">
        <f t="shared" si="29"/>
        <v>9</v>
      </c>
      <c r="D943" s="3">
        <v>44832</v>
      </c>
      <c r="E943" s="1">
        <v>89.32</v>
      </c>
      <c r="F943" s="1">
        <v>82.15</v>
      </c>
      <c r="G943" s="1">
        <v>3.4493999999999998</v>
      </c>
      <c r="H943" s="1">
        <v>2.5779000000000001</v>
      </c>
      <c r="I943" s="1">
        <v>6.8680000000000003</v>
      </c>
      <c r="J943" s="1">
        <v>5.3745000000000003</v>
      </c>
    </row>
    <row r="944" spans="2:10" x14ac:dyDescent="0.3">
      <c r="B944" s="10">
        <f t="shared" si="28"/>
        <v>2022</v>
      </c>
      <c r="C944" s="10">
        <f t="shared" si="29"/>
        <v>9</v>
      </c>
      <c r="D944" s="3">
        <v>44831</v>
      </c>
      <c r="E944" s="1">
        <v>86.27</v>
      </c>
      <c r="F944" s="1">
        <v>78.5</v>
      </c>
      <c r="G944" s="1">
        <v>3.2599</v>
      </c>
      <c r="H944" s="1">
        <v>2.4931000000000001</v>
      </c>
      <c r="I944" s="1">
        <v>6.6509999999999998</v>
      </c>
      <c r="J944" s="1">
        <v>5.3823999999999996</v>
      </c>
    </row>
    <row r="945" spans="2:10" x14ac:dyDescent="0.3">
      <c r="B945" s="10">
        <f t="shared" si="28"/>
        <v>2022</v>
      </c>
      <c r="C945" s="10">
        <f t="shared" si="29"/>
        <v>9</v>
      </c>
      <c r="D945" s="3">
        <v>44830</v>
      </c>
      <c r="E945" s="1">
        <v>84.06</v>
      </c>
      <c r="F945" s="1">
        <v>76.709999999999994</v>
      </c>
      <c r="G945" s="1">
        <v>3.1291000000000002</v>
      </c>
      <c r="H945" s="1">
        <v>2.3841999999999999</v>
      </c>
      <c r="I945" s="1">
        <v>6.9029999999999996</v>
      </c>
      <c r="J945" s="1">
        <v>5.3898000000000001</v>
      </c>
    </row>
    <row r="946" spans="2:10" x14ac:dyDescent="0.3">
      <c r="B946" s="10">
        <f t="shared" si="28"/>
        <v>2022</v>
      </c>
      <c r="C946" s="10">
        <f t="shared" si="29"/>
        <v>9</v>
      </c>
      <c r="D946" s="3">
        <v>44827</v>
      </c>
      <c r="E946" s="1">
        <v>86.15</v>
      </c>
      <c r="F946" s="1">
        <v>78.739999999999995</v>
      </c>
      <c r="G946" s="1">
        <v>3.2370999999999999</v>
      </c>
      <c r="H946" s="1">
        <v>2.383</v>
      </c>
      <c r="I946" s="1">
        <v>6.8280000000000003</v>
      </c>
      <c r="J946" s="1">
        <v>5.2595000000000001</v>
      </c>
    </row>
    <row r="947" spans="2:10" x14ac:dyDescent="0.3">
      <c r="B947" s="10">
        <f t="shared" si="28"/>
        <v>2022</v>
      </c>
      <c r="C947" s="10">
        <f t="shared" si="29"/>
        <v>9</v>
      </c>
      <c r="D947" s="3">
        <v>44826</v>
      </c>
      <c r="E947" s="1">
        <v>90.46</v>
      </c>
      <c r="F947" s="1">
        <v>83.49</v>
      </c>
      <c r="G947" s="1">
        <v>3.4115000000000002</v>
      </c>
      <c r="H947" s="1">
        <v>2.5156999999999998</v>
      </c>
      <c r="I947" s="1">
        <v>7.0890000000000004</v>
      </c>
      <c r="J947" s="1">
        <v>5.1166</v>
      </c>
    </row>
    <row r="948" spans="2:10" x14ac:dyDescent="0.3">
      <c r="B948" s="10">
        <f t="shared" si="28"/>
        <v>2022</v>
      </c>
      <c r="C948" s="10">
        <f t="shared" si="29"/>
        <v>9</v>
      </c>
      <c r="D948" s="3">
        <v>44825</v>
      </c>
      <c r="E948" s="1">
        <v>89.83</v>
      </c>
      <c r="F948" s="1">
        <v>82.94</v>
      </c>
      <c r="G948" s="1">
        <v>3.3338000000000001</v>
      </c>
      <c r="H948" s="1">
        <v>2.4864999999999999</v>
      </c>
      <c r="I948" s="1">
        <v>7.7789999999999999</v>
      </c>
      <c r="J948" s="1">
        <v>5.1715999999999998</v>
      </c>
    </row>
    <row r="949" spans="2:10" x14ac:dyDescent="0.3">
      <c r="B949" s="10">
        <f t="shared" si="28"/>
        <v>2022</v>
      </c>
      <c r="C949" s="10">
        <f t="shared" si="29"/>
        <v>9</v>
      </c>
      <c r="D949" s="3">
        <v>44824</v>
      </c>
      <c r="E949" s="1">
        <v>90.62</v>
      </c>
      <c r="F949" s="1">
        <v>84.45</v>
      </c>
      <c r="G949" s="1">
        <v>3.3721999999999999</v>
      </c>
      <c r="H949" s="1">
        <v>2.4478</v>
      </c>
      <c r="I949" s="1">
        <v>7.7169999999999996</v>
      </c>
      <c r="J949" s="1">
        <v>5.1417000000000002</v>
      </c>
    </row>
    <row r="950" spans="2:10" x14ac:dyDescent="0.3">
      <c r="B950" s="10">
        <f t="shared" si="28"/>
        <v>2022</v>
      </c>
      <c r="C950" s="10">
        <f t="shared" si="29"/>
        <v>9</v>
      </c>
      <c r="D950" s="3">
        <v>44823</v>
      </c>
      <c r="E950" s="1">
        <v>92</v>
      </c>
      <c r="F950" s="1">
        <v>85.73</v>
      </c>
      <c r="G950" s="1">
        <v>3.3108</v>
      </c>
      <c r="H950" s="1">
        <v>2.4641000000000002</v>
      </c>
      <c r="I950" s="1">
        <v>7.7519999999999998</v>
      </c>
      <c r="J950" s="1">
        <v>5.1669999999999998</v>
      </c>
    </row>
    <row r="951" spans="2:10" x14ac:dyDescent="0.3">
      <c r="B951" s="10">
        <f t="shared" si="28"/>
        <v>2022</v>
      </c>
      <c r="C951" s="10">
        <f t="shared" si="29"/>
        <v>9</v>
      </c>
      <c r="D951" s="3">
        <v>44820</v>
      </c>
      <c r="E951" s="1">
        <v>91.35</v>
      </c>
      <c r="F951" s="1">
        <v>85.11</v>
      </c>
      <c r="G951" s="1">
        <v>3.1724999999999999</v>
      </c>
      <c r="H951" s="1">
        <v>2.4157000000000002</v>
      </c>
      <c r="I951" s="1">
        <v>7.7640000000000002</v>
      </c>
      <c r="J951" s="1">
        <v>5.2530999999999999</v>
      </c>
    </row>
    <row r="952" spans="2:10" x14ac:dyDescent="0.3">
      <c r="B952" s="10">
        <f t="shared" si="28"/>
        <v>2022</v>
      </c>
      <c r="C952" s="10">
        <f t="shared" si="29"/>
        <v>9</v>
      </c>
      <c r="D952" s="3">
        <v>44819</v>
      </c>
      <c r="E952" s="1">
        <v>90.84</v>
      </c>
      <c r="F952" s="1">
        <v>85.1</v>
      </c>
      <c r="G952" s="1">
        <v>3.2052</v>
      </c>
      <c r="H952" s="1">
        <v>2.4287000000000001</v>
      </c>
      <c r="I952" s="1">
        <v>8.3239999999999998</v>
      </c>
      <c r="J952" s="1">
        <v>5.2469999999999999</v>
      </c>
    </row>
    <row r="953" spans="2:10" x14ac:dyDescent="0.3">
      <c r="B953" s="10">
        <f t="shared" si="28"/>
        <v>2022</v>
      </c>
      <c r="C953" s="10">
        <f t="shared" si="29"/>
        <v>9</v>
      </c>
      <c r="D953" s="3">
        <v>44818</v>
      </c>
      <c r="E953" s="1">
        <v>94.1</v>
      </c>
      <c r="F953" s="1">
        <v>88.48</v>
      </c>
      <c r="G953" s="1">
        <v>3.3788999999999998</v>
      </c>
      <c r="H953" s="1">
        <v>2.5245000000000002</v>
      </c>
      <c r="I953" s="1">
        <v>9.1140000000000008</v>
      </c>
      <c r="J953" s="1">
        <v>5.1631</v>
      </c>
    </row>
    <row r="954" spans="2:10" x14ac:dyDescent="0.3">
      <c r="B954" s="10">
        <f t="shared" si="28"/>
        <v>2022</v>
      </c>
      <c r="C954" s="10">
        <f t="shared" si="29"/>
        <v>9</v>
      </c>
      <c r="D954" s="3">
        <v>44817</v>
      </c>
      <c r="E954" s="1">
        <v>93.17</v>
      </c>
      <c r="F954" s="1">
        <v>87.31</v>
      </c>
      <c r="G954" s="1">
        <v>3.5413000000000001</v>
      </c>
      <c r="H954" s="1">
        <v>2.4803999999999999</v>
      </c>
      <c r="I954" s="1">
        <v>8.2840000000000007</v>
      </c>
      <c r="J954" s="1">
        <v>5.1910999999999996</v>
      </c>
    </row>
    <row r="955" spans="2:10" x14ac:dyDescent="0.3">
      <c r="B955" s="10">
        <f t="shared" si="28"/>
        <v>2022</v>
      </c>
      <c r="C955" s="10">
        <f t="shared" si="29"/>
        <v>9</v>
      </c>
      <c r="D955" s="3">
        <v>44816</v>
      </c>
      <c r="E955" s="1">
        <v>94</v>
      </c>
      <c r="F955" s="1">
        <v>87.78</v>
      </c>
      <c r="G955" s="1">
        <v>3.6031</v>
      </c>
      <c r="H955" s="1">
        <v>2.4447999999999999</v>
      </c>
      <c r="I955" s="1">
        <v>8.2490000000000006</v>
      </c>
      <c r="J955" s="1">
        <v>5.093</v>
      </c>
    </row>
    <row r="956" spans="2:10" x14ac:dyDescent="0.3">
      <c r="B956" s="10">
        <f t="shared" si="28"/>
        <v>2022</v>
      </c>
      <c r="C956" s="10">
        <f t="shared" si="29"/>
        <v>9</v>
      </c>
      <c r="D956" s="3">
        <v>44813</v>
      </c>
      <c r="E956" s="1">
        <v>92.84</v>
      </c>
      <c r="F956" s="1">
        <v>86.79</v>
      </c>
      <c r="G956" s="1">
        <v>3.5787</v>
      </c>
      <c r="H956" s="1">
        <v>2.4331</v>
      </c>
      <c r="I956" s="1">
        <v>7.9960000000000004</v>
      </c>
      <c r="J956" s="1">
        <v>5.1462000000000003</v>
      </c>
    </row>
    <row r="957" spans="2:10" x14ac:dyDescent="0.3">
      <c r="B957" s="10">
        <f t="shared" si="28"/>
        <v>2022</v>
      </c>
      <c r="C957" s="10">
        <f t="shared" si="29"/>
        <v>9</v>
      </c>
      <c r="D957" s="3">
        <v>44812</v>
      </c>
      <c r="E957" s="1">
        <v>89.15</v>
      </c>
      <c r="F957" s="1">
        <v>83.54</v>
      </c>
      <c r="G957" s="1">
        <v>3.5400999999999998</v>
      </c>
      <c r="H957" s="1">
        <v>2.3460999999999999</v>
      </c>
      <c r="I957" s="1">
        <v>7.915</v>
      </c>
      <c r="J957" s="1">
        <v>5.2141000000000002</v>
      </c>
    </row>
    <row r="958" spans="2:10" x14ac:dyDescent="0.3">
      <c r="B958" s="10">
        <f t="shared" si="28"/>
        <v>2022</v>
      </c>
      <c r="C958" s="10">
        <f t="shared" si="29"/>
        <v>9</v>
      </c>
      <c r="D958" s="3">
        <v>44811</v>
      </c>
      <c r="E958" s="1">
        <v>88</v>
      </c>
      <c r="F958" s="1">
        <v>81.94</v>
      </c>
      <c r="G958" s="1">
        <v>3.5859999999999999</v>
      </c>
      <c r="H958" s="1">
        <v>2.3077000000000001</v>
      </c>
      <c r="I958" s="1">
        <v>7.8419999999999996</v>
      </c>
      <c r="J958" s="1">
        <v>5.2480000000000002</v>
      </c>
    </row>
    <row r="959" spans="2:10" x14ac:dyDescent="0.3">
      <c r="B959" s="10">
        <f t="shared" si="28"/>
        <v>2022</v>
      </c>
      <c r="C959" s="10">
        <f t="shared" si="29"/>
        <v>9</v>
      </c>
      <c r="D959" s="3">
        <v>44810</v>
      </c>
      <c r="E959" s="1">
        <v>92.83</v>
      </c>
      <c r="F959" s="1">
        <v>86.88</v>
      </c>
      <c r="G959" s="1">
        <v>3.5737999999999999</v>
      </c>
      <c r="H959" s="1">
        <v>2.4159000000000002</v>
      </c>
      <c r="I959" s="1">
        <v>8.1449999999999996</v>
      </c>
      <c r="J959" s="1">
        <v>5.2527999999999997</v>
      </c>
    </row>
    <row r="960" spans="2:10" x14ac:dyDescent="0.3">
      <c r="B960" s="10">
        <f t="shared" si="28"/>
        <v>2022</v>
      </c>
      <c r="C960" s="10">
        <f t="shared" si="29"/>
        <v>9</v>
      </c>
      <c r="D960" s="3">
        <v>44809</v>
      </c>
      <c r="E960" s="1">
        <v>95.74</v>
      </c>
      <c r="J960" s="1">
        <v>5.1516000000000002</v>
      </c>
    </row>
    <row r="961" spans="2:10" x14ac:dyDescent="0.3">
      <c r="B961" s="10">
        <f t="shared" si="28"/>
        <v>2022</v>
      </c>
      <c r="C961" s="10">
        <f t="shared" si="29"/>
        <v>9</v>
      </c>
      <c r="D961" s="3">
        <v>44806</v>
      </c>
      <c r="E961" s="1">
        <v>93.02</v>
      </c>
      <c r="F961" s="1">
        <v>86.87</v>
      </c>
      <c r="G961" s="1">
        <v>3.5779999999999998</v>
      </c>
      <c r="H961" s="1">
        <v>2.4636</v>
      </c>
      <c r="I961" s="1">
        <v>8.7859999999999996</v>
      </c>
      <c r="J961" s="1">
        <v>5.1680999999999999</v>
      </c>
    </row>
    <row r="962" spans="2:10" x14ac:dyDescent="0.3">
      <c r="B962" s="10">
        <f t="shared" si="28"/>
        <v>2022</v>
      </c>
      <c r="C962" s="10">
        <f t="shared" si="29"/>
        <v>9</v>
      </c>
      <c r="D962" s="3">
        <v>44805</v>
      </c>
      <c r="E962" s="1">
        <v>92.36</v>
      </c>
      <c r="F962" s="1">
        <v>86.61</v>
      </c>
      <c r="G962" s="1">
        <v>3.5611999999999999</v>
      </c>
      <c r="H962" s="1">
        <v>2.3853</v>
      </c>
      <c r="I962" s="1">
        <v>9.2620000000000005</v>
      </c>
      <c r="J962" s="1">
        <v>5.2416</v>
      </c>
    </row>
    <row r="963" spans="2:10" x14ac:dyDescent="0.3">
      <c r="B963" s="10">
        <f t="shared" si="28"/>
        <v>2022</v>
      </c>
      <c r="C963" s="10">
        <f t="shared" si="29"/>
        <v>8</v>
      </c>
      <c r="D963" s="3">
        <v>44804</v>
      </c>
      <c r="E963" s="1">
        <v>96.49</v>
      </c>
      <c r="F963" s="1">
        <v>89.55</v>
      </c>
      <c r="G963" s="1">
        <v>3.7153999999999998</v>
      </c>
      <c r="H963" s="1">
        <v>2.6059000000000001</v>
      </c>
      <c r="I963" s="1">
        <v>9.1270000000000007</v>
      </c>
      <c r="J963" s="1">
        <v>5.1830999999999996</v>
      </c>
    </row>
    <row r="964" spans="2:10" x14ac:dyDescent="0.3">
      <c r="B964" s="10">
        <f t="shared" si="28"/>
        <v>2022</v>
      </c>
      <c r="C964" s="10">
        <f t="shared" si="29"/>
        <v>8</v>
      </c>
      <c r="D964" s="3">
        <v>44803</v>
      </c>
      <c r="E964" s="1">
        <v>99.31</v>
      </c>
      <c r="F964" s="1">
        <v>91.64</v>
      </c>
      <c r="G964" s="1">
        <v>3.8170999999999999</v>
      </c>
      <c r="H964" s="1">
        <v>2.6943999999999999</v>
      </c>
      <c r="I964" s="1">
        <v>9.0419999999999998</v>
      </c>
      <c r="J964" s="1">
        <v>5.1223000000000001</v>
      </c>
    </row>
    <row r="965" spans="2:10" x14ac:dyDescent="0.3">
      <c r="B965" s="10">
        <f t="shared" si="28"/>
        <v>2022</v>
      </c>
      <c r="C965" s="10">
        <f t="shared" si="29"/>
        <v>8</v>
      </c>
      <c r="D965" s="3">
        <v>44802</v>
      </c>
      <c r="E965" s="1">
        <v>105.09</v>
      </c>
      <c r="F965" s="1">
        <v>97.01</v>
      </c>
      <c r="G965" s="1">
        <v>3.9098999999999999</v>
      </c>
      <c r="H965" s="1">
        <v>2.8776000000000002</v>
      </c>
      <c r="I965" s="1">
        <v>9.3529999999999998</v>
      </c>
      <c r="J965" s="1">
        <v>5.0282</v>
      </c>
    </row>
    <row r="966" spans="2:10" x14ac:dyDescent="0.3">
      <c r="B966" s="10">
        <f t="shared" ref="B966:B1029" si="30">YEAR(D966)</f>
        <v>2022</v>
      </c>
      <c r="C966" s="10">
        <f t="shared" ref="C966:C1029" si="31">MONTH(D966)</f>
        <v>8</v>
      </c>
      <c r="D966" s="3">
        <v>44799</v>
      </c>
      <c r="E966" s="1">
        <v>100.99</v>
      </c>
      <c r="F966" s="1">
        <v>93.06</v>
      </c>
      <c r="G966" s="1">
        <v>4.0076000000000001</v>
      </c>
      <c r="H966" s="1">
        <v>2.8513000000000002</v>
      </c>
      <c r="I966" s="1">
        <v>9.2959999999999994</v>
      </c>
      <c r="J966" s="1">
        <v>5.0601000000000003</v>
      </c>
    </row>
    <row r="967" spans="2:10" x14ac:dyDescent="0.3">
      <c r="B967" s="10">
        <f t="shared" si="30"/>
        <v>2022</v>
      </c>
      <c r="C967" s="10">
        <f t="shared" si="31"/>
        <v>8</v>
      </c>
      <c r="D967" s="3">
        <v>44798</v>
      </c>
      <c r="E967" s="1">
        <v>99.34</v>
      </c>
      <c r="F967" s="1">
        <v>92.52</v>
      </c>
      <c r="G967" s="1">
        <v>3.9491000000000001</v>
      </c>
      <c r="H967" s="1">
        <v>2.8121</v>
      </c>
      <c r="I967" s="1">
        <v>9.375</v>
      </c>
      <c r="J967" s="1">
        <v>5.1098999999999997</v>
      </c>
    </row>
    <row r="968" spans="2:10" x14ac:dyDescent="0.3">
      <c r="B968" s="10">
        <f t="shared" si="30"/>
        <v>2022</v>
      </c>
      <c r="C968" s="10">
        <f t="shared" si="31"/>
        <v>8</v>
      </c>
      <c r="D968" s="3">
        <v>44797</v>
      </c>
      <c r="E968" s="1">
        <v>101.22</v>
      </c>
      <c r="F968" s="1">
        <v>94.89</v>
      </c>
      <c r="G968" s="1">
        <v>4.0132000000000003</v>
      </c>
      <c r="H968" s="1">
        <v>2.8007</v>
      </c>
      <c r="I968" s="1">
        <v>9.33</v>
      </c>
      <c r="J968" s="1">
        <v>5.1113999999999997</v>
      </c>
    </row>
    <row r="969" spans="2:10" x14ac:dyDescent="0.3">
      <c r="B969" s="10">
        <f t="shared" si="30"/>
        <v>2022</v>
      </c>
      <c r="C969" s="10">
        <f t="shared" si="31"/>
        <v>8</v>
      </c>
      <c r="D969" s="3">
        <v>44796</v>
      </c>
      <c r="E969" s="1">
        <v>100.22</v>
      </c>
      <c r="F969" s="1">
        <v>93.74</v>
      </c>
      <c r="G969" s="1">
        <v>3.8418999999999999</v>
      </c>
      <c r="H969" s="1">
        <v>2.9329999999999998</v>
      </c>
      <c r="I969" s="1">
        <v>9.1929999999999996</v>
      </c>
      <c r="J969" s="1">
        <v>5.1036999999999999</v>
      </c>
    </row>
    <row r="970" spans="2:10" x14ac:dyDescent="0.3">
      <c r="B970" s="10">
        <f t="shared" si="30"/>
        <v>2022</v>
      </c>
      <c r="C970" s="10">
        <f t="shared" si="31"/>
        <v>8</v>
      </c>
      <c r="D970" s="3">
        <v>44795</v>
      </c>
      <c r="E970" s="1">
        <v>96.48</v>
      </c>
      <c r="F970" s="1">
        <v>90.23</v>
      </c>
      <c r="G970" s="1">
        <v>3.7761999999999998</v>
      </c>
      <c r="H970" s="1">
        <v>2.8912</v>
      </c>
      <c r="I970" s="1">
        <v>9.68</v>
      </c>
      <c r="J970" s="1">
        <v>5.1574</v>
      </c>
    </row>
    <row r="971" spans="2:10" x14ac:dyDescent="0.3">
      <c r="B971" s="10">
        <f t="shared" si="30"/>
        <v>2022</v>
      </c>
      <c r="C971" s="10">
        <f t="shared" si="31"/>
        <v>8</v>
      </c>
      <c r="D971" s="3">
        <v>44792</v>
      </c>
      <c r="E971" s="1">
        <v>96.72</v>
      </c>
      <c r="F971" s="1">
        <v>90.77</v>
      </c>
      <c r="G971" s="1">
        <v>3.7004999999999999</v>
      </c>
      <c r="H971" s="1">
        <v>3.0175000000000001</v>
      </c>
      <c r="I971" s="1">
        <v>9.3360000000000003</v>
      </c>
      <c r="J971" s="1">
        <v>5.1696999999999997</v>
      </c>
    </row>
    <row r="972" spans="2:10" x14ac:dyDescent="0.3">
      <c r="B972" s="10">
        <f t="shared" si="30"/>
        <v>2022</v>
      </c>
      <c r="C972" s="10">
        <f t="shared" si="31"/>
        <v>8</v>
      </c>
      <c r="D972" s="3">
        <v>44791</v>
      </c>
      <c r="E972" s="1">
        <v>96.59</v>
      </c>
      <c r="F972" s="1">
        <v>90.5</v>
      </c>
      <c r="G972" s="1">
        <v>3.6497000000000002</v>
      </c>
      <c r="H972" s="1">
        <v>3.0261</v>
      </c>
      <c r="I972" s="1">
        <v>9.1880000000000006</v>
      </c>
      <c r="J972" s="1">
        <v>5.1673999999999998</v>
      </c>
    </row>
    <row r="973" spans="2:10" x14ac:dyDescent="0.3">
      <c r="B973" s="10">
        <f t="shared" si="30"/>
        <v>2022</v>
      </c>
      <c r="C973" s="10">
        <f t="shared" si="31"/>
        <v>8</v>
      </c>
      <c r="D973" s="3">
        <v>44790</v>
      </c>
      <c r="E973" s="1">
        <v>93.65</v>
      </c>
      <c r="F973" s="1">
        <v>88.11</v>
      </c>
      <c r="G973" s="1">
        <v>3.6173999999999999</v>
      </c>
      <c r="H973" s="1">
        <v>2.9344999999999999</v>
      </c>
      <c r="I973" s="1">
        <v>9.2439999999999998</v>
      </c>
      <c r="J973" s="1">
        <v>5.1642000000000001</v>
      </c>
    </row>
    <row r="974" spans="2:10" x14ac:dyDescent="0.3">
      <c r="B974" s="10">
        <f t="shared" si="30"/>
        <v>2022</v>
      </c>
      <c r="C974" s="10">
        <f t="shared" si="31"/>
        <v>8</v>
      </c>
      <c r="D974" s="3">
        <v>44789</v>
      </c>
      <c r="E974" s="1">
        <v>92.34</v>
      </c>
      <c r="F974" s="1">
        <v>86.53</v>
      </c>
      <c r="G974" s="1">
        <v>3.4802</v>
      </c>
      <c r="H974" s="1">
        <v>2.9007000000000001</v>
      </c>
      <c r="I974" s="1">
        <v>9.3290000000000006</v>
      </c>
      <c r="J974" s="1">
        <v>5.1459000000000001</v>
      </c>
    </row>
    <row r="975" spans="2:10" x14ac:dyDescent="0.3">
      <c r="B975" s="10">
        <f t="shared" si="30"/>
        <v>2022</v>
      </c>
      <c r="C975" s="10">
        <f t="shared" si="31"/>
        <v>8</v>
      </c>
      <c r="D975" s="3">
        <v>44788</v>
      </c>
      <c r="E975" s="1">
        <v>95.1</v>
      </c>
      <c r="F975" s="1">
        <v>89.41</v>
      </c>
      <c r="G975" s="1">
        <v>3.4403000000000001</v>
      </c>
      <c r="H975" s="1">
        <v>2.9517000000000002</v>
      </c>
      <c r="I975" s="1">
        <v>8.7279999999999998</v>
      </c>
      <c r="J975" s="1">
        <v>5.0960999999999999</v>
      </c>
    </row>
    <row r="976" spans="2:10" x14ac:dyDescent="0.3">
      <c r="B976" s="10">
        <f t="shared" si="30"/>
        <v>2022</v>
      </c>
      <c r="C976" s="10">
        <f t="shared" si="31"/>
        <v>8</v>
      </c>
      <c r="D976" s="3">
        <v>44785</v>
      </c>
      <c r="E976" s="1">
        <v>98.15</v>
      </c>
      <c r="F976" s="1">
        <v>92.09</v>
      </c>
      <c r="G976" s="1">
        <v>3.5177999999999998</v>
      </c>
      <c r="H976" s="1">
        <v>3.0459999999999998</v>
      </c>
      <c r="I976" s="1">
        <v>8.7680000000000007</v>
      </c>
      <c r="J976" s="1">
        <v>5.0735000000000001</v>
      </c>
    </row>
    <row r="977" spans="2:10" x14ac:dyDescent="0.3">
      <c r="B977" s="10">
        <f t="shared" si="30"/>
        <v>2022</v>
      </c>
      <c r="C977" s="10">
        <f t="shared" si="31"/>
        <v>8</v>
      </c>
      <c r="D977" s="3">
        <v>44784</v>
      </c>
      <c r="E977" s="1">
        <v>99.6</v>
      </c>
      <c r="F977" s="1">
        <v>94.34</v>
      </c>
      <c r="G977" s="1">
        <v>3.484</v>
      </c>
      <c r="H977" s="1">
        <v>3.0714999999999999</v>
      </c>
      <c r="I977" s="1">
        <v>8.8740000000000006</v>
      </c>
      <c r="J977" s="1">
        <v>5.1581000000000001</v>
      </c>
    </row>
    <row r="978" spans="2:10" x14ac:dyDescent="0.3">
      <c r="B978" s="10">
        <f t="shared" si="30"/>
        <v>2022</v>
      </c>
      <c r="C978" s="10">
        <f t="shared" si="31"/>
        <v>8</v>
      </c>
      <c r="D978" s="3">
        <v>44783</v>
      </c>
      <c r="E978" s="1">
        <v>97.4</v>
      </c>
      <c r="F978" s="1">
        <v>91.93</v>
      </c>
      <c r="G978" s="1">
        <v>3.4102999999999999</v>
      </c>
      <c r="H978" s="1">
        <v>3.0703</v>
      </c>
      <c r="I978" s="1">
        <v>8.202</v>
      </c>
      <c r="J978" s="1">
        <v>5.0926999999999998</v>
      </c>
    </row>
    <row r="979" spans="2:10" x14ac:dyDescent="0.3">
      <c r="B979" s="10">
        <f t="shared" si="30"/>
        <v>2022</v>
      </c>
      <c r="C979" s="10">
        <f t="shared" si="31"/>
        <v>8</v>
      </c>
      <c r="D979" s="3">
        <v>44782</v>
      </c>
      <c r="E979" s="1">
        <v>96.31</v>
      </c>
      <c r="F979" s="1">
        <v>90.5</v>
      </c>
      <c r="G979" s="1">
        <v>3.3338000000000001</v>
      </c>
      <c r="H979" s="1">
        <v>2.9601999999999999</v>
      </c>
      <c r="I979" s="1">
        <v>7.8330000000000002</v>
      </c>
      <c r="J979" s="1">
        <v>5.1237000000000004</v>
      </c>
    </row>
    <row r="980" spans="2:10" x14ac:dyDescent="0.3">
      <c r="B980" s="10">
        <f t="shared" si="30"/>
        <v>2022</v>
      </c>
      <c r="C980" s="10">
        <f t="shared" si="31"/>
        <v>8</v>
      </c>
      <c r="D980" s="3">
        <v>44781</v>
      </c>
      <c r="E980" s="1">
        <v>96.65</v>
      </c>
      <c r="F980" s="1">
        <v>90.76</v>
      </c>
      <c r="G980" s="1">
        <v>3.1791</v>
      </c>
      <c r="H980" s="1">
        <v>2.8862000000000001</v>
      </c>
      <c r="I980" s="1">
        <v>7.5890000000000004</v>
      </c>
      <c r="J980" s="1">
        <v>5.1116999999999999</v>
      </c>
    </row>
    <row r="981" spans="2:10" x14ac:dyDescent="0.3">
      <c r="B981" s="10">
        <f t="shared" si="30"/>
        <v>2022</v>
      </c>
      <c r="C981" s="10">
        <f t="shared" si="31"/>
        <v>8</v>
      </c>
      <c r="D981" s="3">
        <v>44778</v>
      </c>
      <c r="E981" s="1">
        <v>94.92</v>
      </c>
      <c r="F981" s="1">
        <v>89.01</v>
      </c>
      <c r="G981" s="1">
        <v>3.2159</v>
      </c>
      <c r="H981" s="1">
        <v>2.8555999999999999</v>
      </c>
      <c r="I981" s="1">
        <v>8.0640000000000001</v>
      </c>
      <c r="J981" s="1">
        <v>5.1646000000000001</v>
      </c>
    </row>
    <row r="982" spans="2:10" x14ac:dyDescent="0.3">
      <c r="B982" s="10">
        <f t="shared" si="30"/>
        <v>2022</v>
      </c>
      <c r="C982" s="10">
        <f t="shared" si="31"/>
        <v>8</v>
      </c>
      <c r="D982" s="3">
        <v>44777</v>
      </c>
      <c r="E982" s="1">
        <v>94.12</v>
      </c>
      <c r="F982" s="1">
        <v>88.54</v>
      </c>
      <c r="G982" s="1">
        <v>3.3372000000000002</v>
      </c>
      <c r="H982" s="1">
        <v>2.7934999999999999</v>
      </c>
      <c r="I982" s="1">
        <v>8.1219999999999999</v>
      </c>
      <c r="J982" s="1">
        <v>5.2164000000000001</v>
      </c>
    </row>
    <row r="983" spans="2:10" x14ac:dyDescent="0.3">
      <c r="B983" s="10">
        <f t="shared" si="30"/>
        <v>2022</v>
      </c>
      <c r="C983" s="10">
        <f t="shared" si="31"/>
        <v>8</v>
      </c>
      <c r="D983" s="3">
        <v>44776</v>
      </c>
      <c r="E983" s="1">
        <v>96.78</v>
      </c>
      <c r="F983" s="1">
        <v>90.66</v>
      </c>
      <c r="G983" s="1">
        <v>3.4148000000000001</v>
      </c>
      <c r="H983" s="1">
        <v>2.9121999999999999</v>
      </c>
      <c r="I983" s="1">
        <v>8.266</v>
      </c>
      <c r="J983" s="1">
        <v>5.2815000000000003</v>
      </c>
    </row>
    <row r="984" spans="2:10" x14ac:dyDescent="0.3">
      <c r="B984" s="10">
        <f t="shared" si="30"/>
        <v>2022</v>
      </c>
      <c r="C984" s="10">
        <f t="shared" si="31"/>
        <v>8</v>
      </c>
      <c r="D984" s="3">
        <v>44775</v>
      </c>
      <c r="E984" s="1">
        <v>100.54</v>
      </c>
      <c r="F984" s="1">
        <v>94.42</v>
      </c>
      <c r="G984" s="1">
        <v>3.3803999999999998</v>
      </c>
      <c r="H984" s="1">
        <v>3.0567000000000002</v>
      </c>
      <c r="I984" s="1">
        <v>7.7060000000000004</v>
      </c>
      <c r="J984" s="1">
        <v>5.2784000000000004</v>
      </c>
    </row>
    <row r="985" spans="2:10" x14ac:dyDescent="0.3">
      <c r="B985" s="10">
        <f t="shared" si="30"/>
        <v>2022</v>
      </c>
      <c r="C985" s="10">
        <f t="shared" si="31"/>
        <v>8</v>
      </c>
      <c r="D985" s="3">
        <v>44774</v>
      </c>
      <c r="E985" s="1">
        <v>100.03</v>
      </c>
      <c r="F985" s="1">
        <v>93.89</v>
      </c>
      <c r="G985" s="1">
        <v>3.44</v>
      </c>
      <c r="H985" s="1">
        <v>2.9981</v>
      </c>
      <c r="I985" s="1">
        <v>8.2829999999999995</v>
      </c>
      <c r="J985" s="1">
        <v>5.1837999999999997</v>
      </c>
    </row>
    <row r="986" spans="2:10" x14ac:dyDescent="0.3">
      <c r="B986" s="10">
        <f t="shared" si="30"/>
        <v>2022</v>
      </c>
      <c r="C986" s="10">
        <f t="shared" si="31"/>
        <v>7</v>
      </c>
      <c r="D986" s="3">
        <v>44771</v>
      </c>
      <c r="E986" s="1">
        <v>110.01</v>
      </c>
      <c r="F986" s="1">
        <v>98.62</v>
      </c>
      <c r="G986" s="1">
        <v>3.6246999999999998</v>
      </c>
      <c r="H986" s="1">
        <v>3.4881000000000002</v>
      </c>
      <c r="I986" s="1">
        <v>8.2289999999999992</v>
      </c>
      <c r="J986" s="1">
        <v>5.1734</v>
      </c>
    </row>
    <row r="987" spans="2:10" x14ac:dyDescent="0.3">
      <c r="B987" s="10">
        <f t="shared" si="30"/>
        <v>2022</v>
      </c>
      <c r="C987" s="10">
        <f t="shared" si="31"/>
        <v>7</v>
      </c>
      <c r="D987" s="3">
        <v>44770</v>
      </c>
      <c r="E987" s="1">
        <v>107.14</v>
      </c>
      <c r="F987" s="1">
        <v>96.42</v>
      </c>
      <c r="G987" s="1">
        <v>3.6863000000000001</v>
      </c>
      <c r="H987" s="1">
        <v>3.4645999999999999</v>
      </c>
      <c r="I987" s="1">
        <v>8.1340000000000003</v>
      </c>
      <c r="J987" s="1">
        <v>5.1822999999999997</v>
      </c>
    </row>
    <row r="988" spans="2:10" x14ac:dyDescent="0.3">
      <c r="B988" s="10">
        <f t="shared" si="30"/>
        <v>2022</v>
      </c>
      <c r="C988" s="10">
        <f t="shared" si="31"/>
        <v>7</v>
      </c>
      <c r="D988" s="3">
        <v>44769</v>
      </c>
      <c r="E988" s="1">
        <v>106.62</v>
      </c>
      <c r="F988" s="1">
        <v>97.26</v>
      </c>
      <c r="G988" s="1">
        <v>3.7172999999999998</v>
      </c>
      <c r="H988" s="1">
        <v>3.4287999999999998</v>
      </c>
      <c r="I988" s="1">
        <v>8.6869999999999994</v>
      </c>
      <c r="J988" s="1">
        <v>5.2431999999999999</v>
      </c>
    </row>
    <row r="989" spans="2:10" x14ac:dyDescent="0.3">
      <c r="B989" s="10">
        <f t="shared" si="30"/>
        <v>2022</v>
      </c>
      <c r="C989" s="10">
        <f t="shared" si="31"/>
        <v>7</v>
      </c>
      <c r="D989" s="3">
        <v>44768</v>
      </c>
      <c r="E989" s="1">
        <v>104.4</v>
      </c>
      <c r="F989" s="1">
        <v>94.98</v>
      </c>
      <c r="G989" s="1">
        <v>3.5838999999999999</v>
      </c>
      <c r="H989" s="1">
        <v>3.355</v>
      </c>
      <c r="I989" s="1">
        <v>8.9930000000000003</v>
      </c>
      <c r="J989" s="1">
        <v>5.3510999999999997</v>
      </c>
    </row>
    <row r="990" spans="2:10" x14ac:dyDescent="0.3">
      <c r="B990" s="10">
        <f t="shared" si="30"/>
        <v>2022</v>
      </c>
      <c r="C990" s="10">
        <f t="shared" si="31"/>
        <v>7</v>
      </c>
      <c r="D990" s="3">
        <v>44767</v>
      </c>
      <c r="E990" s="1">
        <v>105.15</v>
      </c>
      <c r="F990" s="1">
        <v>96.7</v>
      </c>
      <c r="G990" s="1">
        <v>3.5165999999999999</v>
      </c>
      <c r="H990" s="1">
        <v>3.3820000000000001</v>
      </c>
      <c r="I990" s="1">
        <v>8.7270000000000003</v>
      </c>
      <c r="J990" s="1">
        <v>5.3575999999999997</v>
      </c>
    </row>
    <row r="991" spans="2:10" x14ac:dyDescent="0.3">
      <c r="B991" s="10">
        <f t="shared" si="30"/>
        <v>2022</v>
      </c>
      <c r="C991" s="10">
        <f t="shared" si="31"/>
        <v>7</v>
      </c>
      <c r="D991" s="3">
        <v>44764</v>
      </c>
      <c r="E991" s="1">
        <v>103.2</v>
      </c>
      <c r="F991" s="1">
        <v>94.7</v>
      </c>
      <c r="G991" s="1">
        <v>3.4556</v>
      </c>
      <c r="H991" s="1">
        <v>3.2227999999999999</v>
      </c>
      <c r="I991" s="1">
        <v>8.2989999999999995</v>
      </c>
      <c r="J991" s="1">
        <v>5.4968000000000004</v>
      </c>
    </row>
    <row r="992" spans="2:10" x14ac:dyDescent="0.3">
      <c r="B992" s="10">
        <f t="shared" si="30"/>
        <v>2022</v>
      </c>
      <c r="C992" s="10">
        <f t="shared" si="31"/>
        <v>7</v>
      </c>
      <c r="D992" s="3">
        <v>44763</v>
      </c>
      <c r="E992" s="1">
        <v>103.86</v>
      </c>
      <c r="F992" s="1">
        <v>96.35</v>
      </c>
      <c r="G992" s="1">
        <v>3.5903</v>
      </c>
      <c r="H992" s="1">
        <v>3.1495000000000002</v>
      </c>
      <c r="I992" s="1">
        <v>7.9320000000000004</v>
      </c>
      <c r="J992" s="1">
        <v>5.4968000000000004</v>
      </c>
    </row>
    <row r="993" spans="2:10" x14ac:dyDescent="0.3">
      <c r="B993" s="10">
        <f t="shared" si="30"/>
        <v>2022</v>
      </c>
      <c r="C993" s="10">
        <f t="shared" si="31"/>
        <v>7</v>
      </c>
      <c r="D993" s="3">
        <v>44762</v>
      </c>
      <c r="E993" s="1">
        <v>106.92</v>
      </c>
      <c r="F993" s="1">
        <v>102.26</v>
      </c>
      <c r="G993" s="1">
        <v>3.6042999999999998</v>
      </c>
      <c r="H993" s="1">
        <v>3.2753999999999999</v>
      </c>
      <c r="I993" s="1">
        <v>8.0069999999999997</v>
      </c>
      <c r="J993" s="1">
        <v>5.4714</v>
      </c>
    </row>
    <row r="994" spans="2:10" x14ac:dyDescent="0.3">
      <c r="B994" s="10">
        <f t="shared" si="30"/>
        <v>2022</v>
      </c>
      <c r="C994" s="10">
        <f t="shared" si="31"/>
        <v>7</v>
      </c>
      <c r="D994" s="3">
        <v>44761</v>
      </c>
      <c r="E994" s="1">
        <v>107.35</v>
      </c>
      <c r="F994" s="1">
        <v>104.22</v>
      </c>
      <c r="G994" s="1">
        <v>3.6267999999999998</v>
      </c>
      <c r="H994" s="1">
        <v>3.3075000000000001</v>
      </c>
      <c r="I994" s="1">
        <v>7.2640000000000002</v>
      </c>
      <c r="J994" s="1">
        <v>5.4135</v>
      </c>
    </row>
    <row r="995" spans="2:10" x14ac:dyDescent="0.3">
      <c r="B995" s="10">
        <f t="shared" si="30"/>
        <v>2022</v>
      </c>
      <c r="C995" s="10">
        <f t="shared" si="31"/>
        <v>7</v>
      </c>
      <c r="D995" s="3">
        <v>44760</v>
      </c>
      <c r="E995" s="1">
        <v>106.27</v>
      </c>
      <c r="F995" s="1">
        <v>102.6</v>
      </c>
      <c r="G995" s="1">
        <v>3.6555</v>
      </c>
      <c r="H995" s="1">
        <v>3.2643</v>
      </c>
      <c r="I995" s="1">
        <v>7.4790000000000001</v>
      </c>
      <c r="J995" s="1">
        <v>5.4375</v>
      </c>
    </row>
    <row r="996" spans="2:10" x14ac:dyDescent="0.3">
      <c r="B996" s="10">
        <f t="shared" si="30"/>
        <v>2022</v>
      </c>
      <c r="C996" s="10">
        <f t="shared" si="31"/>
        <v>7</v>
      </c>
      <c r="D996" s="3">
        <v>44757</v>
      </c>
      <c r="E996" s="1">
        <v>101.16</v>
      </c>
      <c r="F996" s="1">
        <v>97.59</v>
      </c>
      <c r="G996" s="1">
        <v>3.6989999999999998</v>
      </c>
      <c r="H996" s="1">
        <v>3.2132000000000001</v>
      </c>
      <c r="I996" s="1">
        <v>7.016</v>
      </c>
      <c r="J996" s="1">
        <v>5.4081999999999999</v>
      </c>
    </row>
    <row r="997" spans="2:10" x14ac:dyDescent="0.3">
      <c r="B997" s="10">
        <f t="shared" si="30"/>
        <v>2022</v>
      </c>
      <c r="C997" s="10">
        <f t="shared" si="31"/>
        <v>7</v>
      </c>
      <c r="D997" s="3">
        <v>44756</v>
      </c>
      <c r="E997" s="1">
        <v>99.1</v>
      </c>
      <c r="F997" s="1">
        <v>95.78</v>
      </c>
      <c r="G997" s="1">
        <v>3.6494</v>
      </c>
      <c r="H997" s="1">
        <v>3.1867999999999999</v>
      </c>
      <c r="I997" s="1">
        <v>6.6</v>
      </c>
      <c r="J997" s="1">
        <v>5.4233000000000002</v>
      </c>
    </row>
    <row r="998" spans="2:10" x14ac:dyDescent="0.3">
      <c r="B998" s="10">
        <f t="shared" si="30"/>
        <v>2022</v>
      </c>
      <c r="C998" s="10">
        <f t="shared" si="31"/>
        <v>7</v>
      </c>
      <c r="D998" s="3">
        <v>44755</v>
      </c>
      <c r="E998" s="1">
        <v>99.57</v>
      </c>
      <c r="F998" s="1">
        <v>96.3</v>
      </c>
      <c r="G998" s="1">
        <v>3.6659000000000002</v>
      </c>
      <c r="H998" s="1">
        <v>3.2336999999999998</v>
      </c>
      <c r="I998" s="1">
        <v>6.6890000000000001</v>
      </c>
      <c r="J998" s="1">
        <v>5.3917000000000002</v>
      </c>
    </row>
    <row r="999" spans="2:10" x14ac:dyDescent="0.3">
      <c r="B999" s="10">
        <f t="shared" si="30"/>
        <v>2022</v>
      </c>
      <c r="C999" s="10">
        <f t="shared" si="31"/>
        <v>7</v>
      </c>
      <c r="D999" s="3">
        <v>44754</v>
      </c>
      <c r="E999" s="1">
        <v>99.49</v>
      </c>
      <c r="F999" s="1">
        <v>95.84</v>
      </c>
      <c r="G999" s="1">
        <v>3.6625999999999999</v>
      </c>
      <c r="H999" s="1">
        <v>3.2646000000000002</v>
      </c>
      <c r="I999" s="1">
        <v>6.1630000000000003</v>
      </c>
      <c r="J999" s="1">
        <v>5.4367999999999999</v>
      </c>
    </row>
    <row r="1000" spans="2:10" x14ac:dyDescent="0.3">
      <c r="B1000" s="10">
        <f t="shared" si="30"/>
        <v>2022</v>
      </c>
      <c r="C1000" s="10">
        <f t="shared" si="31"/>
        <v>7</v>
      </c>
      <c r="D1000" s="3">
        <v>44753</v>
      </c>
      <c r="E1000" s="1">
        <v>107.1</v>
      </c>
      <c r="F1000" s="1">
        <v>104.09</v>
      </c>
      <c r="G1000" s="1">
        <v>3.7681</v>
      </c>
      <c r="H1000" s="1">
        <v>3.4622000000000002</v>
      </c>
      <c r="I1000" s="1">
        <v>6.4260000000000002</v>
      </c>
      <c r="J1000" s="1">
        <v>5.3781999999999996</v>
      </c>
    </row>
    <row r="1001" spans="2:10" x14ac:dyDescent="0.3">
      <c r="B1001" s="10">
        <f t="shared" si="30"/>
        <v>2022</v>
      </c>
      <c r="C1001" s="10">
        <f t="shared" si="31"/>
        <v>7</v>
      </c>
      <c r="D1001" s="3">
        <v>44750</v>
      </c>
      <c r="E1001" s="1">
        <v>107.02</v>
      </c>
      <c r="F1001" s="1">
        <v>104.79</v>
      </c>
      <c r="G1001" s="1">
        <v>3.6728999999999998</v>
      </c>
      <c r="H1001" s="1">
        <v>3.4470999999999998</v>
      </c>
      <c r="I1001" s="1">
        <v>6.0339999999999998</v>
      </c>
      <c r="J1001" s="1">
        <v>5.2535999999999996</v>
      </c>
    </row>
    <row r="1002" spans="2:10" x14ac:dyDescent="0.3">
      <c r="B1002" s="10">
        <f t="shared" si="30"/>
        <v>2022</v>
      </c>
      <c r="C1002" s="10">
        <f t="shared" si="31"/>
        <v>7</v>
      </c>
      <c r="D1002" s="3">
        <v>44749</v>
      </c>
      <c r="E1002" s="1">
        <v>104.65</v>
      </c>
      <c r="F1002" s="1">
        <v>102.73</v>
      </c>
      <c r="G1002" s="1">
        <v>3.6739000000000002</v>
      </c>
      <c r="H1002" s="1">
        <v>3.4203999999999999</v>
      </c>
      <c r="I1002" s="1">
        <v>6.2969999999999997</v>
      </c>
      <c r="J1002" s="1">
        <v>5.3391000000000002</v>
      </c>
    </row>
    <row r="1003" spans="2:10" x14ac:dyDescent="0.3">
      <c r="B1003" s="10">
        <f t="shared" si="30"/>
        <v>2022</v>
      </c>
      <c r="C1003" s="10">
        <f t="shared" si="31"/>
        <v>7</v>
      </c>
      <c r="D1003" s="3">
        <v>44748</v>
      </c>
      <c r="E1003" s="1">
        <v>100.69</v>
      </c>
      <c r="F1003" s="1">
        <v>98.53</v>
      </c>
      <c r="G1003" s="1">
        <v>3.4106000000000001</v>
      </c>
      <c r="H1003" s="1">
        <v>3.2366000000000001</v>
      </c>
      <c r="I1003" s="1">
        <v>5.51</v>
      </c>
      <c r="J1003" s="1">
        <v>5.4287000000000001</v>
      </c>
    </row>
    <row r="1004" spans="2:10" x14ac:dyDescent="0.3">
      <c r="B1004" s="10">
        <f t="shared" si="30"/>
        <v>2022</v>
      </c>
      <c r="C1004" s="10">
        <f t="shared" si="31"/>
        <v>7</v>
      </c>
      <c r="D1004" s="3">
        <v>44747</v>
      </c>
      <c r="E1004" s="1">
        <v>102.77</v>
      </c>
      <c r="F1004" s="1">
        <v>99.5</v>
      </c>
      <c r="G1004" s="1">
        <v>3.6015999999999999</v>
      </c>
      <c r="H1004" s="1">
        <v>3.3290000000000002</v>
      </c>
      <c r="I1004" s="1">
        <v>5.5229999999999997</v>
      </c>
      <c r="J1004" s="1">
        <v>5.3860999999999999</v>
      </c>
    </row>
    <row r="1005" spans="2:10" x14ac:dyDescent="0.3">
      <c r="B1005" s="10">
        <f t="shared" si="30"/>
        <v>2022</v>
      </c>
      <c r="C1005" s="10">
        <f t="shared" si="31"/>
        <v>7</v>
      </c>
      <c r="D1005" s="3">
        <v>44746</v>
      </c>
      <c r="E1005" s="1">
        <v>113.5</v>
      </c>
      <c r="J1005" s="1">
        <v>5.3292999999999999</v>
      </c>
    </row>
    <row r="1006" spans="2:10" x14ac:dyDescent="0.3">
      <c r="B1006" s="10">
        <f t="shared" si="30"/>
        <v>2022</v>
      </c>
      <c r="C1006" s="10">
        <f t="shared" si="31"/>
        <v>7</v>
      </c>
      <c r="D1006" s="3">
        <v>44743</v>
      </c>
      <c r="E1006" s="1">
        <v>111.63</v>
      </c>
      <c r="F1006" s="1">
        <v>108.43</v>
      </c>
      <c r="G1006" s="1">
        <v>3.9388999999999998</v>
      </c>
      <c r="H1006" s="1">
        <v>3.6878000000000002</v>
      </c>
      <c r="I1006" s="1">
        <v>5.73</v>
      </c>
      <c r="J1006" s="1">
        <v>5.3310000000000004</v>
      </c>
    </row>
    <row r="1007" spans="2:10" x14ac:dyDescent="0.3">
      <c r="B1007" s="10">
        <f t="shared" si="30"/>
        <v>2022</v>
      </c>
      <c r="C1007" s="10">
        <f t="shared" si="31"/>
        <v>6</v>
      </c>
      <c r="D1007" s="3">
        <v>44742</v>
      </c>
      <c r="E1007" s="1">
        <v>114.81</v>
      </c>
      <c r="F1007" s="1">
        <v>105.76</v>
      </c>
      <c r="G1007" s="1">
        <v>3.8982000000000001</v>
      </c>
      <c r="H1007" s="1">
        <v>3.6497999999999999</v>
      </c>
      <c r="I1007" s="1">
        <v>5.4240000000000004</v>
      </c>
      <c r="J1007" s="1">
        <v>5.2561999999999998</v>
      </c>
    </row>
    <row r="1008" spans="2:10" x14ac:dyDescent="0.3">
      <c r="B1008" s="10">
        <f t="shared" si="30"/>
        <v>2022</v>
      </c>
      <c r="C1008" s="10">
        <f t="shared" si="31"/>
        <v>6</v>
      </c>
      <c r="D1008" s="3">
        <v>44741</v>
      </c>
      <c r="E1008" s="1">
        <v>116.26</v>
      </c>
      <c r="F1008" s="1">
        <v>109.78</v>
      </c>
      <c r="G1008" s="1">
        <v>4.0366999999999997</v>
      </c>
      <c r="H1008" s="1">
        <v>3.827</v>
      </c>
      <c r="I1008" s="1">
        <v>6.4980000000000002</v>
      </c>
      <c r="J1008" s="1">
        <v>5.1818</v>
      </c>
    </row>
    <row r="1009" spans="2:10" x14ac:dyDescent="0.3">
      <c r="B1009" s="10">
        <f t="shared" si="30"/>
        <v>2022</v>
      </c>
      <c r="C1009" s="10">
        <f t="shared" si="31"/>
        <v>6</v>
      </c>
      <c r="D1009" s="3">
        <v>44740</v>
      </c>
      <c r="E1009" s="1">
        <v>117.98</v>
      </c>
      <c r="F1009" s="1">
        <v>111.76</v>
      </c>
      <c r="G1009" s="1">
        <v>4.1993999999999998</v>
      </c>
      <c r="H1009" s="1">
        <v>3.9350999999999998</v>
      </c>
      <c r="I1009" s="1">
        <v>6.5510000000000002</v>
      </c>
      <c r="J1009" s="1">
        <v>5.2675000000000001</v>
      </c>
    </row>
    <row r="1010" spans="2:10" x14ac:dyDescent="0.3">
      <c r="B1010" s="10">
        <f t="shared" si="30"/>
        <v>2022</v>
      </c>
      <c r="C1010" s="10">
        <f t="shared" si="31"/>
        <v>6</v>
      </c>
      <c r="D1010" s="3">
        <v>44739</v>
      </c>
      <c r="E1010" s="1">
        <v>115.09</v>
      </c>
      <c r="F1010" s="1">
        <v>109.57</v>
      </c>
      <c r="G1010" s="1">
        <v>4.2302</v>
      </c>
      <c r="H1010" s="1">
        <v>3.8372000000000002</v>
      </c>
      <c r="I1010" s="1">
        <v>6.5010000000000003</v>
      </c>
      <c r="J1010" s="1">
        <v>5.2366000000000001</v>
      </c>
    </row>
    <row r="1011" spans="2:10" x14ac:dyDescent="0.3">
      <c r="B1011" s="10">
        <f t="shared" si="30"/>
        <v>2022</v>
      </c>
      <c r="C1011" s="10">
        <f t="shared" si="31"/>
        <v>6</v>
      </c>
      <c r="D1011" s="3">
        <v>44736</v>
      </c>
      <c r="E1011" s="1">
        <v>113.12</v>
      </c>
      <c r="F1011" s="1">
        <v>107.62</v>
      </c>
      <c r="G1011" s="1">
        <v>4.3628999999999998</v>
      </c>
      <c r="H1011" s="1">
        <v>3.8847999999999998</v>
      </c>
      <c r="I1011" s="1">
        <v>6.22</v>
      </c>
      <c r="J1011" s="1">
        <v>5.2416999999999998</v>
      </c>
    </row>
    <row r="1012" spans="2:10" x14ac:dyDescent="0.3">
      <c r="B1012" s="10">
        <f t="shared" si="30"/>
        <v>2022</v>
      </c>
      <c r="C1012" s="10">
        <f t="shared" si="31"/>
        <v>6</v>
      </c>
      <c r="D1012" s="3">
        <v>44735</v>
      </c>
      <c r="E1012" s="1">
        <v>110.05</v>
      </c>
      <c r="F1012" s="1">
        <v>104.27</v>
      </c>
      <c r="G1012" s="1">
        <v>4.3379000000000003</v>
      </c>
      <c r="H1012" s="1">
        <v>3.7656000000000001</v>
      </c>
      <c r="I1012" s="1">
        <v>6.2389999999999999</v>
      </c>
      <c r="J1012" s="1">
        <v>5.2405999999999997</v>
      </c>
    </row>
    <row r="1013" spans="2:10" x14ac:dyDescent="0.3">
      <c r="B1013" s="10">
        <f t="shared" si="30"/>
        <v>2022</v>
      </c>
      <c r="C1013" s="10">
        <f t="shared" si="31"/>
        <v>6</v>
      </c>
      <c r="D1013" s="3">
        <v>44734</v>
      </c>
      <c r="E1013" s="1">
        <v>111.74</v>
      </c>
      <c r="F1013" s="1">
        <v>106.19</v>
      </c>
      <c r="G1013" s="1">
        <v>4.4046000000000003</v>
      </c>
      <c r="H1013" s="1">
        <v>3.8340999999999998</v>
      </c>
      <c r="I1013" s="1">
        <v>6.8579999999999997</v>
      </c>
      <c r="J1013" s="1">
        <v>5.194</v>
      </c>
    </row>
    <row r="1014" spans="2:10" x14ac:dyDescent="0.3">
      <c r="B1014" s="10">
        <f t="shared" si="30"/>
        <v>2022</v>
      </c>
      <c r="C1014" s="10">
        <f t="shared" si="31"/>
        <v>6</v>
      </c>
      <c r="D1014" s="3">
        <v>44733</v>
      </c>
      <c r="E1014" s="1">
        <v>114.65</v>
      </c>
      <c r="F1014" s="1">
        <v>110.65</v>
      </c>
      <c r="G1014" s="1">
        <v>4.3583999999999996</v>
      </c>
      <c r="H1014" s="1">
        <v>3.7945000000000002</v>
      </c>
      <c r="I1014" s="1">
        <v>6.8079999999999998</v>
      </c>
      <c r="J1014" s="1">
        <v>5.1257000000000001</v>
      </c>
    </row>
    <row r="1015" spans="2:10" x14ac:dyDescent="0.3">
      <c r="B1015" s="10">
        <f t="shared" si="30"/>
        <v>2022</v>
      </c>
      <c r="C1015" s="10">
        <f t="shared" si="31"/>
        <v>6</v>
      </c>
      <c r="D1015" s="3">
        <v>44732</v>
      </c>
      <c r="E1015" s="1">
        <v>114.13</v>
      </c>
      <c r="J1015" s="1">
        <v>5.1879999999999997</v>
      </c>
    </row>
    <row r="1016" spans="2:10" x14ac:dyDescent="0.3">
      <c r="B1016" s="10">
        <f t="shared" si="30"/>
        <v>2022</v>
      </c>
      <c r="C1016" s="10">
        <f t="shared" si="31"/>
        <v>6</v>
      </c>
      <c r="D1016" s="3">
        <v>44729</v>
      </c>
      <c r="E1016" s="1">
        <v>113.12</v>
      </c>
      <c r="F1016" s="1">
        <v>109.56</v>
      </c>
      <c r="G1016" s="1">
        <v>4.3398000000000003</v>
      </c>
      <c r="H1016" s="1">
        <v>3.7930000000000001</v>
      </c>
      <c r="I1016" s="1">
        <v>6.944</v>
      </c>
      <c r="J1016" s="1">
        <v>5.1517999999999997</v>
      </c>
    </row>
    <row r="1017" spans="2:10" x14ac:dyDescent="0.3">
      <c r="B1017" s="10">
        <f t="shared" si="30"/>
        <v>2022</v>
      </c>
      <c r="C1017" s="10">
        <f t="shared" si="31"/>
        <v>6</v>
      </c>
      <c r="D1017" s="3">
        <v>44728</v>
      </c>
      <c r="E1017" s="1">
        <v>119.81</v>
      </c>
      <c r="F1017" s="1">
        <v>117.59</v>
      </c>
      <c r="G1017" s="1">
        <v>4.5712999999999999</v>
      </c>
      <c r="H1017" s="1">
        <v>3.9558</v>
      </c>
      <c r="I1017" s="1">
        <v>7.4640000000000004</v>
      </c>
      <c r="J1017" s="1">
        <v>5.0534999999999997</v>
      </c>
    </row>
    <row r="1018" spans="2:10" x14ac:dyDescent="0.3">
      <c r="B1018" s="10">
        <f t="shared" si="30"/>
        <v>2022</v>
      </c>
      <c r="C1018" s="10">
        <f t="shared" si="31"/>
        <v>6</v>
      </c>
      <c r="D1018" s="3">
        <v>44727</v>
      </c>
      <c r="E1018" s="1">
        <v>118.51</v>
      </c>
      <c r="F1018" s="1">
        <v>115.31</v>
      </c>
      <c r="G1018" s="1">
        <v>4.5469999999999997</v>
      </c>
      <c r="H1018" s="1">
        <v>3.8942000000000001</v>
      </c>
      <c r="I1018" s="1">
        <v>7.42</v>
      </c>
      <c r="J1018" s="1">
        <v>5.0536000000000003</v>
      </c>
    </row>
    <row r="1019" spans="2:10" x14ac:dyDescent="0.3">
      <c r="B1019" s="10">
        <f t="shared" si="30"/>
        <v>2022</v>
      </c>
      <c r="C1019" s="10">
        <f t="shared" si="31"/>
        <v>6</v>
      </c>
      <c r="D1019" s="3">
        <v>44726</v>
      </c>
      <c r="E1019" s="1">
        <v>121.17</v>
      </c>
      <c r="F1019" s="1">
        <v>118.93</v>
      </c>
      <c r="G1019" s="1">
        <v>4.3940000000000001</v>
      </c>
      <c r="H1019" s="1">
        <v>3.9937999999999998</v>
      </c>
      <c r="I1019" s="1">
        <v>7.1890000000000001</v>
      </c>
      <c r="J1019" s="1">
        <v>5.1167999999999996</v>
      </c>
    </row>
    <row r="1020" spans="2:10" x14ac:dyDescent="0.3">
      <c r="B1020" s="10">
        <f t="shared" si="30"/>
        <v>2022</v>
      </c>
      <c r="C1020" s="10">
        <f t="shared" si="31"/>
        <v>6</v>
      </c>
      <c r="D1020" s="3">
        <v>44725</v>
      </c>
      <c r="E1020" s="1">
        <v>122.27</v>
      </c>
      <c r="F1020" s="1">
        <v>120.93</v>
      </c>
      <c r="G1020" s="1">
        <v>4.2834000000000003</v>
      </c>
      <c r="H1020" s="1">
        <v>4.0353000000000003</v>
      </c>
      <c r="I1020" s="1">
        <v>8.609</v>
      </c>
      <c r="J1020" s="1">
        <v>5.1154000000000002</v>
      </c>
    </row>
    <row r="1021" spans="2:10" x14ac:dyDescent="0.3">
      <c r="B1021" s="10">
        <f t="shared" si="30"/>
        <v>2022</v>
      </c>
      <c r="C1021" s="10">
        <f t="shared" si="31"/>
        <v>6</v>
      </c>
      <c r="D1021" s="3">
        <v>44722</v>
      </c>
      <c r="E1021" s="1">
        <v>122.01</v>
      </c>
      <c r="F1021" s="1">
        <v>120.67</v>
      </c>
      <c r="G1021" s="1">
        <v>4.3666999999999998</v>
      </c>
      <c r="H1021" s="1">
        <v>4.1722000000000001</v>
      </c>
      <c r="I1021" s="1">
        <v>8.85</v>
      </c>
      <c r="J1021" s="1">
        <v>4.9865000000000004</v>
      </c>
    </row>
    <row r="1022" spans="2:10" x14ac:dyDescent="0.3">
      <c r="B1022" s="10">
        <f t="shared" si="30"/>
        <v>2022</v>
      </c>
      <c r="C1022" s="10">
        <f t="shared" si="31"/>
        <v>6</v>
      </c>
      <c r="D1022" s="3">
        <v>44721</v>
      </c>
      <c r="E1022" s="1">
        <v>123.07</v>
      </c>
      <c r="F1022" s="1">
        <v>121.51</v>
      </c>
      <c r="G1022" s="1">
        <v>4.4036999999999997</v>
      </c>
      <c r="H1022" s="1">
        <v>4.2762000000000002</v>
      </c>
      <c r="I1022" s="1">
        <v>8.9629999999999992</v>
      </c>
      <c r="J1022" s="1">
        <v>4.9062999999999999</v>
      </c>
    </row>
    <row r="1023" spans="2:10" x14ac:dyDescent="0.3">
      <c r="B1023" s="10">
        <f t="shared" si="30"/>
        <v>2022</v>
      </c>
      <c r="C1023" s="10">
        <f t="shared" si="31"/>
        <v>6</v>
      </c>
      <c r="D1023" s="3">
        <v>44720</v>
      </c>
      <c r="E1023" s="1">
        <v>123.58</v>
      </c>
      <c r="F1023" s="1">
        <v>122.11</v>
      </c>
      <c r="G1023" s="1">
        <v>4.3143000000000002</v>
      </c>
      <c r="H1023" s="1">
        <v>4.2218999999999998</v>
      </c>
      <c r="I1023" s="1">
        <v>8.6989999999999998</v>
      </c>
      <c r="J1023" s="1">
        <v>4.8987999999999996</v>
      </c>
    </row>
    <row r="1024" spans="2:10" x14ac:dyDescent="0.3">
      <c r="B1024" s="10">
        <f t="shared" si="30"/>
        <v>2022</v>
      </c>
      <c r="C1024" s="10">
        <f t="shared" si="31"/>
        <v>6</v>
      </c>
      <c r="D1024" s="3">
        <v>44719</v>
      </c>
      <c r="E1024" s="1">
        <v>120.57</v>
      </c>
      <c r="F1024" s="1">
        <v>119.41</v>
      </c>
      <c r="G1024" s="1">
        <v>4.3205999999999998</v>
      </c>
      <c r="H1024" s="1">
        <v>4.1577000000000002</v>
      </c>
      <c r="I1024" s="1">
        <v>9.2929999999999993</v>
      </c>
      <c r="J1024" s="1">
        <v>4.8696000000000002</v>
      </c>
    </row>
    <row r="1025" spans="2:10" x14ac:dyDescent="0.3">
      <c r="B1025" s="10">
        <f t="shared" si="30"/>
        <v>2022</v>
      </c>
      <c r="C1025" s="10">
        <f t="shared" si="31"/>
        <v>6</v>
      </c>
      <c r="D1025" s="3">
        <v>44718</v>
      </c>
      <c r="E1025" s="1">
        <v>119.51</v>
      </c>
      <c r="F1025" s="1">
        <v>118.5</v>
      </c>
      <c r="G1025" s="1">
        <v>4.3601000000000001</v>
      </c>
      <c r="H1025" s="1">
        <v>4.1929999999999996</v>
      </c>
      <c r="I1025" s="1">
        <v>9.3219999999999992</v>
      </c>
      <c r="J1025" s="1">
        <v>4.7945000000000002</v>
      </c>
    </row>
    <row r="1026" spans="2:10" x14ac:dyDescent="0.3">
      <c r="B1026" s="10">
        <f t="shared" si="30"/>
        <v>2022</v>
      </c>
      <c r="C1026" s="10">
        <f t="shared" si="31"/>
        <v>6</v>
      </c>
      <c r="D1026" s="3">
        <v>44715</v>
      </c>
      <c r="E1026" s="1">
        <v>119.72</v>
      </c>
      <c r="F1026" s="1">
        <v>118.87</v>
      </c>
      <c r="G1026" s="1">
        <v>4.2803000000000004</v>
      </c>
      <c r="H1026" s="1">
        <v>4.2522000000000002</v>
      </c>
      <c r="I1026" s="1">
        <v>8.5229999999999997</v>
      </c>
      <c r="J1026" s="1">
        <v>4.7733999999999996</v>
      </c>
    </row>
    <row r="1027" spans="2:10" x14ac:dyDescent="0.3">
      <c r="B1027" s="10">
        <f t="shared" si="30"/>
        <v>2022</v>
      </c>
      <c r="C1027" s="10">
        <f t="shared" si="31"/>
        <v>6</v>
      </c>
      <c r="D1027" s="3">
        <v>44714</v>
      </c>
      <c r="E1027" s="1">
        <v>117.61</v>
      </c>
      <c r="F1027" s="1">
        <v>116.87</v>
      </c>
      <c r="G1027" s="1">
        <v>4.2084000000000001</v>
      </c>
      <c r="H1027" s="1">
        <v>4.1909000000000001</v>
      </c>
      <c r="I1027" s="1">
        <v>8.4849999999999994</v>
      </c>
      <c r="J1027" s="1">
        <v>4.7961999999999998</v>
      </c>
    </row>
    <row r="1028" spans="2:10" x14ac:dyDescent="0.3">
      <c r="B1028" s="10">
        <f t="shared" si="30"/>
        <v>2022</v>
      </c>
      <c r="C1028" s="10">
        <f t="shared" si="31"/>
        <v>6</v>
      </c>
      <c r="D1028" s="3">
        <v>44713</v>
      </c>
      <c r="E1028" s="1">
        <v>116.29</v>
      </c>
      <c r="F1028" s="1">
        <v>115.26</v>
      </c>
      <c r="G1028" s="1">
        <v>4.1433</v>
      </c>
      <c r="H1028" s="1">
        <v>4.0716000000000001</v>
      </c>
      <c r="I1028" s="1">
        <v>8.6959999999999997</v>
      </c>
      <c r="J1028" s="1">
        <v>4.8151000000000002</v>
      </c>
    </row>
    <row r="1029" spans="2:10" x14ac:dyDescent="0.3">
      <c r="B1029" s="10">
        <f t="shared" si="30"/>
        <v>2022</v>
      </c>
      <c r="C1029" s="10">
        <f t="shared" si="31"/>
        <v>5</v>
      </c>
      <c r="D1029" s="3">
        <v>44712</v>
      </c>
      <c r="E1029" s="1">
        <v>122.84</v>
      </c>
      <c r="F1029" s="1">
        <v>114.67</v>
      </c>
      <c r="G1029" s="1">
        <v>4.0909000000000004</v>
      </c>
      <c r="H1029" s="1">
        <v>4.0804</v>
      </c>
      <c r="I1029" s="1">
        <v>8.1449999999999996</v>
      </c>
      <c r="J1029" s="1">
        <v>4.7314999999999996</v>
      </c>
    </row>
    <row r="1030" spans="2:10" x14ac:dyDescent="0.3">
      <c r="B1030" s="10">
        <f t="shared" ref="B1030:B1093" si="32">YEAR(D1030)</f>
        <v>2022</v>
      </c>
      <c r="C1030" s="10">
        <f t="shared" ref="C1030:C1093" si="33">MONTH(D1030)</f>
        <v>5</v>
      </c>
      <c r="D1030" s="3">
        <v>44711</v>
      </c>
      <c r="E1030" s="1">
        <v>121.67</v>
      </c>
      <c r="J1030" s="1">
        <v>4.7526000000000002</v>
      </c>
    </row>
    <row r="1031" spans="2:10" x14ac:dyDescent="0.3">
      <c r="B1031" s="10">
        <f t="shared" si="32"/>
        <v>2022</v>
      </c>
      <c r="C1031" s="10">
        <f t="shared" si="33"/>
        <v>5</v>
      </c>
      <c r="D1031" s="3">
        <v>44708</v>
      </c>
      <c r="E1031" s="1">
        <v>119.43</v>
      </c>
      <c r="F1031" s="1">
        <v>115.07</v>
      </c>
      <c r="G1031" s="1">
        <v>4.0029000000000003</v>
      </c>
      <c r="H1031" s="1">
        <v>4.0157999999999996</v>
      </c>
      <c r="I1031" s="1">
        <v>8.7270000000000003</v>
      </c>
      <c r="J1031" s="1">
        <v>4.7294999999999998</v>
      </c>
    </row>
    <row r="1032" spans="2:10" x14ac:dyDescent="0.3">
      <c r="B1032" s="10">
        <f t="shared" si="32"/>
        <v>2022</v>
      </c>
      <c r="C1032" s="10">
        <f t="shared" si="33"/>
        <v>5</v>
      </c>
      <c r="D1032" s="3">
        <v>44707</v>
      </c>
      <c r="E1032" s="1">
        <v>117.4</v>
      </c>
      <c r="F1032" s="1">
        <v>114.09</v>
      </c>
      <c r="G1032" s="1">
        <v>3.968</v>
      </c>
      <c r="H1032" s="1">
        <v>3.8774000000000002</v>
      </c>
      <c r="I1032" s="1">
        <v>8.9079999999999995</v>
      </c>
      <c r="J1032" s="1">
        <v>4.7676999999999996</v>
      </c>
    </row>
    <row r="1033" spans="2:10" x14ac:dyDescent="0.3">
      <c r="B1033" s="10">
        <f t="shared" si="32"/>
        <v>2022</v>
      </c>
      <c r="C1033" s="10">
        <f t="shared" si="33"/>
        <v>5</v>
      </c>
      <c r="D1033" s="3">
        <v>44706</v>
      </c>
      <c r="E1033" s="1">
        <v>114.03</v>
      </c>
      <c r="F1033" s="1">
        <v>110.33</v>
      </c>
      <c r="G1033" s="1">
        <v>3.8664000000000001</v>
      </c>
      <c r="H1033" s="1">
        <v>3.8317000000000001</v>
      </c>
      <c r="I1033" s="1">
        <v>8.9710000000000001</v>
      </c>
      <c r="J1033" s="1">
        <v>4.8274999999999997</v>
      </c>
    </row>
    <row r="1034" spans="2:10" x14ac:dyDescent="0.3">
      <c r="B1034" s="10">
        <f t="shared" si="32"/>
        <v>2022</v>
      </c>
      <c r="C1034" s="10">
        <f t="shared" si="33"/>
        <v>5</v>
      </c>
      <c r="D1034" s="3">
        <v>44705</v>
      </c>
      <c r="E1034" s="1">
        <v>113.56</v>
      </c>
      <c r="F1034" s="1">
        <v>109.77</v>
      </c>
      <c r="G1034" s="1">
        <v>3.7818000000000001</v>
      </c>
      <c r="H1034" s="1">
        <v>3.8109999999999999</v>
      </c>
      <c r="I1034" s="1">
        <v>8.7959999999999994</v>
      </c>
      <c r="J1034" s="1">
        <v>4.8190999999999997</v>
      </c>
    </row>
    <row r="1035" spans="2:10" x14ac:dyDescent="0.3">
      <c r="B1035" s="10">
        <f t="shared" si="32"/>
        <v>2022</v>
      </c>
      <c r="C1035" s="10">
        <f t="shared" si="33"/>
        <v>5</v>
      </c>
      <c r="D1035" s="3">
        <v>44704</v>
      </c>
      <c r="E1035" s="1">
        <v>113.42</v>
      </c>
      <c r="F1035" s="1">
        <v>110.29</v>
      </c>
      <c r="G1035" s="1">
        <v>3.7688000000000001</v>
      </c>
      <c r="H1035" s="1">
        <v>3.7976999999999999</v>
      </c>
      <c r="I1035" s="1">
        <v>8.7439999999999998</v>
      </c>
      <c r="J1035" s="1">
        <v>4.8129999999999997</v>
      </c>
    </row>
    <row r="1036" spans="2:10" x14ac:dyDescent="0.3">
      <c r="B1036" s="10">
        <f t="shared" si="32"/>
        <v>2022</v>
      </c>
      <c r="C1036" s="10">
        <f t="shared" si="33"/>
        <v>5</v>
      </c>
      <c r="D1036" s="3">
        <v>44701</v>
      </c>
      <c r="E1036" s="1">
        <v>112.55</v>
      </c>
      <c r="F1036" s="1">
        <v>113.23</v>
      </c>
      <c r="G1036" s="1">
        <v>3.7391000000000001</v>
      </c>
      <c r="H1036" s="1">
        <v>3.8370000000000002</v>
      </c>
      <c r="I1036" s="1">
        <v>8.0830000000000002</v>
      </c>
      <c r="J1036" s="1">
        <v>4.8788</v>
      </c>
    </row>
    <row r="1037" spans="2:10" x14ac:dyDescent="0.3">
      <c r="B1037" s="10">
        <f t="shared" si="32"/>
        <v>2022</v>
      </c>
      <c r="C1037" s="10">
        <f t="shared" si="33"/>
        <v>5</v>
      </c>
      <c r="D1037" s="3">
        <v>44700</v>
      </c>
      <c r="E1037" s="1">
        <v>112.04</v>
      </c>
      <c r="F1037" s="1">
        <v>112.21</v>
      </c>
      <c r="G1037" s="1">
        <v>3.7919999999999998</v>
      </c>
      <c r="H1037" s="1">
        <v>3.8317000000000001</v>
      </c>
      <c r="I1037" s="1">
        <v>8.3079999999999998</v>
      </c>
      <c r="J1037" s="1">
        <v>4.9309000000000003</v>
      </c>
    </row>
    <row r="1038" spans="2:10" x14ac:dyDescent="0.3">
      <c r="B1038" s="10">
        <f t="shared" si="32"/>
        <v>2022</v>
      </c>
      <c r="C1038" s="10">
        <f t="shared" si="33"/>
        <v>5</v>
      </c>
      <c r="D1038" s="3">
        <v>44699</v>
      </c>
      <c r="E1038" s="1">
        <v>109.11</v>
      </c>
      <c r="F1038" s="1">
        <v>109.59</v>
      </c>
      <c r="G1038" s="1">
        <v>3.6680999999999999</v>
      </c>
      <c r="H1038" s="1">
        <v>3.7206000000000001</v>
      </c>
      <c r="I1038" s="1">
        <v>8.3680000000000003</v>
      </c>
      <c r="J1038" s="1">
        <v>4.9682000000000004</v>
      </c>
    </row>
    <row r="1039" spans="2:10" x14ac:dyDescent="0.3">
      <c r="B1039" s="10">
        <f t="shared" si="32"/>
        <v>2022</v>
      </c>
      <c r="C1039" s="10">
        <f t="shared" si="33"/>
        <v>5</v>
      </c>
      <c r="D1039" s="3">
        <v>44698</v>
      </c>
      <c r="E1039" s="1">
        <v>111.93</v>
      </c>
      <c r="F1039" s="1">
        <v>112.4</v>
      </c>
      <c r="G1039" s="1">
        <v>3.7993000000000001</v>
      </c>
      <c r="H1039" s="1">
        <v>3.9417</v>
      </c>
      <c r="I1039" s="1">
        <v>8.3040000000000003</v>
      </c>
      <c r="J1039" s="1">
        <v>4.9386999999999999</v>
      </c>
    </row>
    <row r="1040" spans="2:10" x14ac:dyDescent="0.3">
      <c r="B1040" s="10">
        <f t="shared" si="32"/>
        <v>2022</v>
      </c>
      <c r="C1040" s="10">
        <f t="shared" si="33"/>
        <v>5</v>
      </c>
      <c r="D1040" s="3">
        <v>44697</v>
      </c>
      <c r="E1040" s="1">
        <v>114.24</v>
      </c>
      <c r="F1040" s="1">
        <v>114.2</v>
      </c>
      <c r="G1040" s="1">
        <v>3.9075000000000002</v>
      </c>
      <c r="H1040" s="1">
        <v>4.0228999999999999</v>
      </c>
      <c r="I1040" s="1">
        <v>7.9560000000000004</v>
      </c>
      <c r="J1040" s="1">
        <v>5.0598999999999998</v>
      </c>
    </row>
    <row r="1041" spans="2:10" x14ac:dyDescent="0.3">
      <c r="B1041" s="10">
        <f t="shared" si="32"/>
        <v>2022</v>
      </c>
      <c r="C1041" s="10">
        <f t="shared" si="33"/>
        <v>5</v>
      </c>
      <c r="D1041" s="3">
        <v>44694</v>
      </c>
      <c r="E1041" s="1">
        <v>111.55</v>
      </c>
      <c r="F1041" s="1">
        <v>110.49</v>
      </c>
      <c r="G1041" s="1">
        <v>3.9211999999999998</v>
      </c>
      <c r="H1041" s="1">
        <v>3.9578000000000002</v>
      </c>
      <c r="I1041" s="1">
        <v>7.6630000000000003</v>
      </c>
      <c r="J1041" s="1">
        <v>5.0602</v>
      </c>
    </row>
    <row r="1042" spans="2:10" x14ac:dyDescent="0.3">
      <c r="B1042" s="10">
        <f t="shared" si="32"/>
        <v>2022</v>
      </c>
      <c r="C1042" s="10">
        <f t="shared" si="33"/>
        <v>5</v>
      </c>
      <c r="D1042" s="3">
        <v>44693</v>
      </c>
      <c r="E1042" s="1">
        <v>107.45</v>
      </c>
      <c r="F1042" s="1">
        <v>106.13</v>
      </c>
      <c r="G1042" s="1">
        <v>3.9161000000000001</v>
      </c>
      <c r="H1042" s="1">
        <v>3.7917000000000001</v>
      </c>
      <c r="I1042" s="1">
        <v>7.7389999999999999</v>
      </c>
      <c r="J1042" s="1">
        <v>5.1338999999999997</v>
      </c>
    </row>
    <row r="1043" spans="2:10" x14ac:dyDescent="0.3">
      <c r="B1043" s="10">
        <f t="shared" si="32"/>
        <v>2022</v>
      </c>
      <c r="C1043" s="10">
        <f t="shared" si="33"/>
        <v>5</v>
      </c>
      <c r="D1043" s="3">
        <v>44692</v>
      </c>
      <c r="E1043" s="1">
        <v>107.51</v>
      </c>
      <c r="F1043" s="1">
        <v>105.71</v>
      </c>
      <c r="G1043" s="1">
        <v>3.9512</v>
      </c>
      <c r="H1043" s="1">
        <v>3.6855000000000002</v>
      </c>
      <c r="I1043" s="1">
        <v>7.64</v>
      </c>
      <c r="J1043" s="1">
        <v>5.1372999999999998</v>
      </c>
    </row>
    <row r="1044" spans="2:10" x14ac:dyDescent="0.3">
      <c r="B1044" s="10">
        <f t="shared" si="32"/>
        <v>2022</v>
      </c>
      <c r="C1044" s="10">
        <f t="shared" si="33"/>
        <v>5</v>
      </c>
      <c r="D1044" s="3">
        <v>44691</v>
      </c>
      <c r="E1044" s="1">
        <v>102.46</v>
      </c>
      <c r="F1044" s="1">
        <v>99.76</v>
      </c>
      <c r="G1044" s="1">
        <v>3.9321999999999999</v>
      </c>
      <c r="H1044" s="1">
        <v>3.5415000000000001</v>
      </c>
      <c r="I1044" s="1">
        <v>7.3849999999999998</v>
      </c>
      <c r="J1044" s="1">
        <v>5.1313000000000004</v>
      </c>
    </row>
    <row r="1045" spans="2:10" x14ac:dyDescent="0.3">
      <c r="B1045" s="10">
        <f t="shared" si="32"/>
        <v>2022</v>
      </c>
      <c r="C1045" s="10">
        <f t="shared" si="33"/>
        <v>5</v>
      </c>
      <c r="D1045" s="3">
        <v>44690</v>
      </c>
      <c r="E1045" s="1">
        <v>105.94</v>
      </c>
      <c r="F1045" s="1">
        <v>103.09</v>
      </c>
      <c r="G1045" s="1">
        <v>3.8349000000000002</v>
      </c>
      <c r="H1045" s="1">
        <v>3.6419000000000001</v>
      </c>
      <c r="I1045" s="1">
        <v>7.0259999999999998</v>
      </c>
      <c r="J1045" s="1">
        <v>5.1616999999999997</v>
      </c>
    </row>
    <row r="1046" spans="2:10" x14ac:dyDescent="0.3">
      <c r="B1046" s="10">
        <f t="shared" si="32"/>
        <v>2022</v>
      </c>
      <c r="C1046" s="10">
        <f t="shared" si="33"/>
        <v>5</v>
      </c>
      <c r="D1046" s="3">
        <v>44687</v>
      </c>
      <c r="E1046" s="1">
        <v>112.39</v>
      </c>
      <c r="F1046" s="1">
        <v>109.77</v>
      </c>
      <c r="G1046" s="1">
        <v>3.9542999999999999</v>
      </c>
      <c r="H1046" s="1">
        <v>3.7589999999999999</v>
      </c>
      <c r="I1046" s="1">
        <v>8.0429999999999993</v>
      </c>
      <c r="J1046" s="1">
        <v>5.0773999999999999</v>
      </c>
    </row>
    <row r="1047" spans="2:10" x14ac:dyDescent="0.3">
      <c r="B1047" s="10">
        <f t="shared" si="32"/>
        <v>2022</v>
      </c>
      <c r="C1047" s="10">
        <f t="shared" si="33"/>
        <v>5</v>
      </c>
      <c r="D1047" s="3">
        <v>44686</v>
      </c>
      <c r="E1047" s="1">
        <v>110.9</v>
      </c>
      <c r="F1047" s="1">
        <v>108.26</v>
      </c>
      <c r="G1047" s="1">
        <v>4.0412999999999997</v>
      </c>
      <c r="H1047" s="1">
        <v>3.6587000000000001</v>
      </c>
      <c r="I1047" s="1">
        <v>8.7829999999999995</v>
      </c>
      <c r="J1047" s="1">
        <v>5.0279999999999996</v>
      </c>
    </row>
    <row r="1048" spans="2:10" x14ac:dyDescent="0.3">
      <c r="B1048" s="10">
        <f t="shared" si="32"/>
        <v>2022</v>
      </c>
      <c r="C1048" s="10">
        <f t="shared" si="33"/>
        <v>5</v>
      </c>
      <c r="D1048" s="3">
        <v>44685</v>
      </c>
      <c r="E1048" s="1">
        <v>110.14</v>
      </c>
      <c r="F1048" s="1">
        <v>107.81</v>
      </c>
      <c r="G1048" s="1">
        <v>4.1970000000000001</v>
      </c>
      <c r="H1048" s="1">
        <v>3.6522999999999999</v>
      </c>
      <c r="I1048" s="1">
        <v>8.4149999999999991</v>
      </c>
      <c r="J1048" s="1">
        <v>4.9198000000000004</v>
      </c>
    </row>
    <row r="1049" spans="2:10" x14ac:dyDescent="0.3">
      <c r="B1049" s="10">
        <f t="shared" si="32"/>
        <v>2022</v>
      </c>
      <c r="C1049" s="10">
        <f t="shared" si="33"/>
        <v>5</v>
      </c>
      <c r="D1049" s="3">
        <v>44684</v>
      </c>
      <c r="E1049" s="1">
        <v>104.97</v>
      </c>
      <c r="F1049" s="1">
        <v>102.41</v>
      </c>
      <c r="G1049" s="1">
        <v>4.0827</v>
      </c>
      <c r="H1049" s="1">
        <v>3.5011999999999999</v>
      </c>
      <c r="I1049" s="1">
        <v>7.9539999999999997</v>
      </c>
      <c r="J1049" s="1">
        <v>4.9584000000000001</v>
      </c>
    </row>
    <row r="1050" spans="2:10" x14ac:dyDescent="0.3">
      <c r="B1050" s="10">
        <f t="shared" si="32"/>
        <v>2022</v>
      </c>
      <c r="C1050" s="10">
        <f t="shared" si="33"/>
        <v>5</v>
      </c>
      <c r="D1050" s="3">
        <v>44683</v>
      </c>
      <c r="E1050" s="1">
        <v>107.58</v>
      </c>
      <c r="F1050" s="1">
        <v>105.17</v>
      </c>
      <c r="G1050" s="1">
        <v>4.2049000000000003</v>
      </c>
      <c r="H1050" s="1">
        <v>3.5101</v>
      </c>
      <c r="I1050" s="1">
        <v>7.4749999999999996</v>
      </c>
      <c r="J1050" s="1">
        <v>5.0848000000000004</v>
      </c>
    </row>
    <row r="1051" spans="2:10" x14ac:dyDescent="0.3">
      <c r="B1051" s="10">
        <f t="shared" si="32"/>
        <v>2022</v>
      </c>
      <c r="C1051" s="10">
        <f t="shared" si="33"/>
        <v>4</v>
      </c>
      <c r="D1051" s="3">
        <v>44680</v>
      </c>
      <c r="E1051" s="1">
        <v>109.34</v>
      </c>
      <c r="F1051" s="1">
        <v>104.69</v>
      </c>
      <c r="G1051" s="1">
        <v>4.7816999999999998</v>
      </c>
      <c r="H1051" s="1">
        <v>3.4721000000000002</v>
      </c>
      <c r="I1051" s="1">
        <v>7.2439999999999998</v>
      </c>
      <c r="J1051" s="1">
        <v>4.9721000000000002</v>
      </c>
    </row>
    <row r="1052" spans="2:10" x14ac:dyDescent="0.3">
      <c r="B1052" s="10">
        <f t="shared" si="32"/>
        <v>2022</v>
      </c>
      <c r="C1052" s="10">
        <f t="shared" si="33"/>
        <v>4</v>
      </c>
      <c r="D1052" s="3">
        <v>44679</v>
      </c>
      <c r="E1052" s="1">
        <v>107.59</v>
      </c>
      <c r="F1052" s="1">
        <v>105.36</v>
      </c>
      <c r="G1052" s="1">
        <v>5.1353999999999997</v>
      </c>
      <c r="H1052" s="1">
        <v>3.5034000000000001</v>
      </c>
      <c r="I1052" s="1">
        <v>6.8879999999999999</v>
      </c>
      <c r="J1052" s="1">
        <v>4.9424999999999999</v>
      </c>
    </row>
    <row r="1053" spans="2:10" x14ac:dyDescent="0.3">
      <c r="B1053" s="10">
        <f t="shared" si="32"/>
        <v>2022</v>
      </c>
      <c r="C1053" s="10">
        <f t="shared" si="33"/>
        <v>4</v>
      </c>
      <c r="D1053" s="3">
        <v>44678</v>
      </c>
      <c r="E1053" s="1">
        <v>105.32</v>
      </c>
      <c r="F1053" s="1">
        <v>102.02</v>
      </c>
      <c r="G1053" s="1">
        <v>4.6742999999999997</v>
      </c>
      <c r="H1053" s="1">
        <v>3.456</v>
      </c>
      <c r="I1053" s="1">
        <v>7.2670000000000003</v>
      </c>
      <c r="J1053" s="1">
        <v>4.9650999999999996</v>
      </c>
    </row>
    <row r="1054" spans="2:10" x14ac:dyDescent="0.3">
      <c r="B1054" s="10">
        <f t="shared" si="32"/>
        <v>2022</v>
      </c>
      <c r="C1054" s="10">
        <f t="shared" si="33"/>
        <v>4</v>
      </c>
      <c r="D1054" s="3">
        <v>44677</v>
      </c>
      <c r="E1054" s="1">
        <v>104.99</v>
      </c>
      <c r="F1054" s="1">
        <v>101.7</v>
      </c>
      <c r="G1054" s="1">
        <v>4.4679000000000002</v>
      </c>
      <c r="H1054" s="1">
        <v>3.3388</v>
      </c>
      <c r="I1054" s="1">
        <v>6.85</v>
      </c>
      <c r="J1054" s="1">
        <v>4.9988999999999999</v>
      </c>
    </row>
    <row r="1055" spans="2:10" x14ac:dyDescent="0.3">
      <c r="B1055" s="10">
        <f t="shared" si="32"/>
        <v>2022</v>
      </c>
      <c r="C1055" s="10">
        <f t="shared" si="33"/>
        <v>4</v>
      </c>
      <c r="D1055" s="3">
        <v>44676</v>
      </c>
      <c r="E1055" s="1">
        <v>102.32</v>
      </c>
      <c r="F1055" s="1">
        <v>98.54</v>
      </c>
      <c r="G1055" s="1">
        <v>4.0909000000000004</v>
      </c>
      <c r="H1055" s="1">
        <v>3.2397999999999998</v>
      </c>
      <c r="I1055" s="1">
        <v>6.6689999999999996</v>
      </c>
      <c r="J1055" s="1">
        <v>4.8765999999999998</v>
      </c>
    </row>
    <row r="1056" spans="2:10" x14ac:dyDescent="0.3">
      <c r="B1056" s="10">
        <f t="shared" si="32"/>
        <v>2022</v>
      </c>
      <c r="C1056" s="10">
        <f t="shared" si="33"/>
        <v>4</v>
      </c>
      <c r="D1056" s="3">
        <v>44673</v>
      </c>
      <c r="E1056" s="1">
        <v>106.65</v>
      </c>
      <c r="F1056" s="1">
        <v>102.07</v>
      </c>
      <c r="G1056" s="1">
        <v>3.9386000000000001</v>
      </c>
      <c r="H1056" s="1">
        <v>3.3050000000000002</v>
      </c>
      <c r="I1056" s="1">
        <v>6.5339999999999998</v>
      </c>
      <c r="J1056" s="1">
        <v>4.7937000000000003</v>
      </c>
    </row>
    <row r="1057" spans="2:10" x14ac:dyDescent="0.3">
      <c r="B1057" s="10">
        <f t="shared" si="32"/>
        <v>2022</v>
      </c>
      <c r="C1057" s="10">
        <f t="shared" si="33"/>
        <v>4</v>
      </c>
      <c r="D1057" s="3">
        <v>44672</v>
      </c>
      <c r="E1057" s="1">
        <v>108.33</v>
      </c>
      <c r="F1057" s="1">
        <v>103.79</v>
      </c>
      <c r="G1057" s="1">
        <v>3.9007999999999998</v>
      </c>
      <c r="H1057" s="1">
        <v>3.3386</v>
      </c>
      <c r="I1057" s="1">
        <v>6.9569999999999999</v>
      </c>
      <c r="J1057" s="1">
        <v>4.6219999999999999</v>
      </c>
    </row>
    <row r="1058" spans="2:10" x14ac:dyDescent="0.3">
      <c r="B1058" s="10">
        <f t="shared" si="32"/>
        <v>2022</v>
      </c>
      <c r="C1058" s="10">
        <f t="shared" si="33"/>
        <v>4</v>
      </c>
      <c r="D1058" s="3">
        <v>44671</v>
      </c>
      <c r="E1058" s="1">
        <v>106.8</v>
      </c>
      <c r="F1058" s="1">
        <v>102.75</v>
      </c>
      <c r="G1058" s="1">
        <v>3.9731000000000001</v>
      </c>
      <c r="H1058" s="1">
        <v>3.2848000000000002</v>
      </c>
      <c r="I1058" s="1">
        <v>6.9370000000000003</v>
      </c>
      <c r="J1058" s="1">
        <v>4.6219000000000001</v>
      </c>
    </row>
    <row r="1059" spans="2:10" x14ac:dyDescent="0.3">
      <c r="B1059" s="10">
        <f t="shared" si="32"/>
        <v>2022</v>
      </c>
      <c r="C1059" s="10">
        <f t="shared" si="33"/>
        <v>4</v>
      </c>
      <c r="D1059" s="3">
        <v>44670</v>
      </c>
      <c r="E1059" s="1">
        <v>107.25</v>
      </c>
      <c r="F1059" s="1">
        <v>102.56</v>
      </c>
      <c r="G1059" s="1">
        <v>3.8618999999999999</v>
      </c>
      <c r="H1059" s="1">
        <v>3.2473999999999998</v>
      </c>
      <c r="I1059" s="1">
        <v>7.1760000000000002</v>
      </c>
      <c r="J1059" s="1">
        <v>4.6675000000000004</v>
      </c>
    </row>
    <row r="1060" spans="2:10" x14ac:dyDescent="0.3">
      <c r="B1060" s="10">
        <f t="shared" si="32"/>
        <v>2022</v>
      </c>
      <c r="C1060" s="10">
        <f t="shared" si="33"/>
        <v>4</v>
      </c>
      <c r="D1060" s="3">
        <v>44669</v>
      </c>
      <c r="E1060" s="1">
        <v>113.16</v>
      </c>
      <c r="F1060" s="1">
        <v>108.21</v>
      </c>
      <c r="G1060" s="1">
        <v>3.8908</v>
      </c>
      <c r="H1060" s="1">
        <v>3.3780999999999999</v>
      </c>
      <c r="I1060" s="1">
        <v>7.82</v>
      </c>
      <c r="J1060" s="1">
        <v>4.6527000000000003</v>
      </c>
    </row>
    <row r="1061" spans="2:10" x14ac:dyDescent="0.3">
      <c r="B1061" s="10">
        <f t="shared" si="32"/>
        <v>2022</v>
      </c>
      <c r="C1061" s="10">
        <f t="shared" si="33"/>
        <v>4</v>
      </c>
      <c r="D1061" s="3">
        <v>44666</v>
      </c>
      <c r="J1061" s="1">
        <v>4.6965000000000003</v>
      </c>
    </row>
    <row r="1062" spans="2:10" x14ac:dyDescent="0.3">
      <c r="B1062" s="10">
        <f t="shared" si="32"/>
        <v>2022</v>
      </c>
      <c r="C1062" s="10">
        <f t="shared" si="33"/>
        <v>4</v>
      </c>
      <c r="D1062" s="3">
        <v>44665</v>
      </c>
      <c r="E1062" s="1">
        <v>111.7</v>
      </c>
      <c r="F1062" s="1">
        <v>106.95</v>
      </c>
      <c r="G1062" s="1">
        <v>3.8548</v>
      </c>
      <c r="H1062" s="1">
        <v>3.3814000000000002</v>
      </c>
      <c r="I1062" s="1">
        <v>7.3</v>
      </c>
      <c r="J1062" s="1">
        <v>4.7012999999999998</v>
      </c>
    </row>
    <row r="1063" spans="2:10" x14ac:dyDescent="0.3">
      <c r="B1063" s="10">
        <f t="shared" si="32"/>
        <v>2022</v>
      </c>
      <c r="C1063" s="10">
        <f t="shared" si="33"/>
        <v>4</v>
      </c>
      <c r="D1063" s="3">
        <v>44664</v>
      </c>
      <c r="E1063" s="1">
        <v>108.78</v>
      </c>
      <c r="F1063" s="1">
        <v>104.25</v>
      </c>
      <c r="G1063" s="1">
        <v>3.7183999999999999</v>
      </c>
      <c r="H1063" s="1">
        <v>3.2913000000000001</v>
      </c>
      <c r="I1063" s="1">
        <v>6.9969999999999999</v>
      </c>
      <c r="J1063" s="1">
        <v>4.6898999999999997</v>
      </c>
    </row>
    <row r="1064" spans="2:10" x14ac:dyDescent="0.3">
      <c r="B1064" s="10">
        <f t="shared" si="32"/>
        <v>2022</v>
      </c>
      <c r="C1064" s="10">
        <f t="shared" si="33"/>
        <v>4</v>
      </c>
      <c r="D1064" s="3">
        <v>44663</v>
      </c>
      <c r="E1064" s="1">
        <v>104.64</v>
      </c>
      <c r="F1064" s="1">
        <v>100.6</v>
      </c>
      <c r="G1064" s="1">
        <v>3.4643999999999999</v>
      </c>
      <c r="H1064" s="1">
        <v>3.1537999999999999</v>
      </c>
      <c r="I1064" s="1">
        <v>6.68</v>
      </c>
      <c r="J1064" s="1">
        <v>4.6734999999999998</v>
      </c>
    </row>
    <row r="1065" spans="2:10" x14ac:dyDescent="0.3">
      <c r="B1065" s="10">
        <f t="shared" si="32"/>
        <v>2022</v>
      </c>
      <c r="C1065" s="10">
        <f t="shared" si="33"/>
        <v>4</v>
      </c>
      <c r="D1065" s="3">
        <v>44662</v>
      </c>
      <c r="E1065" s="1">
        <v>98.48</v>
      </c>
      <c r="F1065" s="1">
        <v>94.29</v>
      </c>
      <c r="G1065" s="1">
        <v>3.2677</v>
      </c>
      <c r="H1065" s="1">
        <v>3.0030999999999999</v>
      </c>
      <c r="I1065" s="1">
        <v>6.6429999999999998</v>
      </c>
      <c r="J1065" s="1">
        <v>4.6943999999999999</v>
      </c>
    </row>
    <row r="1066" spans="2:10" x14ac:dyDescent="0.3">
      <c r="B1066" s="10">
        <f t="shared" si="32"/>
        <v>2022</v>
      </c>
      <c r="C1066" s="10">
        <f t="shared" si="33"/>
        <v>4</v>
      </c>
      <c r="D1066" s="3">
        <v>44659</v>
      </c>
      <c r="E1066" s="1">
        <v>102.78</v>
      </c>
      <c r="F1066" s="1">
        <v>98.26</v>
      </c>
      <c r="G1066" s="1">
        <v>3.3176000000000001</v>
      </c>
      <c r="H1066" s="1">
        <v>3.1316000000000002</v>
      </c>
      <c r="I1066" s="1">
        <v>6.2779999999999996</v>
      </c>
      <c r="J1066" s="1">
        <v>4.6970000000000001</v>
      </c>
    </row>
    <row r="1067" spans="2:10" x14ac:dyDescent="0.3">
      <c r="B1067" s="10">
        <f t="shared" si="32"/>
        <v>2022</v>
      </c>
      <c r="C1067" s="10">
        <f t="shared" si="33"/>
        <v>4</v>
      </c>
      <c r="D1067" s="3">
        <v>44658</v>
      </c>
      <c r="E1067" s="1">
        <v>100.58</v>
      </c>
      <c r="F1067" s="1">
        <v>96.03</v>
      </c>
      <c r="G1067" s="1">
        <v>3.2677999999999998</v>
      </c>
      <c r="H1067" s="1">
        <v>3.0398000000000001</v>
      </c>
      <c r="I1067" s="1">
        <v>6.359</v>
      </c>
      <c r="J1067" s="1">
        <v>4.7523999999999997</v>
      </c>
    </row>
    <row r="1068" spans="2:10" x14ac:dyDescent="0.3">
      <c r="B1068" s="10">
        <f t="shared" si="32"/>
        <v>2022</v>
      </c>
      <c r="C1068" s="10">
        <f t="shared" si="33"/>
        <v>4</v>
      </c>
      <c r="D1068" s="3">
        <v>44657</v>
      </c>
      <c r="E1068" s="1">
        <v>101.07</v>
      </c>
      <c r="F1068" s="1">
        <v>96.23</v>
      </c>
      <c r="G1068" s="1">
        <v>3.3452000000000002</v>
      </c>
      <c r="H1068" s="1">
        <v>3.0461999999999998</v>
      </c>
      <c r="I1068" s="1">
        <v>6.0289999999999999</v>
      </c>
      <c r="J1068" s="1">
        <v>4.7161</v>
      </c>
    </row>
    <row r="1069" spans="2:10" x14ac:dyDescent="0.3">
      <c r="B1069" s="10">
        <f t="shared" si="32"/>
        <v>2022</v>
      </c>
      <c r="C1069" s="10">
        <f t="shared" si="33"/>
        <v>4</v>
      </c>
      <c r="D1069" s="3">
        <v>44656</v>
      </c>
      <c r="E1069" s="1">
        <v>106.64</v>
      </c>
      <c r="F1069" s="1">
        <v>101.96</v>
      </c>
      <c r="G1069" s="1">
        <v>3.4681999999999999</v>
      </c>
      <c r="H1069" s="1">
        <v>3.1648999999999998</v>
      </c>
      <c r="I1069" s="1">
        <v>6.032</v>
      </c>
      <c r="J1069" s="1">
        <v>4.6505999999999998</v>
      </c>
    </row>
    <row r="1070" spans="2:10" x14ac:dyDescent="0.3">
      <c r="B1070" s="10">
        <f t="shared" si="32"/>
        <v>2022</v>
      </c>
      <c r="C1070" s="10">
        <f t="shared" si="33"/>
        <v>4</v>
      </c>
      <c r="D1070" s="3">
        <v>44655</v>
      </c>
      <c r="E1070" s="1">
        <v>107.53</v>
      </c>
      <c r="F1070" s="1">
        <v>103.28</v>
      </c>
      <c r="G1070" s="1">
        <v>3.5461</v>
      </c>
      <c r="H1070" s="1">
        <v>3.1981000000000002</v>
      </c>
      <c r="I1070" s="1">
        <v>5.7119999999999997</v>
      </c>
      <c r="J1070" s="1">
        <v>4.5928000000000004</v>
      </c>
    </row>
    <row r="1071" spans="2:10" x14ac:dyDescent="0.3">
      <c r="B1071" s="10">
        <f t="shared" si="32"/>
        <v>2022</v>
      </c>
      <c r="C1071" s="10">
        <f t="shared" si="33"/>
        <v>4</v>
      </c>
      <c r="D1071" s="3">
        <v>44652</v>
      </c>
      <c r="E1071" s="1">
        <v>104.39</v>
      </c>
      <c r="F1071" s="1">
        <v>99.27</v>
      </c>
      <c r="G1071" s="1">
        <v>3.4239999999999999</v>
      </c>
      <c r="H1071" s="1">
        <v>3.1535000000000002</v>
      </c>
      <c r="I1071" s="1">
        <v>5.72</v>
      </c>
      <c r="J1071" s="1">
        <v>4.6574999999999998</v>
      </c>
    </row>
    <row r="1072" spans="2:10" x14ac:dyDescent="0.3">
      <c r="B1072" s="10">
        <f t="shared" si="32"/>
        <v>2022</v>
      </c>
      <c r="C1072" s="10">
        <f t="shared" si="33"/>
        <v>3</v>
      </c>
      <c r="D1072" s="3">
        <v>44651</v>
      </c>
      <c r="E1072" s="1">
        <v>107.91</v>
      </c>
      <c r="F1072" s="1">
        <v>100.28</v>
      </c>
      <c r="G1072" s="1">
        <v>3.6911999999999998</v>
      </c>
      <c r="H1072" s="1">
        <v>3.1896</v>
      </c>
      <c r="I1072" s="1">
        <v>5.6420000000000003</v>
      </c>
      <c r="J1072" s="1">
        <v>4.7389999999999999</v>
      </c>
    </row>
    <row r="1073" spans="2:10" x14ac:dyDescent="0.3">
      <c r="B1073" s="10">
        <f t="shared" si="32"/>
        <v>2022</v>
      </c>
      <c r="C1073" s="10">
        <f t="shared" si="33"/>
        <v>3</v>
      </c>
      <c r="D1073" s="3">
        <v>44650</v>
      </c>
      <c r="E1073" s="1">
        <v>113.45</v>
      </c>
      <c r="F1073" s="1">
        <v>107.82</v>
      </c>
      <c r="G1073" s="1">
        <v>3.8085</v>
      </c>
      <c r="H1073" s="1">
        <v>3.3250000000000002</v>
      </c>
      <c r="I1073" s="1">
        <v>5.6050000000000004</v>
      </c>
      <c r="J1073" s="1">
        <v>4.7685000000000004</v>
      </c>
    </row>
    <row r="1074" spans="2:10" x14ac:dyDescent="0.3">
      <c r="B1074" s="10">
        <f t="shared" si="32"/>
        <v>2022</v>
      </c>
      <c r="C1074" s="10">
        <f t="shared" si="33"/>
        <v>3</v>
      </c>
      <c r="D1074" s="3">
        <v>44649</v>
      </c>
      <c r="E1074" s="1">
        <v>110.23</v>
      </c>
      <c r="F1074" s="1">
        <v>104.24</v>
      </c>
      <c r="G1074" s="1">
        <v>3.7161</v>
      </c>
      <c r="H1074" s="1">
        <v>3.2033</v>
      </c>
      <c r="I1074" s="1">
        <v>5.3360000000000003</v>
      </c>
      <c r="J1074" s="1">
        <v>4.7561</v>
      </c>
    </row>
    <row r="1075" spans="2:10" x14ac:dyDescent="0.3">
      <c r="B1075" s="10">
        <f t="shared" si="32"/>
        <v>2022</v>
      </c>
      <c r="C1075" s="10">
        <f t="shared" si="33"/>
        <v>3</v>
      </c>
      <c r="D1075" s="3">
        <v>44648</v>
      </c>
      <c r="E1075" s="1">
        <v>112.48</v>
      </c>
      <c r="F1075" s="1">
        <v>105.96</v>
      </c>
      <c r="G1075" s="1">
        <v>3.7833999999999999</v>
      </c>
      <c r="H1075" s="1">
        <v>3.2187999999999999</v>
      </c>
      <c r="I1075" s="1">
        <v>5.508</v>
      </c>
      <c r="J1075" s="1">
        <v>4.7675000000000001</v>
      </c>
    </row>
    <row r="1076" spans="2:10" x14ac:dyDescent="0.3">
      <c r="B1076" s="10">
        <f t="shared" si="32"/>
        <v>2022</v>
      </c>
      <c r="C1076" s="10">
        <f t="shared" si="33"/>
        <v>3</v>
      </c>
      <c r="D1076" s="3">
        <v>44645</v>
      </c>
      <c r="E1076" s="1">
        <v>120.65</v>
      </c>
      <c r="F1076" s="1">
        <v>113.9</v>
      </c>
      <c r="G1076" s="1">
        <v>4.1146000000000003</v>
      </c>
      <c r="H1076" s="1">
        <v>3.47</v>
      </c>
      <c r="I1076" s="1">
        <v>5.5709999999999997</v>
      </c>
      <c r="J1076" s="1">
        <v>4.742</v>
      </c>
    </row>
    <row r="1077" spans="2:10" x14ac:dyDescent="0.3">
      <c r="B1077" s="10">
        <f t="shared" si="32"/>
        <v>2022</v>
      </c>
      <c r="C1077" s="10">
        <f t="shared" si="33"/>
        <v>3</v>
      </c>
      <c r="D1077" s="3">
        <v>44644</v>
      </c>
      <c r="E1077" s="1">
        <v>119.03</v>
      </c>
      <c r="F1077" s="1">
        <v>112.34</v>
      </c>
      <c r="G1077" s="1">
        <v>4.1534000000000004</v>
      </c>
      <c r="H1077" s="1">
        <v>3.3896999999999999</v>
      </c>
      <c r="I1077" s="1">
        <v>5.4009999999999998</v>
      </c>
      <c r="J1077" s="1">
        <v>4.8253000000000004</v>
      </c>
    </row>
    <row r="1078" spans="2:10" x14ac:dyDescent="0.3">
      <c r="B1078" s="10">
        <f t="shared" si="32"/>
        <v>2022</v>
      </c>
      <c r="C1078" s="10">
        <f t="shared" si="33"/>
        <v>3</v>
      </c>
      <c r="D1078" s="3">
        <v>44643</v>
      </c>
      <c r="E1078" s="1">
        <v>121.6</v>
      </c>
      <c r="F1078" s="1">
        <v>114.93</v>
      </c>
      <c r="G1078" s="1">
        <v>4.1147999999999998</v>
      </c>
      <c r="H1078" s="1">
        <v>3.4386999999999999</v>
      </c>
      <c r="I1078" s="1">
        <v>5.2320000000000002</v>
      </c>
      <c r="J1078" s="1">
        <v>4.8258000000000001</v>
      </c>
    </row>
    <row r="1079" spans="2:10" x14ac:dyDescent="0.3">
      <c r="B1079" s="10">
        <f t="shared" si="32"/>
        <v>2022</v>
      </c>
      <c r="C1079" s="10">
        <f t="shared" si="33"/>
        <v>3</v>
      </c>
      <c r="D1079" s="3">
        <v>44642</v>
      </c>
      <c r="E1079" s="1">
        <v>115.48</v>
      </c>
      <c r="F1079" s="1">
        <v>111.76</v>
      </c>
      <c r="G1079" s="1">
        <v>3.8641999999999999</v>
      </c>
      <c r="H1079" s="1">
        <v>3.3307000000000002</v>
      </c>
      <c r="I1079" s="1">
        <v>5.1870000000000003</v>
      </c>
      <c r="J1079" s="1">
        <v>4.9093999999999998</v>
      </c>
    </row>
    <row r="1080" spans="2:10" x14ac:dyDescent="0.3">
      <c r="B1080" s="10">
        <f t="shared" si="32"/>
        <v>2022</v>
      </c>
      <c r="C1080" s="10">
        <f t="shared" si="33"/>
        <v>3</v>
      </c>
      <c r="D1080" s="3">
        <v>44641</v>
      </c>
      <c r="E1080" s="1">
        <v>115.62</v>
      </c>
      <c r="F1080" s="1">
        <v>112.12</v>
      </c>
      <c r="G1080" s="1">
        <v>3.8008999999999999</v>
      </c>
      <c r="H1080" s="1">
        <v>3.3715999999999999</v>
      </c>
      <c r="I1080" s="1">
        <v>4.9000000000000004</v>
      </c>
      <c r="J1080" s="1">
        <v>4.9353999999999996</v>
      </c>
    </row>
    <row r="1081" spans="2:10" x14ac:dyDescent="0.3">
      <c r="B1081" s="10">
        <f t="shared" si="32"/>
        <v>2022</v>
      </c>
      <c r="C1081" s="10">
        <f t="shared" si="33"/>
        <v>3</v>
      </c>
      <c r="D1081" s="3">
        <v>44638</v>
      </c>
      <c r="E1081" s="1">
        <v>107.93</v>
      </c>
      <c r="F1081" s="1">
        <v>104.7</v>
      </c>
      <c r="G1081" s="1">
        <v>3.5981000000000001</v>
      </c>
      <c r="H1081" s="1">
        <v>3.2387999999999999</v>
      </c>
      <c r="I1081" s="1">
        <v>4.8630000000000004</v>
      </c>
      <c r="J1081" s="1">
        <v>5.0231000000000003</v>
      </c>
    </row>
    <row r="1082" spans="2:10" x14ac:dyDescent="0.3">
      <c r="B1082" s="10">
        <f t="shared" si="32"/>
        <v>2022</v>
      </c>
      <c r="C1082" s="10">
        <f t="shared" si="33"/>
        <v>3</v>
      </c>
      <c r="D1082" s="3">
        <v>44637</v>
      </c>
      <c r="E1082" s="1">
        <v>106.64</v>
      </c>
      <c r="F1082" s="1">
        <v>102.98</v>
      </c>
      <c r="G1082" s="1">
        <v>3.4874000000000001</v>
      </c>
      <c r="H1082" s="1">
        <v>3.2166000000000001</v>
      </c>
      <c r="I1082" s="1">
        <v>4.99</v>
      </c>
      <c r="J1082" s="1">
        <v>5.0389999999999997</v>
      </c>
    </row>
    <row r="1083" spans="2:10" x14ac:dyDescent="0.3">
      <c r="B1083" s="10">
        <f t="shared" si="32"/>
        <v>2022</v>
      </c>
      <c r="C1083" s="10">
        <f t="shared" si="33"/>
        <v>3</v>
      </c>
      <c r="D1083" s="3">
        <v>44636</v>
      </c>
      <c r="E1083" s="1">
        <v>98.02</v>
      </c>
      <c r="F1083" s="1">
        <v>95.04</v>
      </c>
      <c r="G1083" s="1">
        <v>3.1000999999999999</v>
      </c>
      <c r="H1083" s="1">
        <v>2.9874999999999998</v>
      </c>
      <c r="I1083" s="1">
        <v>4.7480000000000002</v>
      </c>
      <c r="J1083" s="1">
        <v>5.0757000000000003</v>
      </c>
    </row>
    <row r="1084" spans="2:10" x14ac:dyDescent="0.3">
      <c r="B1084" s="10">
        <f t="shared" si="32"/>
        <v>2022</v>
      </c>
      <c r="C1084" s="10">
        <f t="shared" si="33"/>
        <v>3</v>
      </c>
      <c r="D1084" s="3">
        <v>44635</v>
      </c>
      <c r="E1084" s="1">
        <v>99.91</v>
      </c>
      <c r="F1084" s="1">
        <v>96.44</v>
      </c>
      <c r="G1084" s="1">
        <v>3.0297000000000001</v>
      </c>
      <c r="H1084" s="1">
        <v>2.9981</v>
      </c>
      <c r="I1084" s="1">
        <v>4.5679999999999996</v>
      </c>
      <c r="J1084" s="1">
        <v>5.1631</v>
      </c>
    </row>
    <row r="1085" spans="2:10" x14ac:dyDescent="0.3">
      <c r="B1085" s="10">
        <f t="shared" si="32"/>
        <v>2022</v>
      </c>
      <c r="C1085" s="10">
        <f t="shared" si="33"/>
        <v>3</v>
      </c>
      <c r="D1085" s="3">
        <v>44634</v>
      </c>
      <c r="E1085" s="1">
        <v>106.9</v>
      </c>
      <c r="F1085" s="1">
        <v>103.01</v>
      </c>
      <c r="G1085" s="1">
        <v>3.2763</v>
      </c>
      <c r="H1085" s="1">
        <v>3.1688999999999998</v>
      </c>
      <c r="I1085" s="1">
        <v>4.6580000000000004</v>
      </c>
      <c r="J1085" s="1">
        <v>5.1193</v>
      </c>
    </row>
    <row r="1086" spans="2:10" x14ac:dyDescent="0.3">
      <c r="B1086" s="10">
        <f t="shared" si="32"/>
        <v>2022</v>
      </c>
      <c r="C1086" s="10">
        <f t="shared" si="33"/>
        <v>3</v>
      </c>
      <c r="D1086" s="3">
        <v>44631</v>
      </c>
      <c r="E1086" s="1">
        <v>112.67</v>
      </c>
      <c r="F1086" s="1">
        <v>109.33</v>
      </c>
      <c r="G1086" s="1">
        <v>3.4176000000000002</v>
      </c>
      <c r="H1086" s="1">
        <v>3.3121</v>
      </c>
      <c r="I1086" s="1">
        <v>4.7249999999999996</v>
      </c>
      <c r="J1086" s="1">
        <v>5.0744999999999996</v>
      </c>
    </row>
    <row r="1087" spans="2:10" x14ac:dyDescent="0.3">
      <c r="B1087" s="10">
        <f t="shared" si="32"/>
        <v>2022</v>
      </c>
      <c r="C1087" s="10">
        <f t="shared" si="33"/>
        <v>3</v>
      </c>
      <c r="D1087" s="3">
        <v>44630</v>
      </c>
      <c r="E1087" s="1">
        <v>109.33</v>
      </c>
      <c r="F1087" s="1">
        <v>106.02</v>
      </c>
      <c r="G1087" s="1">
        <v>3.2961999999999998</v>
      </c>
      <c r="H1087" s="1">
        <v>3.1566999999999998</v>
      </c>
      <c r="I1087" s="1">
        <v>4.6310000000000002</v>
      </c>
      <c r="J1087" s="1">
        <v>5.0110000000000001</v>
      </c>
    </row>
    <row r="1088" spans="2:10" x14ac:dyDescent="0.3">
      <c r="B1088" s="10">
        <f t="shared" si="32"/>
        <v>2022</v>
      </c>
      <c r="C1088" s="10">
        <f t="shared" si="33"/>
        <v>3</v>
      </c>
      <c r="D1088" s="3">
        <v>44629</v>
      </c>
      <c r="E1088" s="1">
        <v>111.14</v>
      </c>
      <c r="F1088" s="1">
        <v>108.7</v>
      </c>
      <c r="G1088" s="1">
        <v>3.4643000000000002</v>
      </c>
      <c r="H1088" s="1">
        <v>3.2938000000000001</v>
      </c>
      <c r="I1088" s="1">
        <v>4.5259999999999998</v>
      </c>
      <c r="J1088" s="1">
        <v>5.0122999999999998</v>
      </c>
    </row>
    <row r="1089" spans="2:10" x14ac:dyDescent="0.3">
      <c r="B1089" s="10">
        <f t="shared" si="32"/>
        <v>2022</v>
      </c>
      <c r="C1089" s="10">
        <f t="shared" si="33"/>
        <v>3</v>
      </c>
      <c r="D1089" s="3">
        <v>44628</v>
      </c>
      <c r="E1089" s="1">
        <v>127.98</v>
      </c>
      <c r="F1089" s="1">
        <v>123.7</v>
      </c>
      <c r="G1089" s="1">
        <v>4.4372999999999996</v>
      </c>
      <c r="H1089" s="1">
        <v>3.6825999999999999</v>
      </c>
      <c r="I1089" s="1">
        <v>4.5270000000000001</v>
      </c>
      <c r="J1089" s="1">
        <v>5.0598999999999998</v>
      </c>
    </row>
    <row r="1090" spans="2:10" x14ac:dyDescent="0.3">
      <c r="B1090" s="10">
        <f t="shared" si="32"/>
        <v>2022</v>
      </c>
      <c r="C1090" s="10">
        <f t="shared" si="33"/>
        <v>3</v>
      </c>
      <c r="D1090" s="3">
        <v>44627</v>
      </c>
      <c r="E1090" s="1">
        <v>123.21</v>
      </c>
      <c r="F1090" s="1">
        <v>119.4</v>
      </c>
      <c r="G1090" s="1">
        <v>3.9215</v>
      </c>
      <c r="H1090" s="1">
        <v>3.5720999999999998</v>
      </c>
      <c r="I1090" s="1">
        <v>4.8330000000000002</v>
      </c>
      <c r="J1090" s="1">
        <v>5.1115000000000004</v>
      </c>
    </row>
    <row r="1091" spans="2:10" x14ac:dyDescent="0.3">
      <c r="B1091" s="10">
        <f t="shared" si="32"/>
        <v>2022</v>
      </c>
      <c r="C1091" s="10">
        <f t="shared" si="33"/>
        <v>3</v>
      </c>
      <c r="D1091" s="3">
        <v>44624</v>
      </c>
      <c r="E1091" s="1">
        <v>118.11</v>
      </c>
      <c r="F1091" s="1">
        <v>115.68</v>
      </c>
      <c r="G1091" s="1">
        <v>3.7763</v>
      </c>
      <c r="H1091" s="1">
        <v>3.544</v>
      </c>
      <c r="I1091" s="1">
        <v>5.016</v>
      </c>
      <c r="J1091" s="1">
        <v>5.0620000000000003</v>
      </c>
    </row>
    <row r="1092" spans="2:10" x14ac:dyDescent="0.3">
      <c r="B1092" s="10">
        <f t="shared" si="32"/>
        <v>2022</v>
      </c>
      <c r="C1092" s="10">
        <f t="shared" si="33"/>
        <v>3</v>
      </c>
      <c r="D1092" s="3">
        <v>44623</v>
      </c>
      <c r="E1092" s="1">
        <v>110.46</v>
      </c>
      <c r="F1092" s="1">
        <v>107.67</v>
      </c>
      <c r="G1092" s="1">
        <v>3.5034000000000001</v>
      </c>
      <c r="H1092" s="1">
        <v>3.2844000000000002</v>
      </c>
      <c r="I1092" s="1">
        <v>4.7220000000000004</v>
      </c>
      <c r="J1092" s="1">
        <v>5.032</v>
      </c>
    </row>
    <row r="1093" spans="2:10" x14ac:dyDescent="0.3">
      <c r="B1093" s="10">
        <f t="shared" si="32"/>
        <v>2022</v>
      </c>
      <c r="C1093" s="10">
        <f t="shared" si="33"/>
        <v>3</v>
      </c>
      <c r="D1093" s="3">
        <v>44622</v>
      </c>
      <c r="E1093" s="1">
        <v>112.93</v>
      </c>
      <c r="F1093" s="1">
        <v>110.6</v>
      </c>
      <c r="G1093" s="1">
        <v>3.4946999999999999</v>
      </c>
      <c r="H1093" s="1">
        <v>3.3083</v>
      </c>
      <c r="I1093" s="1">
        <v>4.7619999999999996</v>
      </c>
      <c r="J1093" s="1">
        <v>5.0994999999999999</v>
      </c>
    </row>
    <row r="1094" spans="2:10" x14ac:dyDescent="0.3">
      <c r="B1094" s="10">
        <f t="shared" ref="B1094:B1157" si="34">YEAR(D1094)</f>
        <v>2022</v>
      </c>
      <c r="C1094" s="10">
        <f t="shared" ref="C1094:C1157" si="35">MONTH(D1094)</f>
        <v>3</v>
      </c>
      <c r="D1094" s="3">
        <v>44621</v>
      </c>
      <c r="E1094" s="1">
        <v>104.97</v>
      </c>
      <c r="F1094" s="1">
        <v>103.41</v>
      </c>
      <c r="G1094" s="1">
        <v>3.1511</v>
      </c>
      <c r="H1094" s="1">
        <v>3.0886999999999998</v>
      </c>
      <c r="I1094" s="1">
        <v>4.5730000000000004</v>
      </c>
      <c r="J1094" s="1">
        <v>5.1595000000000004</v>
      </c>
    </row>
    <row r="1095" spans="2:10" x14ac:dyDescent="0.3">
      <c r="B1095" s="10">
        <f t="shared" si="34"/>
        <v>2022</v>
      </c>
      <c r="C1095" s="10">
        <f t="shared" si="35"/>
        <v>2</v>
      </c>
      <c r="D1095" s="3">
        <v>44620</v>
      </c>
      <c r="E1095" s="1">
        <v>100.99</v>
      </c>
      <c r="F1095" s="1">
        <v>95.72</v>
      </c>
      <c r="G1095" s="1">
        <v>3.0133999999999999</v>
      </c>
      <c r="H1095" s="1">
        <v>2.7970000000000002</v>
      </c>
      <c r="I1095" s="1">
        <v>4.4020000000000001</v>
      </c>
      <c r="J1095" s="1">
        <v>5.1599000000000004</v>
      </c>
    </row>
    <row r="1096" spans="2:10" x14ac:dyDescent="0.3">
      <c r="B1096" s="10">
        <f t="shared" si="34"/>
        <v>2022</v>
      </c>
      <c r="C1096" s="10">
        <f t="shared" si="35"/>
        <v>2</v>
      </c>
      <c r="D1096" s="3">
        <v>44617</v>
      </c>
      <c r="E1096" s="1">
        <v>97.93</v>
      </c>
      <c r="F1096" s="1">
        <v>91.59</v>
      </c>
      <c r="G1096" s="1">
        <v>2.8494999999999999</v>
      </c>
      <c r="H1096" s="1">
        <v>2.7273000000000001</v>
      </c>
      <c r="I1096" s="1">
        <v>4.47</v>
      </c>
      <c r="J1096" s="1">
        <v>5.1623000000000001</v>
      </c>
    </row>
    <row r="1097" spans="2:10" x14ac:dyDescent="0.3">
      <c r="B1097" s="10">
        <f t="shared" si="34"/>
        <v>2022</v>
      </c>
      <c r="C1097" s="10">
        <f t="shared" si="35"/>
        <v>2</v>
      </c>
      <c r="D1097" s="3">
        <v>44616</v>
      </c>
      <c r="E1097" s="1">
        <v>99.08</v>
      </c>
      <c r="F1097" s="1">
        <v>92.81</v>
      </c>
      <c r="G1097" s="1">
        <v>2.8969</v>
      </c>
      <c r="H1097" s="1">
        <v>2.7709999999999999</v>
      </c>
      <c r="I1097" s="1">
        <v>4.5679999999999996</v>
      </c>
      <c r="J1097" s="1">
        <v>5.1231</v>
      </c>
    </row>
    <row r="1098" spans="2:10" x14ac:dyDescent="0.3">
      <c r="B1098" s="10">
        <f t="shared" si="34"/>
        <v>2022</v>
      </c>
      <c r="C1098" s="10">
        <f t="shared" si="35"/>
        <v>2</v>
      </c>
      <c r="D1098" s="3">
        <v>44615</v>
      </c>
      <c r="E1098" s="1">
        <v>96.84</v>
      </c>
      <c r="F1098" s="1">
        <v>92.1</v>
      </c>
      <c r="G1098" s="1">
        <v>2.8292000000000002</v>
      </c>
      <c r="H1098" s="1">
        <v>2.7252999999999998</v>
      </c>
      <c r="I1098" s="1">
        <v>4.6230000000000002</v>
      </c>
      <c r="J1098" s="1">
        <v>5.0096999999999996</v>
      </c>
    </row>
    <row r="1099" spans="2:10" x14ac:dyDescent="0.3">
      <c r="B1099" s="10">
        <f t="shared" si="34"/>
        <v>2022</v>
      </c>
      <c r="C1099" s="10">
        <f t="shared" si="35"/>
        <v>2</v>
      </c>
      <c r="D1099" s="3">
        <v>44614</v>
      </c>
      <c r="E1099" s="1">
        <v>96.84</v>
      </c>
      <c r="F1099" s="1">
        <v>92.35</v>
      </c>
      <c r="G1099" s="1">
        <v>2.8188</v>
      </c>
      <c r="H1099" s="1">
        <v>2.7107999999999999</v>
      </c>
      <c r="I1099" s="1">
        <v>4.4980000000000002</v>
      </c>
      <c r="J1099" s="1">
        <v>5.0583</v>
      </c>
    </row>
    <row r="1100" spans="2:10" x14ac:dyDescent="0.3">
      <c r="B1100" s="10">
        <f t="shared" si="34"/>
        <v>2022</v>
      </c>
      <c r="C1100" s="10">
        <f t="shared" si="35"/>
        <v>2</v>
      </c>
      <c r="D1100" s="3">
        <v>44613</v>
      </c>
      <c r="E1100" s="1">
        <v>95.39</v>
      </c>
      <c r="J1100" s="1">
        <v>5.1036000000000001</v>
      </c>
    </row>
    <row r="1101" spans="2:10" x14ac:dyDescent="0.3">
      <c r="B1101" s="10">
        <f t="shared" si="34"/>
        <v>2022</v>
      </c>
      <c r="C1101" s="10">
        <f t="shared" si="35"/>
        <v>2</v>
      </c>
      <c r="D1101" s="3">
        <v>44610</v>
      </c>
      <c r="E1101" s="1">
        <v>93.54</v>
      </c>
      <c r="F1101" s="1">
        <v>91.07</v>
      </c>
      <c r="G1101" s="1">
        <v>2.7814999999999999</v>
      </c>
      <c r="H1101" s="1">
        <v>2.6696</v>
      </c>
      <c r="I1101" s="1">
        <v>4.431</v>
      </c>
      <c r="J1101" s="1">
        <v>5.1384999999999996</v>
      </c>
    </row>
    <row r="1102" spans="2:10" x14ac:dyDescent="0.3">
      <c r="B1102" s="10">
        <f t="shared" si="34"/>
        <v>2022</v>
      </c>
      <c r="C1102" s="10">
        <f t="shared" si="35"/>
        <v>2</v>
      </c>
      <c r="D1102" s="3">
        <v>44609</v>
      </c>
      <c r="E1102" s="1">
        <v>92.97</v>
      </c>
      <c r="F1102" s="1">
        <v>91.76</v>
      </c>
      <c r="G1102" s="1">
        <v>2.7862</v>
      </c>
      <c r="H1102" s="1">
        <v>2.6486000000000001</v>
      </c>
      <c r="I1102" s="1">
        <v>4.4859999999999998</v>
      </c>
      <c r="J1102" s="1">
        <v>5.1718000000000002</v>
      </c>
    </row>
    <row r="1103" spans="2:10" x14ac:dyDescent="0.3">
      <c r="B1103" s="10">
        <f t="shared" si="34"/>
        <v>2022</v>
      </c>
      <c r="C1103" s="10">
        <f t="shared" si="35"/>
        <v>2</v>
      </c>
      <c r="D1103" s="3">
        <v>44608</v>
      </c>
      <c r="E1103" s="1">
        <v>94.81</v>
      </c>
      <c r="F1103" s="1">
        <v>93.66</v>
      </c>
      <c r="G1103" s="1">
        <v>2.8574999999999999</v>
      </c>
      <c r="H1103" s="1">
        <v>2.6770999999999998</v>
      </c>
      <c r="I1103" s="1">
        <v>4.7169999999999996</v>
      </c>
      <c r="J1103" s="1">
        <v>5.1364999999999998</v>
      </c>
    </row>
    <row r="1104" spans="2:10" x14ac:dyDescent="0.3">
      <c r="B1104" s="10">
        <f t="shared" si="34"/>
        <v>2022</v>
      </c>
      <c r="C1104" s="10">
        <f t="shared" si="35"/>
        <v>2</v>
      </c>
      <c r="D1104" s="3">
        <v>44607</v>
      </c>
      <c r="E1104" s="1">
        <v>93.28</v>
      </c>
      <c r="F1104" s="1">
        <v>92.07</v>
      </c>
      <c r="G1104" s="1">
        <v>2.8595000000000002</v>
      </c>
      <c r="H1104" s="1">
        <v>2.6690999999999998</v>
      </c>
      <c r="I1104" s="1">
        <v>4.306</v>
      </c>
      <c r="J1104" s="1">
        <v>5.1589999999999998</v>
      </c>
    </row>
    <row r="1105" spans="2:10" x14ac:dyDescent="0.3">
      <c r="B1105" s="10">
        <f t="shared" si="34"/>
        <v>2022</v>
      </c>
      <c r="C1105" s="10">
        <f t="shared" si="35"/>
        <v>2</v>
      </c>
      <c r="D1105" s="3">
        <v>44606</v>
      </c>
      <c r="E1105" s="1">
        <v>96.48</v>
      </c>
      <c r="F1105" s="1">
        <v>95.46</v>
      </c>
      <c r="G1105" s="1">
        <v>2.9618000000000002</v>
      </c>
      <c r="H1105" s="1">
        <v>2.7793999999999999</v>
      </c>
      <c r="I1105" s="1">
        <v>4.1950000000000003</v>
      </c>
      <c r="J1105" s="1">
        <v>5.2149000000000001</v>
      </c>
    </row>
    <row r="1106" spans="2:10" x14ac:dyDescent="0.3">
      <c r="B1106" s="10">
        <f t="shared" si="34"/>
        <v>2022</v>
      </c>
      <c r="C1106" s="10">
        <f t="shared" si="35"/>
        <v>2</v>
      </c>
      <c r="D1106" s="3">
        <v>44603</v>
      </c>
      <c r="E1106" s="1">
        <v>94.44</v>
      </c>
      <c r="F1106" s="1">
        <v>93.1</v>
      </c>
      <c r="G1106" s="1">
        <v>2.9108999999999998</v>
      </c>
      <c r="H1106" s="1">
        <v>2.7385999999999999</v>
      </c>
      <c r="I1106" s="1">
        <v>3.9409999999999998</v>
      </c>
      <c r="J1106" s="1">
        <v>5.2526999999999999</v>
      </c>
    </row>
    <row r="1107" spans="2:10" x14ac:dyDescent="0.3">
      <c r="B1107" s="10">
        <f t="shared" si="34"/>
        <v>2022</v>
      </c>
      <c r="C1107" s="10">
        <f t="shared" si="35"/>
        <v>2</v>
      </c>
      <c r="D1107" s="3">
        <v>44602</v>
      </c>
      <c r="E1107" s="1">
        <v>91.41</v>
      </c>
      <c r="F1107" s="1">
        <v>89.88</v>
      </c>
      <c r="G1107" s="1">
        <v>2.8271999999999999</v>
      </c>
      <c r="H1107" s="1">
        <v>2.6654</v>
      </c>
      <c r="I1107" s="1">
        <v>3.9590000000000001</v>
      </c>
      <c r="J1107" s="1">
        <v>5.2496</v>
      </c>
    </row>
    <row r="1108" spans="2:10" x14ac:dyDescent="0.3">
      <c r="B1108" s="10">
        <f t="shared" si="34"/>
        <v>2022</v>
      </c>
      <c r="C1108" s="10">
        <f t="shared" si="35"/>
        <v>2</v>
      </c>
      <c r="D1108" s="3">
        <v>44601</v>
      </c>
      <c r="E1108" s="1">
        <v>91.55</v>
      </c>
      <c r="F1108" s="1">
        <v>89.66</v>
      </c>
      <c r="G1108" s="1">
        <v>2.8249</v>
      </c>
      <c r="H1108" s="1">
        <v>2.6534</v>
      </c>
      <c r="I1108" s="1">
        <v>4.0090000000000003</v>
      </c>
      <c r="J1108" s="1">
        <v>5.2354000000000003</v>
      </c>
    </row>
    <row r="1109" spans="2:10" x14ac:dyDescent="0.3">
      <c r="B1109" s="10">
        <f t="shared" si="34"/>
        <v>2022</v>
      </c>
      <c r="C1109" s="10">
        <f t="shared" si="35"/>
        <v>2</v>
      </c>
      <c r="D1109" s="3">
        <v>44600</v>
      </c>
      <c r="E1109" s="1">
        <v>90.78</v>
      </c>
      <c r="F1109" s="1">
        <v>89.36</v>
      </c>
      <c r="G1109" s="1">
        <v>2.7926000000000002</v>
      </c>
      <c r="H1109" s="1">
        <v>2.6251000000000002</v>
      </c>
      <c r="I1109" s="1">
        <v>4.2480000000000002</v>
      </c>
      <c r="J1109" s="1">
        <v>5.2592999999999996</v>
      </c>
    </row>
    <row r="1110" spans="2:10" x14ac:dyDescent="0.3">
      <c r="B1110" s="10">
        <f t="shared" si="34"/>
        <v>2022</v>
      </c>
      <c r="C1110" s="10">
        <f t="shared" si="35"/>
        <v>2</v>
      </c>
      <c r="D1110" s="3">
        <v>44599</v>
      </c>
      <c r="E1110" s="1">
        <v>92.69</v>
      </c>
      <c r="F1110" s="1">
        <v>91.32</v>
      </c>
      <c r="G1110" s="1">
        <v>2.8553999999999999</v>
      </c>
      <c r="H1110" s="1">
        <v>2.6852999999999998</v>
      </c>
      <c r="I1110" s="1">
        <v>4.2320000000000002</v>
      </c>
      <c r="J1110" s="1">
        <v>5.2636000000000003</v>
      </c>
    </row>
    <row r="1111" spans="2:10" x14ac:dyDescent="0.3">
      <c r="B1111" s="10">
        <f t="shared" si="34"/>
        <v>2022</v>
      </c>
      <c r="C1111" s="10">
        <f t="shared" si="35"/>
        <v>2</v>
      </c>
      <c r="D1111" s="3">
        <v>44596</v>
      </c>
      <c r="E1111" s="1">
        <v>93.27</v>
      </c>
      <c r="F1111" s="1">
        <v>92.31</v>
      </c>
      <c r="G1111" s="1">
        <v>2.8751000000000002</v>
      </c>
      <c r="H1111" s="1">
        <v>2.6785000000000001</v>
      </c>
      <c r="I1111" s="1">
        <v>4.5720000000000001</v>
      </c>
      <c r="J1111" s="1">
        <v>5.3278999999999996</v>
      </c>
    </row>
    <row r="1112" spans="2:10" x14ac:dyDescent="0.3">
      <c r="B1112" s="10">
        <f t="shared" si="34"/>
        <v>2022</v>
      </c>
      <c r="C1112" s="10">
        <f t="shared" si="35"/>
        <v>2</v>
      </c>
      <c r="D1112" s="3">
        <v>44595</v>
      </c>
      <c r="E1112" s="1">
        <v>91.11</v>
      </c>
      <c r="F1112" s="1">
        <v>90.27</v>
      </c>
      <c r="G1112" s="1">
        <v>2.8395000000000001</v>
      </c>
      <c r="H1112" s="1">
        <v>2.6427</v>
      </c>
      <c r="I1112" s="1">
        <v>4.8879999999999999</v>
      </c>
      <c r="J1112" s="1">
        <v>5.2839</v>
      </c>
    </row>
    <row r="1113" spans="2:10" x14ac:dyDescent="0.3">
      <c r="B1113" s="10">
        <f t="shared" si="34"/>
        <v>2022</v>
      </c>
      <c r="C1113" s="10">
        <f t="shared" si="35"/>
        <v>2</v>
      </c>
      <c r="D1113" s="3">
        <v>44594</v>
      </c>
      <c r="E1113" s="1">
        <v>89.47</v>
      </c>
      <c r="F1113" s="1">
        <v>88.26</v>
      </c>
      <c r="G1113" s="1">
        <v>2.7688999999999999</v>
      </c>
      <c r="H1113" s="1">
        <v>2.6070000000000002</v>
      </c>
      <c r="I1113" s="1">
        <v>5.5010000000000003</v>
      </c>
      <c r="J1113" s="1">
        <v>5.2619999999999996</v>
      </c>
    </row>
    <row r="1114" spans="2:10" x14ac:dyDescent="0.3">
      <c r="B1114" s="10">
        <f t="shared" si="34"/>
        <v>2022</v>
      </c>
      <c r="C1114" s="10">
        <f t="shared" si="35"/>
        <v>2</v>
      </c>
      <c r="D1114" s="3">
        <v>44593</v>
      </c>
      <c r="E1114" s="1">
        <v>89.16</v>
      </c>
      <c r="F1114" s="1">
        <v>88.2</v>
      </c>
      <c r="G1114" s="1">
        <v>2.7412000000000001</v>
      </c>
      <c r="H1114" s="1">
        <v>2.5752000000000002</v>
      </c>
      <c r="I1114" s="1">
        <v>4.7510000000000003</v>
      </c>
      <c r="J1114" s="1">
        <v>5.2655000000000003</v>
      </c>
    </row>
    <row r="1115" spans="2:10" x14ac:dyDescent="0.3">
      <c r="B1115" s="10">
        <f t="shared" si="34"/>
        <v>2022</v>
      </c>
      <c r="C1115" s="10">
        <f t="shared" si="35"/>
        <v>1</v>
      </c>
      <c r="D1115" s="3">
        <v>44592</v>
      </c>
      <c r="E1115" s="1">
        <v>91.21</v>
      </c>
      <c r="F1115" s="1">
        <v>88.15</v>
      </c>
      <c r="G1115" s="1">
        <v>2.7591999999999999</v>
      </c>
      <c r="H1115" s="1">
        <v>2.5543</v>
      </c>
      <c r="I1115" s="1">
        <v>4.8739999999999997</v>
      </c>
      <c r="J1115" s="1">
        <v>5.3041</v>
      </c>
    </row>
    <row r="1116" spans="2:10" x14ac:dyDescent="0.3">
      <c r="B1116" s="10">
        <f t="shared" si="34"/>
        <v>2022</v>
      </c>
      <c r="C1116" s="10">
        <f t="shared" si="35"/>
        <v>1</v>
      </c>
      <c r="D1116" s="3">
        <v>44589</v>
      </c>
      <c r="E1116" s="1">
        <v>90.03</v>
      </c>
      <c r="F1116" s="1">
        <v>86.82</v>
      </c>
      <c r="G1116" s="1">
        <v>2.7854999999999999</v>
      </c>
      <c r="H1116" s="1">
        <v>2.5423</v>
      </c>
      <c r="I1116" s="1">
        <v>4.6390000000000002</v>
      </c>
      <c r="J1116" s="1">
        <v>5.3673999999999999</v>
      </c>
    </row>
    <row r="1117" spans="2:10" x14ac:dyDescent="0.3">
      <c r="B1117" s="10">
        <f t="shared" si="34"/>
        <v>2022</v>
      </c>
      <c r="C1117" s="10">
        <f t="shared" si="35"/>
        <v>1</v>
      </c>
      <c r="D1117" s="3">
        <v>44588</v>
      </c>
      <c r="E1117" s="1">
        <v>89.34</v>
      </c>
      <c r="F1117" s="1">
        <v>86.61</v>
      </c>
      <c r="G1117" s="1">
        <v>2.7945000000000002</v>
      </c>
      <c r="H1117" s="1">
        <v>2.5209999999999999</v>
      </c>
      <c r="I1117" s="1">
        <v>6.2649999999999997</v>
      </c>
      <c r="J1117" s="1">
        <v>5.4065000000000003</v>
      </c>
    </row>
    <row r="1118" spans="2:10" x14ac:dyDescent="0.3">
      <c r="B1118" s="10">
        <f t="shared" si="34"/>
        <v>2022</v>
      </c>
      <c r="C1118" s="10">
        <f t="shared" si="35"/>
        <v>1</v>
      </c>
      <c r="D1118" s="3">
        <v>44587</v>
      </c>
      <c r="E1118" s="1">
        <v>89.96</v>
      </c>
      <c r="F1118" s="1">
        <v>87.35</v>
      </c>
      <c r="G1118" s="1">
        <v>2.7440000000000002</v>
      </c>
      <c r="H1118" s="1">
        <v>2.5228999999999999</v>
      </c>
      <c r="I1118" s="1">
        <v>4.2770000000000001</v>
      </c>
      <c r="J1118" s="1">
        <v>5.4324000000000003</v>
      </c>
    </row>
    <row r="1119" spans="2:10" x14ac:dyDescent="0.3">
      <c r="B1119" s="10">
        <f t="shared" si="34"/>
        <v>2022</v>
      </c>
      <c r="C1119" s="10">
        <f t="shared" si="35"/>
        <v>1</v>
      </c>
      <c r="D1119" s="3">
        <v>44586</v>
      </c>
      <c r="E1119" s="1">
        <v>88.2</v>
      </c>
      <c r="F1119" s="1">
        <v>85.6</v>
      </c>
      <c r="G1119" s="1">
        <v>2.6690999999999998</v>
      </c>
      <c r="H1119" s="1">
        <v>2.4594999999999998</v>
      </c>
      <c r="I1119" s="1">
        <v>4.0529999999999999</v>
      </c>
      <c r="J1119" s="1">
        <v>5.4436999999999998</v>
      </c>
    </row>
    <row r="1120" spans="2:10" x14ac:dyDescent="0.3">
      <c r="B1120" s="10">
        <f t="shared" si="34"/>
        <v>2022</v>
      </c>
      <c r="C1120" s="10">
        <f t="shared" si="35"/>
        <v>1</v>
      </c>
      <c r="D1120" s="3">
        <v>44585</v>
      </c>
      <c r="E1120" s="1">
        <v>86.27</v>
      </c>
      <c r="F1120" s="1">
        <v>83.31</v>
      </c>
      <c r="G1120" s="1">
        <v>2.6274000000000002</v>
      </c>
      <c r="H1120" s="1">
        <v>2.3980000000000001</v>
      </c>
      <c r="I1120" s="1">
        <v>4.0270000000000001</v>
      </c>
      <c r="J1120" s="1">
        <v>5.4877000000000002</v>
      </c>
    </row>
    <row r="1121" spans="2:10" x14ac:dyDescent="0.3">
      <c r="B1121" s="10">
        <f t="shared" si="34"/>
        <v>2022</v>
      </c>
      <c r="C1121" s="10">
        <f t="shared" si="35"/>
        <v>1</v>
      </c>
      <c r="D1121" s="3">
        <v>44582</v>
      </c>
      <c r="E1121" s="1">
        <v>87.89</v>
      </c>
      <c r="F1121" s="1">
        <v>85.14</v>
      </c>
      <c r="G1121" s="1">
        <v>2.6911999999999998</v>
      </c>
      <c r="H1121" s="1">
        <v>2.4424000000000001</v>
      </c>
      <c r="I1121" s="1">
        <v>3.9990000000000001</v>
      </c>
      <c r="J1121" s="1">
        <v>5.4581999999999997</v>
      </c>
    </row>
    <row r="1122" spans="2:10" x14ac:dyDescent="0.3">
      <c r="B1122" s="10">
        <f t="shared" si="34"/>
        <v>2022</v>
      </c>
      <c r="C1122" s="10">
        <f t="shared" si="35"/>
        <v>1</v>
      </c>
      <c r="D1122" s="3">
        <v>44581</v>
      </c>
      <c r="E1122" s="1">
        <v>88.38</v>
      </c>
      <c r="F1122" s="1">
        <v>86.9</v>
      </c>
      <c r="G1122" s="1">
        <v>2.6718000000000002</v>
      </c>
      <c r="H1122" s="1">
        <v>2.4622000000000002</v>
      </c>
      <c r="I1122" s="1">
        <v>3.802</v>
      </c>
      <c r="J1122" s="1">
        <v>5.4191000000000003</v>
      </c>
    </row>
    <row r="1123" spans="2:10" x14ac:dyDescent="0.3">
      <c r="B1123" s="10">
        <f t="shared" si="34"/>
        <v>2022</v>
      </c>
      <c r="C1123" s="10">
        <f t="shared" si="35"/>
        <v>1</v>
      </c>
      <c r="D1123" s="3">
        <v>44580</v>
      </c>
      <c r="E1123" s="1">
        <v>88.44</v>
      </c>
      <c r="F1123" s="1">
        <v>86.96</v>
      </c>
      <c r="G1123" s="1">
        <v>2.6922999999999999</v>
      </c>
      <c r="H1123" s="1">
        <v>2.4569999999999999</v>
      </c>
      <c r="I1123" s="1">
        <v>4.0309999999999997</v>
      </c>
      <c r="J1123" s="1">
        <v>5.4382999999999999</v>
      </c>
    </row>
    <row r="1124" spans="2:10" x14ac:dyDescent="0.3">
      <c r="B1124" s="10">
        <f t="shared" si="34"/>
        <v>2022</v>
      </c>
      <c r="C1124" s="10">
        <f t="shared" si="35"/>
        <v>1</v>
      </c>
      <c r="D1124" s="3">
        <v>44579</v>
      </c>
      <c r="E1124" s="1">
        <v>87.51</v>
      </c>
      <c r="F1124" s="1">
        <v>85.43</v>
      </c>
      <c r="G1124" s="1">
        <v>2.6739999999999999</v>
      </c>
      <c r="H1124" s="1">
        <v>2.4318</v>
      </c>
      <c r="I1124" s="1">
        <v>4.2830000000000004</v>
      </c>
      <c r="J1124" s="1">
        <v>5.5666000000000002</v>
      </c>
    </row>
    <row r="1125" spans="2:10" x14ac:dyDescent="0.3">
      <c r="B1125" s="10">
        <f t="shared" si="34"/>
        <v>2022</v>
      </c>
      <c r="C1125" s="10">
        <f t="shared" si="35"/>
        <v>1</v>
      </c>
      <c r="D1125" s="3">
        <v>44578</v>
      </c>
      <c r="E1125" s="1">
        <v>86.48</v>
      </c>
      <c r="J1125" s="1">
        <v>5.5164999999999997</v>
      </c>
    </row>
    <row r="1126" spans="2:10" x14ac:dyDescent="0.3">
      <c r="B1126" s="10">
        <f t="shared" si="34"/>
        <v>2022</v>
      </c>
      <c r="C1126" s="10">
        <f t="shared" si="35"/>
        <v>1</v>
      </c>
      <c r="D1126" s="3">
        <v>44575</v>
      </c>
      <c r="E1126" s="1">
        <v>86.06</v>
      </c>
      <c r="F1126" s="1">
        <v>83.82</v>
      </c>
      <c r="G1126" s="1">
        <v>2.6343000000000001</v>
      </c>
      <c r="H1126" s="1">
        <v>2.419</v>
      </c>
      <c r="I1126" s="1">
        <v>4.2619999999999996</v>
      </c>
      <c r="J1126" s="1">
        <v>5.5343999999999998</v>
      </c>
    </row>
    <row r="1127" spans="2:10" x14ac:dyDescent="0.3">
      <c r="B1127" s="10">
        <f t="shared" si="34"/>
        <v>2022</v>
      </c>
      <c r="C1127" s="10">
        <f t="shared" si="35"/>
        <v>1</v>
      </c>
      <c r="D1127" s="3">
        <v>44574</v>
      </c>
      <c r="E1127" s="1">
        <v>84.47</v>
      </c>
      <c r="F1127" s="1">
        <v>82.12</v>
      </c>
      <c r="G1127" s="1">
        <v>2.6084999999999998</v>
      </c>
      <c r="H1127" s="1">
        <v>2.3841000000000001</v>
      </c>
      <c r="I1127" s="1">
        <v>4.2699999999999996</v>
      </c>
      <c r="J1127" s="1">
        <v>5.5286</v>
      </c>
    </row>
    <row r="1128" spans="2:10" x14ac:dyDescent="0.3">
      <c r="B1128" s="10">
        <f t="shared" si="34"/>
        <v>2022</v>
      </c>
      <c r="C1128" s="10">
        <f t="shared" si="35"/>
        <v>1</v>
      </c>
      <c r="D1128" s="3">
        <v>44573</v>
      </c>
      <c r="E1128" s="1">
        <v>84.67</v>
      </c>
      <c r="F1128" s="1">
        <v>82.64</v>
      </c>
      <c r="G1128" s="1">
        <v>2.5941999999999998</v>
      </c>
      <c r="H1128" s="1">
        <v>2.3908</v>
      </c>
      <c r="I1128" s="1">
        <v>4.8570000000000002</v>
      </c>
      <c r="J1128" s="1">
        <v>5.5338000000000003</v>
      </c>
    </row>
    <row r="1129" spans="2:10" x14ac:dyDescent="0.3">
      <c r="B1129" s="10">
        <f t="shared" si="34"/>
        <v>2022</v>
      </c>
      <c r="C1129" s="10">
        <f t="shared" si="35"/>
        <v>1</v>
      </c>
      <c r="D1129" s="3">
        <v>44572</v>
      </c>
      <c r="E1129" s="1">
        <v>83.72</v>
      </c>
      <c r="F1129" s="1">
        <v>81.22</v>
      </c>
      <c r="G1129" s="1">
        <v>2.5636000000000001</v>
      </c>
      <c r="H1129" s="1">
        <v>2.3574000000000002</v>
      </c>
      <c r="I1129" s="1">
        <v>4.2489999999999997</v>
      </c>
      <c r="J1129" s="1">
        <v>5.5686</v>
      </c>
    </row>
    <row r="1130" spans="2:10" x14ac:dyDescent="0.3">
      <c r="B1130" s="10">
        <f t="shared" si="34"/>
        <v>2022</v>
      </c>
      <c r="C1130" s="10">
        <f t="shared" si="35"/>
        <v>1</v>
      </c>
      <c r="D1130" s="3">
        <v>44571</v>
      </c>
      <c r="E1130" s="1">
        <v>80.87</v>
      </c>
      <c r="F1130" s="1">
        <v>78.23</v>
      </c>
      <c r="G1130" s="1">
        <v>2.4876</v>
      </c>
      <c r="H1130" s="1">
        <v>2.2753999999999999</v>
      </c>
      <c r="I1130" s="1">
        <v>4.0789999999999997</v>
      </c>
      <c r="J1130" s="1">
        <v>5.6632999999999996</v>
      </c>
    </row>
    <row r="1131" spans="2:10" x14ac:dyDescent="0.3">
      <c r="B1131" s="10">
        <f t="shared" si="34"/>
        <v>2022</v>
      </c>
      <c r="C1131" s="10">
        <f t="shared" si="35"/>
        <v>1</v>
      </c>
      <c r="D1131" s="3">
        <v>44568</v>
      </c>
      <c r="E1131" s="1">
        <v>81.75</v>
      </c>
      <c r="F1131" s="1">
        <v>78.900000000000006</v>
      </c>
      <c r="G1131" s="1">
        <v>2.4817999999999998</v>
      </c>
      <c r="H1131" s="1">
        <v>2.2989000000000002</v>
      </c>
      <c r="I1131" s="1">
        <v>3.9159999999999999</v>
      </c>
      <c r="J1131" s="1">
        <v>5.6355000000000004</v>
      </c>
    </row>
    <row r="1132" spans="2:10" x14ac:dyDescent="0.3">
      <c r="B1132" s="10">
        <f t="shared" si="34"/>
        <v>2022</v>
      </c>
      <c r="C1132" s="10">
        <f t="shared" si="35"/>
        <v>1</v>
      </c>
      <c r="D1132" s="3">
        <v>44567</v>
      </c>
      <c r="E1132" s="1">
        <v>81.99</v>
      </c>
      <c r="F1132" s="1">
        <v>79.459999999999994</v>
      </c>
      <c r="G1132" s="1">
        <v>2.4777</v>
      </c>
      <c r="H1132" s="1">
        <v>2.3043</v>
      </c>
      <c r="I1132" s="1">
        <v>3.8119999999999998</v>
      </c>
      <c r="J1132" s="1">
        <v>5.6833999999999998</v>
      </c>
    </row>
    <row r="1133" spans="2:10" x14ac:dyDescent="0.3">
      <c r="B1133" s="10">
        <f t="shared" si="34"/>
        <v>2022</v>
      </c>
      <c r="C1133" s="10">
        <f t="shared" si="35"/>
        <v>1</v>
      </c>
      <c r="D1133" s="3">
        <v>44566</v>
      </c>
      <c r="E1133" s="1">
        <v>80.8</v>
      </c>
      <c r="F1133" s="1">
        <v>77.849999999999994</v>
      </c>
      <c r="G1133" s="1">
        <v>2.4460999999999999</v>
      </c>
      <c r="H1133" s="1">
        <v>2.2921</v>
      </c>
      <c r="I1133" s="1">
        <v>3.8820000000000001</v>
      </c>
      <c r="J1133" s="1">
        <v>5.7087000000000003</v>
      </c>
    </row>
    <row r="1134" spans="2:10" x14ac:dyDescent="0.3">
      <c r="B1134" s="10">
        <f t="shared" si="34"/>
        <v>2022</v>
      </c>
      <c r="C1134" s="10">
        <f t="shared" si="35"/>
        <v>1</v>
      </c>
      <c r="D1134" s="3">
        <v>44565</v>
      </c>
      <c r="E1134" s="1">
        <v>80</v>
      </c>
      <c r="F1134" s="1">
        <v>76.989999999999995</v>
      </c>
      <c r="G1134" s="1">
        <v>2.4095</v>
      </c>
      <c r="H1134" s="1">
        <v>2.2763</v>
      </c>
      <c r="I1134" s="1">
        <v>3.7170000000000001</v>
      </c>
      <c r="J1134" s="1">
        <v>5.6769999999999996</v>
      </c>
    </row>
    <row r="1135" spans="2:10" x14ac:dyDescent="0.3">
      <c r="B1135" s="10">
        <f t="shared" si="34"/>
        <v>2022</v>
      </c>
      <c r="C1135" s="10">
        <f t="shared" si="35"/>
        <v>1</v>
      </c>
      <c r="D1135" s="3">
        <v>44564</v>
      </c>
      <c r="E1135" s="1">
        <v>78.98</v>
      </c>
      <c r="F1135" s="1">
        <v>76.08</v>
      </c>
      <c r="G1135" s="1">
        <v>2.3574000000000002</v>
      </c>
      <c r="H1135" s="1">
        <v>2.2565</v>
      </c>
      <c r="I1135" s="1">
        <v>3.8149999999999999</v>
      </c>
      <c r="J1135" s="1">
        <v>5.6818</v>
      </c>
    </row>
    <row r="1136" spans="2:10" x14ac:dyDescent="0.3">
      <c r="B1136" s="10">
        <f t="shared" si="34"/>
        <v>2021</v>
      </c>
      <c r="C1136" s="10">
        <f t="shared" si="35"/>
        <v>12</v>
      </c>
      <c r="D1136" s="3">
        <v>44561</v>
      </c>
      <c r="E1136" s="1">
        <v>77.78</v>
      </c>
      <c r="F1136" s="1">
        <v>75.209999999999994</v>
      </c>
      <c r="G1136" s="1">
        <v>2.3300999999999998</v>
      </c>
      <c r="H1136" s="1">
        <v>2.2284999999999999</v>
      </c>
      <c r="I1136" s="1">
        <v>3.73</v>
      </c>
      <c r="J1136" s="1">
        <v>5.5702999999999996</v>
      </c>
    </row>
    <row r="1137" spans="2:10" x14ac:dyDescent="0.3">
      <c r="B1137" s="10">
        <f t="shared" si="34"/>
        <v>2021</v>
      </c>
      <c r="C1137" s="10">
        <f t="shared" si="35"/>
        <v>12</v>
      </c>
      <c r="D1137" s="3">
        <v>44560</v>
      </c>
      <c r="E1137" s="1">
        <v>79.319999999999993</v>
      </c>
      <c r="F1137" s="1">
        <v>76.989999999999995</v>
      </c>
      <c r="G1137" s="1">
        <v>2.3959000000000001</v>
      </c>
      <c r="H1137" s="1">
        <v>2.2968000000000002</v>
      </c>
      <c r="I1137" s="1">
        <v>3.5609999999999999</v>
      </c>
      <c r="J1137" s="1">
        <v>5.5709999999999997</v>
      </c>
    </row>
    <row r="1138" spans="2:10" x14ac:dyDescent="0.3">
      <c r="B1138" s="10">
        <f t="shared" si="34"/>
        <v>2021</v>
      </c>
      <c r="C1138" s="10">
        <f t="shared" si="35"/>
        <v>12</v>
      </c>
      <c r="D1138" s="3">
        <v>44559</v>
      </c>
      <c r="E1138" s="1">
        <v>79.23</v>
      </c>
      <c r="F1138" s="1">
        <v>76.56</v>
      </c>
      <c r="G1138" s="1">
        <v>2.3778000000000001</v>
      </c>
      <c r="H1138" s="1">
        <v>2.2717000000000001</v>
      </c>
      <c r="I1138" s="1">
        <v>4.024</v>
      </c>
      <c r="J1138" s="1">
        <v>5.7031999999999998</v>
      </c>
    </row>
    <row r="1139" spans="2:10" x14ac:dyDescent="0.3">
      <c r="B1139" s="10">
        <f t="shared" si="34"/>
        <v>2021</v>
      </c>
      <c r="C1139" s="10">
        <f t="shared" si="35"/>
        <v>12</v>
      </c>
      <c r="D1139" s="3">
        <v>44558</v>
      </c>
      <c r="E1139" s="1">
        <v>78.94</v>
      </c>
      <c r="F1139" s="1">
        <v>75.98</v>
      </c>
      <c r="G1139" s="1">
        <v>2.3714</v>
      </c>
      <c r="H1139" s="1">
        <v>2.2471000000000001</v>
      </c>
      <c r="I1139" s="1">
        <v>4.0549999999999997</v>
      </c>
      <c r="J1139" s="1">
        <v>5.6283000000000003</v>
      </c>
    </row>
    <row r="1140" spans="2:10" x14ac:dyDescent="0.3">
      <c r="B1140" s="10">
        <f t="shared" si="34"/>
        <v>2021</v>
      </c>
      <c r="C1140" s="10">
        <f t="shared" si="35"/>
        <v>12</v>
      </c>
      <c r="D1140" s="3">
        <v>44557</v>
      </c>
      <c r="E1140" s="1">
        <v>78.599999999999994</v>
      </c>
      <c r="F1140" s="1">
        <v>75.569999999999993</v>
      </c>
      <c r="G1140" s="1">
        <v>2.3534999999999999</v>
      </c>
      <c r="H1140" s="1">
        <v>2.2339000000000002</v>
      </c>
      <c r="I1140" s="1">
        <v>4.0599999999999996</v>
      </c>
      <c r="J1140" s="1">
        <v>5.6249000000000002</v>
      </c>
    </row>
    <row r="1141" spans="2:10" x14ac:dyDescent="0.3">
      <c r="B1141" s="10">
        <f t="shared" si="34"/>
        <v>2021</v>
      </c>
      <c r="C1141" s="10">
        <f t="shared" si="35"/>
        <v>12</v>
      </c>
      <c r="D1141" s="3">
        <v>44554</v>
      </c>
      <c r="E1141" s="1">
        <v>76.14</v>
      </c>
      <c r="J1141" s="1">
        <v>5.6749999999999998</v>
      </c>
    </row>
    <row r="1142" spans="2:10" x14ac:dyDescent="0.3">
      <c r="B1142" s="10">
        <f t="shared" si="34"/>
        <v>2021</v>
      </c>
      <c r="C1142" s="10">
        <f t="shared" si="35"/>
        <v>12</v>
      </c>
      <c r="D1142" s="3">
        <v>44553</v>
      </c>
      <c r="E1142" s="1">
        <v>76.849999999999994</v>
      </c>
      <c r="F1142" s="1">
        <v>73.790000000000006</v>
      </c>
      <c r="G1142" s="1">
        <v>2.3313999999999999</v>
      </c>
      <c r="H1142" s="1">
        <v>2.2061000000000002</v>
      </c>
      <c r="I1142" s="1">
        <v>3.7309999999999999</v>
      </c>
      <c r="J1142" s="1">
        <v>5.6749000000000001</v>
      </c>
    </row>
    <row r="1143" spans="2:10" x14ac:dyDescent="0.3">
      <c r="B1143" s="10">
        <f t="shared" si="34"/>
        <v>2021</v>
      </c>
      <c r="C1143" s="10">
        <f t="shared" si="35"/>
        <v>12</v>
      </c>
      <c r="D1143" s="3">
        <v>44552</v>
      </c>
      <c r="E1143" s="1">
        <v>75.290000000000006</v>
      </c>
      <c r="F1143" s="1">
        <v>72.760000000000005</v>
      </c>
      <c r="G1143" s="1">
        <v>2.3077999999999999</v>
      </c>
      <c r="H1143" s="1">
        <v>2.1680000000000001</v>
      </c>
      <c r="I1143" s="1">
        <v>3.976</v>
      </c>
      <c r="J1143" s="1">
        <v>5.6539999999999999</v>
      </c>
    </row>
    <row r="1144" spans="2:10" x14ac:dyDescent="0.3">
      <c r="B1144" s="10">
        <f t="shared" si="34"/>
        <v>2021</v>
      </c>
      <c r="C1144" s="10">
        <f t="shared" si="35"/>
        <v>12</v>
      </c>
      <c r="D1144" s="3">
        <v>44551</v>
      </c>
      <c r="E1144" s="1">
        <v>73.98</v>
      </c>
      <c r="F1144" s="1">
        <v>71.12</v>
      </c>
      <c r="G1144" s="1">
        <v>2.2578</v>
      </c>
      <c r="H1144" s="1">
        <v>2.1522000000000001</v>
      </c>
      <c r="I1144" s="1">
        <v>3.8690000000000002</v>
      </c>
      <c r="J1144" s="1">
        <v>5.7450999999999999</v>
      </c>
    </row>
    <row r="1145" spans="2:10" x14ac:dyDescent="0.3">
      <c r="B1145" s="10">
        <f t="shared" si="34"/>
        <v>2021</v>
      </c>
      <c r="C1145" s="10">
        <f t="shared" si="35"/>
        <v>12</v>
      </c>
      <c r="D1145" s="3">
        <v>44550</v>
      </c>
      <c r="E1145" s="1">
        <v>71.52</v>
      </c>
      <c r="F1145" s="1">
        <v>68.23</v>
      </c>
      <c r="G1145" s="1">
        <v>2.173</v>
      </c>
      <c r="H1145" s="1">
        <v>2.09</v>
      </c>
      <c r="I1145" s="1">
        <v>3.8340000000000001</v>
      </c>
      <c r="J1145" s="1">
        <v>5.742</v>
      </c>
    </row>
    <row r="1146" spans="2:10" x14ac:dyDescent="0.3">
      <c r="B1146" s="10">
        <f t="shared" si="34"/>
        <v>2021</v>
      </c>
      <c r="C1146" s="10">
        <f t="shared" si="35"/>
        <v>12</v>
      </c>
      <c r="D1146" s="3">
        <v>44547</v>
      </c>
      <c r="E1146" s="1">
        <v>73.52</v>
      </c>
      <c r="F1146" s="1">
        <v>70.86</v>
      </c>
      <c r="G1146" s="1">
        <v>2.2199</v>
      </c>
      <c r="H1146" s="1">
        <v>2.1217000000000001</v>
      </c>
      <c r="I1146" s="1">
        <v>3.69</v>
      </c>
      <c r="J1146" s="1">
        <v>5.6959</v>
      </c>
    </row>
    <row r="1147" spans="2:10" x14ac:dyDescent="0.3">
      <c r="B1147" s="10">
        <f t="shared" si="34"/>
        <v>2021</v>
      </c>
      <c r="C1147" s="10">
        <f t="shared" si="35"/>
        <v>12</v>
      </c>
      <c r="D1147" s="3">
        <v>44546</v>
      </c>
      <c r="E1147" s="1">
        <v>75.02</v>
      </c>
      <c r="F1147" s="1">
        <v>72.38</v>
      </c>
      <c r="G1147" s="1">
        <v>2.2663000000000002</v>
      </c>
      <c r="H1147" s="1">
        <v>2.1778</v>
      </c>
      <c r="I1147" s="1">
        <v>3.766</v>
      </c>
      <c r="J1147" s="1">
        <v>5.6883999999999997</v>
      </c>
    </row>
    <row r="1148" spans="2:10" x14ac:dyDescent="0.3">
      <c r="B1148" s="10">
        <f t="shared" si="34"/>
        <v>2021</v>
      </c>
      <c r="C1148" s="10">
        <f t="shared" si="35"/>
        <v>12</v>
      </c>
      <c r="D1148" s="3">
        <v>44545</v>
      </c>
      <c r="E1148" s="1">
        <v>73.88</v>
      </c>
      <c r="F1148" s="1">
        <v>70.87</v>
      </c>
      <c r="G1148" s="1">
        <v>2.2204000000000002</v>
      </c>
      <c r="H1148" s="1">
        <v>2.1274999999999999</v>
      </c>
      <c r="I1148" s="1">
        <v>3.802</v>
      </c>
      <c r="J1148" s="1">
        <v>5.6806000000000001</v>
      </c>
    </row>
    <row r="1149" spans="2:10" x14ac:dyDescent="0.3">
      <c r="B1149" s="10">
        <f t="shared" si="34"/>
        <v>2021</v>
      </c>
      <c r="C1149" s="10">
        <f t="shared" si="35"/>
        <v>12</v>
      </c>
      <c r="D1149" s="3">
        <v>44544</v>
      </c>
      <c r="E1149" s="1">
        <v>73.7</v>
      </c>
      <c r="F1149" s="1">
        <v>70.73</v>
      </c>
      <c r="G1149" s="1">
        <v>2.2183999999999999</v>
      </c>
      <c r="H1149" s="1">
        <v>2.1107999999999998</v>
      </c>
      <c r="I1149" s="1">
        <v>3.7469999999999999</v>
      </c>
      <c r="J1149" s="1">
        <v>5.6814999999999998</v>
      </c>
    </row>
    <row r="1150" spans="2:10" x14ac:dyDescent="0.3">
      <c r="B1150" s="10">
        <f t="shared" si="34"/>
        <v>2021</v>
      </c>
      <c r="C1150" s="10">
        <f t="shared" si="35"/>
        <v>12</v>
      </c>
      <c r="D1150" s="3">
        <v>44543</v>
      </c>
      <c r="E1150" s="1">
        <v>74.39</v>
      </c>
      <c r="F1150" s="1">
        <v>71.290000000000006</v>
      </c>
      <c r="G1150" s="1">
        <v>2.2328000000000001</v>
      </c>
      <c r="H1150" s="1">
        <v>2.1164999999999998</v>
      </c>
      <c r="I1150" s="1">
        <v>3.794</v>
      </c>
      <c r="J1150" s="1">
        <v>5.6803999999999997</v>
      </c>
    </row>
    <row r="1151" spans="2:10" x14ac:dyDescent="0.3">
      <c r="B1151" s="10">
        <f t="shared" si="34"/>
        <v>2021</v>
      </c>
      <c r="C1151" s="10">
        <f t="shared" si="35"/>
        <v>12</v>
      </c>
      <c r="D1151" s="3">
        <v>44540</v>
      </c>
      <c r="E1151" s="1">
        <v>75.150000000000006</v>
      </c>
      <c r="F1151" s="1">
        <v>71.67</v>
      </c>
      <c r="G1151" s="1">
        <v>2.2515999999999998</v>
      </c>
      <c r="H1151" s="1">
        <v>2.1372</v>
      </c>
      <c r="I1151" s="1">
        <v>3.9249999999999998</v>
      </c>
      <c r="J1151" s="1">
        <v>5.6127000000000002</v>
      </c>
    </row>
    <row r="1152" spans="2:10" x14ac:dyDescent="0.3">
      <c r="B1152" s="10">
        <f t="shared" si="34"/>
        <v>2021</v>
      </c>
      <c r="C1152" s="10">
        <f t="shared" si="35"/>
        <v>12</v>
      </c>
      <c r="D1152" s="3">
        <v>44539</v>
      </c>
      <c r="E1152" s="1">
        <v>74.42</v>
      </c>
      <c r="F1152" s="1">
        <v>70.94</v>
      </c>
      <c r="G1152" s="1">
        <v>2.2503000000000002</v>
      </c>
      <c r="H1152" s="1">
        <v>2.1284000000000001</v>
      </c>
      <c r="I1152" s="1">
        <v>3.8140000000000001</v>
      </c>
      <c r="J1152" s="1">
        <v>5.5727000000000002</v>
      </c>
    </row>
    <row r="1153" spans="2:10" x14ac:dyDescent="0.3">
      <c r="B1153" s="10">
        <f t="shared" si="34"/>
        <v>2021</v>
      </c>
      <c r="C1153" s="10">
        <f t="shared" si="35"/>
        <v>12</v>
      </c>
      <c r="D1153" s="3">
        <v>44538</v>
      </c>
      <c r="E1153" s="1">
        <v>75.819999999999993</v>
      </c>
      <c r="F1153" s="1">
        <v>72.36</v>
      </c>
      <c r="G1153" s="1">
        <v>2.2612999999999999</v>
      </c>
      <c r="H1153" s="1">
        <v>2.1484999999999999</v>
      </c>
      <c r="I1153" s="1">
        <v>3.8149999999999999</v>
      </c>
      <c r="J1153" s="1">
        <v>5.5327000000000002</v>
      </c>
    </row>
    <row r="1154" spans="2:10" x14ac:dyDescent="0.3">
      <c r="B1154" s="10">
        <f t="shared" si="34"/>
        <v>2021</v>
      </c>
      <c r="C1154" s="10">
        <f t="shared" si="35"/>
        <v>12</v>
      </c>
      <c r="D1154" s="3">
        <v>44537</v>
      </c>
      <c r="E1154" s="1">
        <v>75.44</v>
      </c>
      <c r="F1154" s="1">
        <v>72.05</v>
      </c>
      <c r="G1154" s="1">
        <v>2.2246000000000001</v>
      </c>
      <c r="H1154" s="1">
        <v>2.1</v>
      </c>
      <c r="I1154" s="1">
        <v>3.7080000000000002</v>
      </c>
      <c r="J1154" s="1">
        <v>5.6128</v>
      </c>
    </row>
    <row r="1155" spans="2:10" x14ac:dyDescent="0.3">
      <c r="B1155" s="10">
        <f t="shared" si="34"/>
        <v>2021</v>
      </c>
      <c r="C1155" s="10">
        <f t="shared" si="35"/>
        <v>12</v>
      </c>
      <c r="D1155" s="3">
        <v>44536</v>
      </c>
      <c r="E1155" s="1">
        <v>73.08</v>
      </c>
      <c r="F1155" s="1">
        <v>69.489999999999995</v>
      </c>
      <c r="G1155" s="1">
        <v>2.1711999999999998</v>
      </c>
      <c r="H1155" s="1">
        <v>2.0432999999999999</v>
      </c>
      <c r="I1155" s="1">
        <v>3.657</v>
      </c>
      <c r="J1155" s="1">
        <v>5.6890999999999998</v>
      </c>
    </row>
    <row r="1156" spans="2:10" x14ac:dyDescent="0.3">
      <c r="B1156" s="10">
        <f t="shared" si="34"/>
        <v>2021</v>
      </c>
      <c r="C1156" s="10">
        <f t="shared" si="35"/>
        <v>12</v>
      </c>
      <c r="D1156" s="3">
        <v>44533</v>
      </c>
      <c r="E1156" s="1">
        <v>69.88</v>
      </c>
      <c r="F1156" s="1">
        <v>66.260000000000005</v>
      </c>
      <c r="G1156" s="1">
        <v>2.0983999999999998</v>
      </c>
      <c r="H1156" s="1">
        <v>1.9529000000000001</v>
      </c>
      <c r="I1156" s="1">
        <v>4.1319999999999997</v>
      </c>
      <c r="J1156" s="1">
        <v>5.6532</v>
      </c>
    </row>
    <row r="1157" spans="2:10" x14ac:dyDescent="0.3">
      <c r="B1157" s="10">
        <f t="shared" si="34"/>
        <v>2021</v>
      </c>
      <c r="C1157" s="10">
        <f t="shared" si="35"/>
        <v>12</v>
      </c>
      <c r="D1157" s="3">
        <v>44532</v>
      </c>
      <c r="E1157" s="1">
        <v>69.67</v>
      </c>
      <c r="F1157" s="1">
        <v>66.5</v>
      </c>
      <c r="G1157" s="1">
        <v>2.1034000000000002</v>
      </c>
      <c r="H1157" s="1">
        <v>1.9677</v>
      </c>
      <c r="I1157" s="1">
        <v>4.056</v>
      </c>
      <c r="J1157" s="1">
        <v>5.6462000000000003</v>
      </c>
    </row>
    <row r="1158" spans="2:10" x14ac:dyDescent="0.3">
      <c r="B1158" s="10">
        <f t="shared" ref="B1158:B1221" si="36">YEAR(D1158)</f>
        <v>2021</v>
      </c>
      <c r="C1158" s="10">
        <f t="shared" ref="C1158:C1221" si="37">MONTH(D1158)</f>
        <v>12</v>
      </c>
      <c r="D1158" s="3">
        <v>44531</v>
      </c>
      <c r="E1158" s="1">
        <v>68.87</v>
      </c>
      <c r="F1158" s="1">
        <v>65.569999999999993</v>
      </c>
      <c r="G1158" s="1">
        <v>2.0771000000000002</v>
      </c>
      <c r="H1158" s="1">
        <v>1.9511000000000001</v>
      </c>
      <c r="I1158" s="1">
        <v>4.258</v>
      </c>
      <c r="J1158" s="1">
        <v>5.6955</v>
      </c>
    </row>
    <row r="1159" spans="2:10" x14ac:dyDescent="0.3">
      <c r="B1159" s="10">
        <f t="shared" si="36"/>
        <v>2021</v>
      </c>
      <c r="C1159" s="10">
        <f t="shared" si="37"/>
        <v>11</v>
      </c>
      <c r="D1159" s="3">
        <v>44530</v>
      </c>
      <c r="E1159" s="1">
        <v>70.569999999999993</v>
      </c>
      <c r="F1159" s="1">
        <v>66.180000000000007</v>
      </c>
      <c r="G1159" s="1">
        <v>2.0638000000000001</v>
      </c>
      <c r="H1159" s="1">
        <v>1.9801</v>
      </c>
      <c r="I1159" s="1">
        <v>4.5670000000000002</v>
      </c>
      <c r="J1159" s="1">
        <v>5.6238999999999999</v>
      </c>
    </row>
    <row r="1160" spans="2:10" x14ac:dyDescent="0.3">
      <c r="B1160" s="10">
        <f t="shared" si="36"/>
        <v>2021</v>
      </c>
      <c r="C1160" s="10">
        <f t="shared" si="37"/>
        <v>11</v>
      </c>
      <c r="D1160" s="3">
        <v>44529</v>
      </c>
      <c r="E1160" s="1">
        <v>73.44</v>
      </c>
      <c r="F1160" s="1">
        <v>69.95</v>
      </c>
      <c r="G1160" s="1">
        <v>2.1520999999999999</v>
      </c>
      <c r="H1160" s="1">
        <v>2.0771000000000002</v>
      </c>
      <c r="I1160" s="1">
        <v>4.8540000000000001</v>
      </c>
      <c r="J1160" s="1">
        <v>5.6017000000000001</v>
      </c>
    </row>
    <row r="1161" spans="2:10" x14ac:dyDescent="0.3">
      <c r="B1161" s="10">
        <f t="shared" si="36"/>
        <v>2021</v>
      </c>
      <c r="C1161" s="10">
        <f t="shared" si="37"/>
        <v>11</v>
      </c>
      <c r="D1161" s="3">
        <v>44526</v>
      </c>
      <c r="E1161" s="1">
        <v>72.72</v>
      </c>
      <c r="F1161" s="1">
        <v>68.150000000000006</v>
      </c>
      <c r="G1161" s="1">
        <v>2.0945</v>
      </c>
      <c r="H1161" s="1">
        <v>2.0293999999999999</v>
      </c>
      <c r="I1161" s="1">
        <v>5.4470000000000001</v>
      </c>
      <c r="J1161" s="1">
        <v>5.6093000000000002</v>
      </c>
    </row>
    <row r="1162" spans="2:10" x14ac:dyDescent="0.3">
      <c r="B1162" s="10">
        <f t="shared" si="36"/>
        <v>2021</v>
      </c>
      <c r="C1162" s="10">
        <f t="shared" si="37"/>
        <v>11</v>
      </c>
      <c r="D1162" s="3">
        <v>44525</v>
      </c>
      <c r="E1162" s="1">
        <v>82.22</v>
      </c>
      <c r="J1162" s="1">
        <v>5.5663999999999998</v>
      </c>
    </row>
    <row r="1163" spans="2:10" x14ac:dyDescent="0.3">
      <c r="B1163" s="10">
        <f t="shared" si="36"/>
        <v>2021</v>
      </c>
      <c r="C1163" s="10">
        <f t="shared" si="37"/>
        <v>11</v>
      </c>
      <c r="D1163" s="3">
        <v>44524</v>
      </c>
      <c r="E1163" s="1">
        <v>82.25</v>
      </c>
      <c r="F1163" s="1">
        <v>78.39</v>
      </c>
      <c r="G1163" s="1">
        <v>2.383</v>
      </c>
      <c r="H1163" s="1">
        <v>2.3197000000000001</v>
      </c>
      <c r="I1163" s="1">
        <v>5.0679999999999996</v>
      </c>
      <c r="J1163" s="1">
        <v>5.6060999999999996</v>
      </c>
    </row>
    <row r="1164" spans="2:10" x14ac:dyDescent="0.3">
      <c r="B1164" s="10">
        <f t="shared" si="36"/>
        <v>2021</v>
      </c>
      <c r="C1164" s="10">
        <f t="shared" si="37"/>
        <v>11</v>
      </c>
      <c r="D1164" s="3">
        <v>44523</v>
      </c>
      <c r="E1164" s="1">
        <v>82.31</v>
      </c>
      <c r="F1164" s="1">
        <v>78.5</v>
      </c>
      <c r="G1164" s="1">
        <v>2.3843000000000001</v>
      </c>
      <c r="H1164" s="1">
        <v>2.3372000000000002</v>
      </c>
      <c r="I1164" s="1">
        <v>4.9669999999999996</v>
      </c>
      <c r="J1164" s="1">
        <v>5.5712000000000002</v>
      </c>
    </row>
    <row r="1165" spans="2:10" x14ac:dyDescent="0.3">
      <c r="B1165" s="10">
        <f t="shared" si="36"/>
        <v>2021</v>
      </c>
      <c r="C1165" s="10">
        <f t="shared" si="37"/>
        <v>11</v>
      </c>
      <c r="D1165" s="3">
        <v>44522</v>
      </c>
      <c r="E1165" s="1">
        <v>79.7</v>
      </c>
      <c r="F1165" s="1">
        <v>76.75</v>
      </c>
      <c r="G1165" s="1">
        <v>2.3254000000000001</v>
      </c>
      <c r="H1165" s="1">
        <v>2.2602000000000002</v>
      </c>
      <c r="I1165" s="1">
        <v>4.7889999999999997</v>
      </c>
      <c r="J1165" s="1">
        <v>5.5865</v>
      </c>
    </row>
    <row r="1166" spans="2:10" x14ac:dyDescent="0.3">
      <c r="B1166" s="10">
        <f t="shared" si="36"/>
        <v>2021</v>
      </c>
      <c r="C1166" s="10">
        <f t="shared" si="37"/>
        <v>11</v>
      </c>
      <c r="D1166" s="3">
        <v>44519</v>
      </c>
      <c r="E1166" s="1">
        <v>78.89</v>
      </c>
      <c r="F1166" s="1">
        <v>76.099999999999994</v>
      </c>
      <c r="G1166" s="1">
        <v>2.2934000000000001</v>
      </c>
      <c r="H1166" s="1">
        <v>2.2119</v>
      </c>
      <c r="I1166" s="1">
        <v>5.0650000000000004</v>
      </c>
      <c r="J1166" s="1">
        <v>5.6135000000000002</v>
      </c>
    </row>
    <row r="1167" spans="2:10" x14ac:dyDescent="0.3">
      <c r="B1167" s="10">
        <f t="shared" si="36"/>
        <v>2021</v>
      </c>
      <c r="C1167" s="10">
        <f t="shared" si="37"/>
        <v>11</v>
      </c>
      <c r="D1167" s="3">
        <v>44518</v>
      </c>
      <c r="E1167" s="1">
        <v>81.239999999999995</v>
      </c>
      <c r="F1167" s="1">
        <v>79.010000000000005</v>
      </c>
      <c r="G1167" s="1">
        <v>2.3839999999999999</v>
      </c>
      <c r="H1167" s="1">
        <v>2.2942999999999998</v>
      </c>
      <c r="I1167" s="1">
        <v>4.9020000000000001</v>
      </c>
      <c r="J1167" s="1">
        <v>5.5575999999999999</v>
      </c>
    </row>
    <row r="1168" spans="2:10" x14ac:dyDescent="0.3">
      <c r="B1168" s="10">
        <f t="shared" si="36"/>
        <v>2021</v>
      </c>
      <c r="C1168" s="10">
        <f t="shared" si="37"/>
        <v>11</v>
      </c>
      <c r="D1168" s="3">
        <v>44517</v>
      </c>
      <c r="E1168" s="1">
        <v>80.28</v>
      </c>
      <c r="F1168" s="1">
        <v>78.36</v>
      </c>
      <c r="G1168" s="1">
        <v>2.3643999999999998</v>
      </c>
      <c r="H1168" s="1">
        <v>2.2803</v>
      </c>
      <c r="I1168" s="1">
        <v>4.8159999999999998</v>
      </c>
      <c r="J1168" s="1">
        <v>5.5292000000000003</v>
      </c>
    </row>
    <row r="1169" spans="2:10" x14ac:dyDescent="0.3">
      <c r="B1169" s="10">
        <f t="shared" si="36"/>
        <v>2021</v>
      </c>
      <c r="C1169" s="10">
        <f t="shared" si="37"/>
        <v>11</v>
      </c>
      <c r="D1169" s="3">
        <v>44516</v>
      </c>
      <c r="E1169" s="1">
        <v>82.43</v>
      </c>
      <c r="F1169" s="1">
        <v>80.760000000000005</v>
      </c>
      <c r="G1169" s="1">
        <v>2.4308999999999998</v>
      </c>
      <c r="H1169" s="1">
        <v>2.3496999999999999</v>
      </c>
      <c r="I1169" s="1">
        <v>5.1769999999999996</v>
      </c>
      <c r="J1169" s="1">
        <v>5.5027999999999997</v>
      </c>
    </row>
    <row r="1170" spans="2:10" x14ac:dyDescent="0.3">
      <c r="B1170" s="10">
        <f t="shared" si="36"/>
        <v>2021</v>
      </c>
      <c r="C1170" s="10">
        <f t="shared" si="37"/>
        <v>11</v>
      </c>
      <c r="D1170" s="3">
        <v>44515</v>
      </c>
      <c r="E1170" s="1">
        <v>82.05</v>
      </c>
      <c r="F1170" s="1">
        <v>80.88</v>
      </c>
      <c r="G1170" s="1">
        <v>2.3980999999999999</v>
      </c>
      <c r="H1170" s="1">
        <v>2.3288000000000002</v>
      </c>
      <c r="I1170" s="1">
        <v>5.0170000000000003</v>
      </c>
      <c r="J1170" s="1">
        <v>5.4574999999999996</v>
      </c>
    </row>
    <row r="1171" spans="2:10" x14ac:dyDescent="0.3">
      <c r="B1171" s="10">
        <f t="shared" si="36"/>
        <v>2021</v>
      </c>
      <c r="C1171" s="10">
        <f t="shared" si="37"/>
        <v>11</v>
      </c>
      <c r="D1171" s="3">
        <v>44512</v>
      </c>
      <c r="E1171" s="1">
        <v>82.17</v>
      </c>
      <c r="F1171" s="1">
        <v>80.790000000000006</v>
      </c>
      <c r="G1171" s="1">
        <v>2.4037000000000002</v>
      </c>
      <c r="H1171" s="1">
        <v>2.3113999999999999</v>
      </c>
      <c r="I1171" s="1">
        <v>4.7910000000000004</v>
      </c>
      <c r="J1171" s="1">
        <v>5.4588000000000001</v>
      </c>
    </row>
    <row r="1172" spans="2:10" x14ac:dyDescent="0.3">
      <c r="B1172" s="10">
        <f t="shared" si="36"/>
        <v>2021</v>
      </c>
      <c r="C1172" s="10">
        <f t="shared" si="37"/>
        <v>11</v>
      </c>
      <c r="D1172" s="3">
        <v>44511</v>
      </c>
      <c r="E1172" s="1">
        <v>82.87</v>
      </c>
      <c r="F1172" s="1">
        <v>81.59</v>
      </c>
      <c r="G1172" s="1">
        <v>2.4470999999999998</v>
      </c>
      <c r="H1172" s="1">
        <v>2.3178000000000001</v>
      </c>
      <c r="I1172" s="1">
        <v>5.149</v>
      </c>
      <c r="J1172" s="1">
        <v>5.3989000000000003</v>
      </c>
    </row>
    <row r="1173" spans="2:10" x14ac:dyDescent="0.3">
      <c r="B1173" s="10">
        <f t="shared" si="36"/>
        <v>2021</v>
      </c>
      <c r="C1173" s="10">
        <f t="shared" si="37"/>
        <v>11</v>
      </c>
      <c r="D1173" s="3">
        <v>44510</v>
      </c>
      <c r="E1173" s="1">
        <v>82.64</v>
      </c>
      <c r="F1173" s="1">
        <v>81.34</v>
      </c>
      <c r="G1173" s="1">
        <v>2.4521000000000002</v>
      </c>
      <c r="H1173" s="1">
        <v>2.2972000000000001</v>
      </c>
      <c r="I1173" s="1">
        <v>4.88</v>
      </c>
      <c r="J1173" s="1">
        <v>5.4909999999999997</v>
      </c>
    </row>
    <row r="1174" spans="2:10" x14ac:dyDescent="0.3">
      <c r="B1174" s="10">
        <f t="shared" si="36"/>
        <v>2021</v>
      </c>
      <c r="C1174" s="10">
        <f t="shared" si="37"/>
        <v>11</v>
      </c>
      <c r="D1174" s="3">
        <v>44509</v>
      </c>
      <c r="E1174" s="1">
        <v>84.78</v>
      </c>
      <c r="F1174" s="1">
        <v>84.15</v>
      </c>
      <c r="G1174" s="1">
        <v>2.5081000000000002</v>
      </c>
      <c r="H1174" s="1">
        <v>2.3752</v>
      </c>
      <c r="I1174" s="1">
        <v>4.9790000000000001</v>
      </c>
      <c r="J1174" s="1">
        <v>5.4804000000000004</v>
      </c>
    </row>
    <row r="1175" spans="2:10" x14ac:dyDescent="0.3">
      <c r="B1175" s="10">
        <f t="shared" si="36"/>
        <v>2021</v>
      </c>
      <c r="C1175" s="10">
        <f t="shared" si="37"/>
        <v>11</v>
      </c>
      <c r="D1175" s="3">
        <v>44508</v>
      </c>
      <c r="E1175" s="1">
        <v>83.43</v>
      </c>
      <c r="F1175" s="1">
        <v>81.93</v>
      </c>
      <c r="G1175" s="1">
        <v>2.4670999999999998</v>
      </c>
      <c r="H1175" s="1">
        <v>2.3222</v>
      </c>
      <c r="I1175" s="1">
        <v>5.4269999999999996</v>
      </c>
      <c r="J1175" s="1">
        <v>5.5439999999999996</v>
      </c>
    </row>
    <row r="1176" spans="2:10" x14ac:dyDescent="0.3">
      <c r="B1176" s="10">
        <f t="shared" si="36"/>
        <v>2021</v>
      </c>
      <c r="C1176" s="10">
        <f t="shared" si="37"/>
        <v>11</v>
      </c>
      <c r="D1176" s="3">
        <v>44505</v>
      </c>
      <c r="E1176" s="1">
        <v>82.74</v>
      </c>
      <c r="F1176" s="1">
        <v>81.27</v>
      </c>
      <c r="G1176" s="1">
        <v>2.4556</v>
      </c>
      <c r="H1176" s="1">
        <v>2.3209</v>
      </c>
      <c r="I1176" s="1">
        <v>5.516</v>
      </c>
      <c r="J1176" s="1">
        <v>5.5427999999999997</v>
      </c>
    </row>
    <row r="1177" spans="2:10" x14ac:dyDescent="0.3">
      <c r="B1177" s="10">
        <f t="shared" si="36"/>
        <v>2021</v>
      </c>
      <c r="C1177" s="10">
        <f t="shared" si="37"/>
        <v>11</v>
      </c>
      <c r="D1177" s="3">
        <v>44504</v>
      </c>
      <c r="E1177" s="1">
        <v>80.540000000000006</v>
      </c>
      <c r="F1177" s="1">
        <v>78.81</v>
      </c>
      <c r="G1177" s="1">
        <v>2.4066000000000001</v>
      </c>
      <c r="H1177" s="1">
        <v>2.2926000000000002</v>
      </c>
      <c r="I1177" s="1">
        <v>5.7160000000000002</v>
      </c>
      <c r="J1177" s="1">
        <v>5.6020000000000003</v>
      </c>
    </row>
    <row r="1178" spans="2:10" x14ac:dyDescent="0.3">
      <c r="B1178" s="10">
        <f t="shared" si="36"/>
        <v>2021</v>
      </c>
      <c r="C1178" s="10">
        <f t="shared" si="37"/>
        <v>11</v>
      </c>
      <c r="D1178" s="3">
        <v>44503</v>
      </c>
      <c r="E1178" s="1">
        <v>81.99</v>
      </c>
      <c r="F1178" s="1">
        <v>80.86</v>
      </c>
      <c r="G1178" s="1">
        <v>2.4344999999999999</v>
      </c>
      <c r="H1178" s="1">
        <v>2.3384999999999998</v>
      </c>
      <c r="I1178" s="1">
        <v>5.67</v>
      </c>
      <c r="J1178" s="1">
        <v>5.5525000000000002</v>
      </c>
    </row>
    <row r="1179" spans="2:10" x14ac:dyDescent="0.3">
      <c r="B1179" s="10">
        <f t="shared" si="36"/>
        <v>2021</v>
      </c>
      <c r="C1179" s="10">
        <f t="shared" si="37"/>
        <v>11</v>
      </c>
      <c r="D1179" s="3">
        <v>44502</v>
      </c>
      <c r="E1179" s="1">
        <v>84.72</v>
      </c>
      <c r="F1179" s="1">
        <v>83.91</v>
      </c>
      <c r="G1179" s="1">
        <v>2.5082</v>
      </c>
      <c r="H1179" s="1">
        <v>2.4500999999999999</v>
      </c>
      <c r="I1179" s="1">
        <v>5.5419999999999998</v>
      </c>
      <c r="J1179" s="1">
        <v>5.6795</v>
      </c>
    </row>
    <row r="1180" spans="2:10" x14ac:dyDescent="0.3">
      <c r="B1180" s="10">
        <f t="shared" si="36"/>
        <v>2021</v>
      </c>
      <c r="C1180" s="10">
        <f t="shared" si="37"/>
        <v>11</v>
      </c>
      <c r="D1180" s="3">
        <v>44501</v>
      </c>
      <c r="E1180" s="1">
        <v>84.71</v>
      </c>
      <c r="F1180" s="1">
        <v>84.05</v>
      </c>
      <c r="G1180" s="1">
        <v>2.5030999999999999</v>
      </c>
      <c r="H1180" s="1">
        <v>2.4093</v>
      </c>
      <c r="I1180" s="1">
        <v>5.1859999999999999</v>
      </c>
      <c r="J1180" s="1">
        <v>5.6814999999999998</v>
      </c>
    </row>
    <row r="1181" spans="2:10" x14ac:dyDescent="0.3">
      <c r="B1181" s="10">
        <f t="shared" si="36"/>
        <v>2021</v>
      </c>
      <c r="C1181" s="10">
        <f t="shared" si="37"/>
        <v>10</v>
      </c>
      <c r="D1181" s="3">
        <v>44498</v>
      </c>
      <c r="E1181" s="1">
        <v>84.38</v>
      </c>
      <c r="F1181" s="1">
        <v>83.57</v>
      </c>
      <c r="G1181" s="1">
        <v>2.4964</v>
      </c>
      <c r="H1181" s="1">
        <v>2.4620000000000002</v>
      </c>
      <c r="I1181" s="1">
        <v>5.4260000000000002</v>
      </c>
      <c r="J1181" s="1">
        <v>5.6372</v>
      </c>
    </row>
    <row r="1182" spans="2:10" x14ac:dyDescent="0.3">
      <c r="B1182" s="10">
        <f t="shared" si="36"/>
        <v>2021</v>
      </c>
      <c r="C1182" s="10">
        <f t="shared" si="37"/>
        <v>10</v>
      </c>
      <c r="D1182" s="3">
        <v>44497</v>
      </c>
      <c r="E1182" s="1">
        <v>84.32</v>
      </c>
      <c r="F1182" s="1">
        <v>82.81</v>
      </c>
      <c r="G1182" s="1">
        <v>2.5165000000000002</v>
      </c>
      <c r="H1182" s="1">
        <v>2.4350000000000001</v>
      </c>
      <c r="I1182" s="1">
        <v>5.782</v>
      </c>
      <c r="J1182" s="1">
        <v>5.6463999999999999</v>
      </c>
    </row>
    <row r="1183" spans="2:10" x14ac:dyDescent="0.3">
      <c r="B1183" s="10">
        <f t="shared" si="36"/>
        <v>2021</v>
      </c>
      <c r="C1183" s="10">
        <f t="shared" si="37"/>
        <v>10</v>
      </c>
      <c r="D1183" s="3">
        <v>44496</v>
      </c>
      <c r="E1183" s="1">
        <v>84.58</v>
      </c>
      <c r="F1183" s="1">
        <v>82.66</v>
      </c>
      <c r="G1183" s="1">
        <v>2.5148000000000001</v>
      </c>
      <c r="H1183" s="1">
        <v>2.4497</v>
      </c>
      <c r="I1183" s="1">
        <v>6.202</v>
      </c>
      <c r="J1183" s="1">
        <v>5.5380000000000003</v>
      </c>
    </row>
    <row r="1184" spans="2:10" x14ac:dyDescent="0.3">
      <c r="B1184" s="10">
        <f t="shared" si="36"/>
        <v>2021</v>
      </c>
      <c r="C1184" s="10">
        <f t="shared" si="37"/>
        <v>10</v>
      </c>
      <c r="D1184" s="3">
        <v>44495</v>
      </c>
      <c r="E1184" s="1">
        <v>86.4</v>
      </c>
      <c r="F1184" s="1">
        <v>84.65</v>
      </c>
      <c r="G1184" s="1">
        <v>2.5773000000000001</v>
      </c>
      <c r="H1184" s="1">
        <v>2.5167999999999999</v>
      </c>
      <c r="I1184" s="1">
        <v>5.8819999999999997</v>
      </c>
      <c r="J1184" s="1">
        <v>5.5666000000000002</v>
      </c>
    </row>
    <row r="1185" spans="2:10" x14ac:dyDescent="0.3">
      <c r="B1185" s="10">
        <f t="shared" si="36"/>
        <v>2021</v>
      </c>
      <c r="C1185" s="10">
        <f t="shared" si="37"/>
        <v>10</v>
      </c>
      <c r="D1185" s="3">
        <v>44494</v>
      </c>
      <c r="E1185" s="1">
        <v>85.99</v>
      </c>
      <c r="F1185" s="1">
        <v>83.76</v>
      </c>
      <c r="G1185" s="1">
        <v>2.5647000000000002</v>
      </c>
      <c r="H1185" s="1">
        <v>2.5162</v>
      </c>
      <c r="I1185" s="1">
        <v>5.8979999999999997</v>
      </c>
      <c r="J1185" s="1">
        <v>5.5563000000000002</v>
      </c>
    </row>
    <row r="1186" spans="2:10" x14ac:dyDescent="0.3">
      <c r="B1186" s="10">
        <f t="shared" si="36"/>
        <v>2021</v>
      </c>
      <c r="C1186" s="10">
        <f t="shared" si="37"/>
        <v>10</v>
      </c>
      <c r="D1186" s="3">
        <v>44491</v>
      </c>
      <c r="E1186" s="1">
        <v>85.53</v>
      </c>
      <c r="F1186" s="1">
        <v>83.76</v>
      </c>
      <c r="G1186" s="1">
        <v>2.5388999999999999</v>
      </c>
      <c r="H1186" s="1">
        <v>2.4821</v>
      </c>
      <c r="I1186" s="1">
        <v>5.28</v>
      </c>
      <c r="J1186" s="1">
        <v>5.6474000000000002</v>
      </c>
    </row>
    <row r="1187" spans="2:10" x14ac:dyDescent="0.3">
      <c r="B1187" s="10">
        <f t="shared" si="36"/>
        <v>2021</v>
      </c>
      <c r="C1187" s="10">
        <f t="shared" si="37"/>
        <v>10</v>
      </c>
      <c r="D1187" s="3">
        <v>44490</v>
      </c>
      <c r="E1187" s="1">
        <v>84.61</v>
      </c>
      <c r="F1187" s="1">
        <v>82.5</v>
      </c>
      <c r="G1187" s="1">
        <v>2.5491000000000001</v>
      </c>
      <c r="H1187" s="1">
        <v>2.4801000000000002</v>
      </c>
      <c r="I1187" s="1">
        <v>5.1150000000000002</v>
      </c>
      <c r="J1187" s="1">
        <v>5.6577000000000002</v>
      </c>
    </row>
    <row r="1188" spans="2:10" x14ac:dyDescent="0.3">
      <c r="B1188" s="10">
        <f t="shared" si="36"/>
        <v>2021</v>
      </c>
      <c r="C1188" s="10">
        <f t="shared" si="37"/>
        <v>10</v>
      </c>
      <c r="D1188" s="3">
        <v>44489</v>
      </c>
      <c r="E1188" s="1">
        <v>85.82</v>
      </c>
      <c r="F1188" s="1">
        <v>83.87</v>
      </c>
      <c r="G1188" s="1">
        <v>2.5922999999999998</v>
      </c>
      <c r="H1188" s="1">
        <v>2.5084</v>
      </c>
      <c r="I1188" s="1">
        <v>5.17</v>
      </c>
      <c r="J1188" s="1">
        <v>5.5975000000000001</v>
      </c>
    </row>
    <row r="1189" spans="2:10" x14ac:dyDescent="0.3">
      <c r="B1189" s="10">
        <f t="shared" si="36"/>
        <v>2021</v>
      </c>
      <c r="C1189" s="10">
        <f t="shared" si="37"/>
        <v>10</v>
      </c>
      <c r="D1189" s="3">
        <v>44488</v>
      </c>
      <c r="E1189" s="1">
        <v>85.08</v>
      </c>
      <c r="F1189" s="1">
        <v>82.96</v>
      </c>
      <c r="G1189" s="1">
        <v>2.5607000000000002</v>
      </c>
      <c r="H1189" s="1">
        <v>2.4754999999999998</v>
      </c>
      <c r="I1189" s="1">
        <v>5.0880000000000001</v>
      </c>
      <c r="J1189" s="1">
        <v>5.5843999999999996</v>
      </c>
    </row>
    <row r="1190" spans="2:10" x14ac:dyDescent="0.3">
      <c r="B1190" s="10">
        <f t="shared" si="36"/>
        <v>2021</v>
      </c>
      <c r="C1190" s="10">
        <f t="shared" si="37"/>
        <v>10</v>
      </c>
      <c r="D1190" s="3">
        <v>44487</v>
      </c>
      <c r="E1190" s="1">
        <v>84.33</v>
      </c>
      <c r="F1190" s="1">
        <v>82.44</v>
      </c>
      <c r="G1190" s="1">
        <v>2.5491999999999999</v>
      </c>
      <c r="H1190" s="1">
        <v>2.4866000000000001</v>
      </c>
      <c r="I1190" s="1">
        <v>4.9889999999999999</v>
      </c>
      <c r="J1190" s="1">
        <v>5.5117000000000003</v>
      </c>
    </row>
    <row r="1191" spans="2:10" x14ac:dyDescent="0.3">
      <c r="B1191" s="10">
        <f t="shared" si="36"/>
        <v>2021</v>
      </c>
      <c r="C1191" s="10">
        <f t="shared" si="37"/>
        <v>10</v>
      </c>
      <c r="D1191" s="3">
        <v>44484</v>
      </c>
      <c r="E1191" s="1">
        <v>84.86</v>
      </c>
      <c r="F1191" s="1">
        <v>82.28</v>
      </c>
      <c r="G1191" s="1">
        <v>2.5737000000000001</v>
      </c>
      <c r="H1191" s="1">
        <v>2.4864000000000002</v>
      </c>
      <c r="I1191" s="1">
        <v>5.41</v>
      </c>
      <c r="J1191" s="1">
        <v>5.4611000000000001</v>
      </c>
    </row>
    <row r="1192" spans="2:10" x14ac:dyDescent="0.3">
      <c r="B1192" s="10">
        <f t="shared" si="36"/>
        <v>2021</v>
      </c>
      <c r="C1192" s="10">
        <f t="shared" si="37"/>
        <v>10</v>
      </c>
      <c r="D1192" s="3">
        <v>44483</v>
      </c>
      <c r="E1192" s="1">
        <v>84</v>
      </c>
      <c r="F1192" s="1">
        <v>81.31</v>
      </c>
      <c r="G1192" s="1">
        <v>2.5613999999999999</v>
      </c>
      <c r="H1192" s="1">
        <v>2.4350000000000001</v>
      </c>
      <c r="I1192" s="1">
        <v>5.6870000000000003</v>
      </c>
      <c r="J1192" s="1">
        <v>5.5132000000000003</v>
      </c>
    </row>
    <row r="1193" spans="2:10" x14ac:dyDescent="0.3">
      <c r="B1193" s="10">
        <f t="shared" si="36"/>
        <v>2021</v>
      </c>
      <c r="C1193" s="10">
        <f t="shared" si="37"/>
        <v>10</v>
      </c>
      <c r="D1193" s="3">
        <v>44482</v>
      </c>
      <c r="E1193" s="1">
        <v>83.18</v>
      </c>
      <c r="F1193" s="1">
        <v>80.44</v>
      </c>
      <c r="G1193" s="1">
        <v>2.5211000000000001</v>
      </c>
      <c r="H1193" s="1">
        <v>2.4055</v>
      </c>
      <c r="I1193" s="1">
        <v>5.59</v>
      </c>
      <c r="J1193" s="1">
        <v>5.5133000000000001</v>
      </c>
    </row>
    <row r="1194" spans="2:10" x14ac:dyDescent="0.3">
      <c r="B1194" s="10">
        <f t="shared" si="36"/>
        <v>2021</v>
      </c>
      <c r="C1194" s="10">
        <f t="shared" si="37"/>
        <v>10</v>
      </c>
      <c r="D1194" s="3">
        <v>44481</v>
      </c>
      <c r="E1194" s="1">
        <v>83.42</v>
      </c>
      <c r="F1194" s="1">
        <v>80.64</v>
      </c>
      <c r="G1194" s="1">
        <v>2.5099999999999998</v>
      </c>
      <c r="H1194" s="1">
        <v>2.3828999999999998</v>
      </c>
      <c r="I1194" s="1">
        <v>5.5049999999999999</v>
      </c>
      <c r="J1194" s="1">
        <v>5.5324999999999998</v>
      </c>
    </row>
    <row r="1195" spans="2:10" x14ac:dyDescent="0.3">
      <c r="B1195" s="10">
        <f t="shared" si="36"/>
        <v>2021</v>
      </c>
      <c r="C1195" s="10">
        <f t="shared" si="37"/>
        <v>10</v>
      </c>
      <c r="D1195" s="3">
        <v>44480</v>
      </c>
      <c r="E1195" s="1">
        <v>83.65</v>
      </c>
      <c r="F1195" s="1">
        <v>80.52</v>
      </c>
      <c r="G1195" s="1">
        <v>2.5150000000000001</v>
      </c>
      <c r="H1195" s="1">
        <v>2.3778999999999999</v>
      </c>
      <c r="I1195" s="1">
        <v>5.3449999999999998</v>
      </c>
      <c r="J1195" s="1">
        <v>5.5366999999999997</v>
      </c>
    </row>
    <row r="1196" spans="2:10" x14ac:dyDescent="0.3">
      <c r="B1196" s="10">
        <f t="shared" si="36"/>
        <v>2021</v>
      </c>
      <c r="C1196" s="10">
        <f t="shared" si="37"/>
        <v>10</v>
      </c>
      <c r="D1196" s="3">
        <v>44477</v>
      </c>
      <c r="E1196" s="1">
        <v>82.39</v>
      </c>
      <c r="F1196" s="1">
        <v>79.349999999999994</v>
      </c>
      <c r="G1196" s="1">
        <v>2.4737</v>
      </c>
      <c r="H1196" s="1">
        <v>2.3662000000000001</v>
      </c>
      <c r="I1196" s="1">
        <v>5.5650000000000004</v>
      </c>
      <c r="J1196" s="1">
        <v>5.5082000000000004</v>
      </c>
    </row>
    <row r="1197" spans="2:10" x14ac:dyDescent="0.3">
      <c r="B1197" s="10">
        <f t="shared" si="36"/>
        <v>2021</v>
      </c>
      <c r="C1197" s="10">
        <f t="shared" si="37"/>
        <v>10</v>
      </c>
      <c r="D1197" s="3">
        <v>44476</v>
      </c>
      <c r="E1197" s="1">
        <v>81.95</v>
      </c>
      <c r="F1197" s="1">
        <v>78.3</v>
      </c>
      <c r="G1197" s="1">
        <v>2.4596</v>
      </c>
      <c r="H1197" s="1">
        <v>2.3344</v>
      </c>
      <c r="I1197" s="1">
        <v>5.6769999999999996</v>
      </c>
      <c r="J1197" s="1">
        <v>5.5187999999999997</v>
      </c>
    </row>
    <row r="1198" spans="2:10" x14ac:dyDescent="0.3">
      <c r="B1198" s="10">
        <f t="shared" si="36"/>
        <v>2021</v>
      </c>
      <c r="C1198" s="10">
        <f t="shared" si="37"/>
        <v>10</v>
      </c>
      <c r="D1198" s="3">
        <v>44475</v>
      </c>
      <c r="E1198" s="1">
        <v>81.08</v>
      </c>
      <c r="F1198" s="1">
        <v>77.430000000000007</v>
      </c>
      <c r="G1198" s="1">
        <v>2.4420000000000002</v>
      </c>
      <c r="H1198" s="1">
        <v>2.3081999999999998</v>
      </c>
      <c r="I1198" s="1">
        <v>5.6749999999999998</v>
      </c>
      <c r="J1198" s="1">
        <v>5.4912000000000001</v>
      </c>
    </row>
    <row r="1199" spans="2:10" x14ac:dyDescent="0.3">
      <c r="B1199" s="10">
        <f t="shared" si="36"/>
        <v>2021</v>
      </c>
      <c r="C1199" s="10">
        <f t="shared" si="37"/>
        <v>10</v>
      </c>
      <c r="D1199" s="3">
        <v>44474</v>
      </c>
      <c r="E1199" s="1">
        <v>82.56</v>
      </c>
      <c r="F1199" s="1">
        <v>78.930000000000007</v>
      </c>
      <c r="G1199" s="1">
        <v>2.4935999999999998</v>
      </c>
      <c r="H1199" s="1">
        <v>2.3578999999999999</v>
      </c>
      <c r="I1199" s="1">
        <v>6.3120000000000003</v>
      </c>
      <c r="J1199" s="1">
        <v>5.4748000000000001</v>
      </c>
    </row>
    <row r="1200" spans="2:10" x14ac:dyDescent="0.3">
      <c r="B1200" s="10">
        <f t="shared" si="36"/>
        <v>2021</v>
      </c>
      <c r="C1200" s="10">
        <f t="shared" si="37"/>
        <v>10</v>
      </c>
      <c r="D1200" s="3">
        <v>44473</v>
      </c>
      <c r="E1200" s="1">
        <v>81.260000000000005</v>
      </c>
      <c r="F1200" s="1">
        <v>77.62</v>
      </c>
      <c r="G1200" s="1">
        <v>2.4365999999999999</v>
      </c>
      <c r="H1200" s="1">
        <v>2.3085</v>
      </c>
      <c r="I1200" s="1">
        <v>5.766</v>
      </c>
      <c r="J1200" s="1">
        <v>5.4535</v>
      </c>
    </row>
    <row r="1201" spans="2:10" x14ac:dyDescent="0.3">
      <c r="B1201" s="10">
        <f t="shared" si="36"/>
        <v>2021</v>
      </c>
      <c r="C1201" s="10">
        <f t="shared" si="37"/>
        <v>10</v>
      </c>
      <c r="D1201" s="3">
        <v>44470</v>
      </c>
      <c r="E1201" s="1">
        <v>79.28</v>
      </c>
      <c r="F1201" s="1">
        <v>75.88</v>
      </c>
      <c r="G1201" s="1">
        <v>2.3826999999999998</v>
      </c>
      <c r="H1201" s="1">
        <v>2.25</v>
      </c>
      <c r="I1201" s="1">
        <v>5.6189999999999998</v>
      </c>
      <c r="J1201" s="1">
        <v>5.3628</v>
      </c>
    </row>
    <row r="1202" spans="2:10" x14ac:dyDescent="0.3">
      <c r="B1202" s="10">
        <f t="shared" si="36"/>
        <v>2021</v>
      </c>
      <c r="C1202" s="10">
        <f t="shared" si="37"/>
        <v>9</v>
      </c>
      <c r="D1202" s="3">
        <v>44469</v>
      </c>
      <c r="E1202" s="1">
        <v>78.52</v>
      </c>
      <c r="F1202" s="1">
        <v>75.03</v>
      </c>
      <c r="G1202" s="1">
        <v>2.3416999999999999</v>
      </c>
      <c r="H1202" s="1">
        <v>2.2536</v>
      </c>
      <c r="I1202" s="1">
        <v>5.867</v>
      </c>
      <c r="J1202" s="1">
        <v>5.4428000000000001</v>
      </c>
    </row>
    <row r="1203" spans="2:10" x14ac:dyDescent="0.3">
      <c r="B1203" s="10">
        <f t="shared" si="36"/>
        <v>2021</v>
      </c>
      <c r="C1203" s="10">
        <f t="shared" si="37"/>
        <v>9</v>
      </c>
      <c r="D1203" s="3">
        <v>44468</v>
      </c>
      <c r="E1203" s="1">
        <v>78.64</v>
      </c>
      <c r="F1203" s="1">
        <v>74.83</v>
      </c>
      <c r="G1203" s="1">
        <v>2.3075000000000001</v>
      </c>
      <c r="H1203" s="1">
        <v>2.2292999999999998</v>
      </c>
      <c r="I1203" s="1">
        <v>5.4770000000000003</v>
      </c>
      <c r="J1203" s="1">
        <v>5.4151999999999996</v>
      </c>
    </row>
    <row r="1204" spans="2:10" x14ac:dyDescent="0.3">
      <c r="B1204" s="10">
        <f t="shared" si="36"/>
        <v>2021</v>
      </c>
      <c r="C1204" s="10">
        <f t="shared" si="37"/>
        <v>9</v>
      </c>
      <c r="D1204" s="3">
        <v>44467</v>
      </c>
      <c r="E1204" s="1">
        <v>79.09</v>
      </c>
      <c r="F1204" s="1">
        <v>75.290000000000006</v>
      </c>
      <c r="G1204" s="1">
        <v>2.2890000000000001</v>
      </c>
      <c r="H1204" s="1">
        <v>2.2019000000000002</v>
      </c>
      <c r="I1204" s="1">
        <v>5.8410000000000002</v>
      </c>
      <c r="J1204" s="1">
        <v>5.4292999999999996</v>
      </c>
    </row>
    <row r="1205" spans="2:10" x14ac:dyDescent="0.3">
      <c r="B1205" s="10">
        <f t="shared" si="36"/>
        <v>2021</v>
      </c>
      <c r="C1205" s="10">
        <f t="shared" si="37"/>
        <v>9</v>
      </c>
      <c r="D1205" s="3">
        <v>44466</v>
      </c>
      <c r="E1205" s="1">
        <v>79.53</v>
      </c>
      <c r="F1205" s="1">
        <v>75.45</v>
      </c>
      <c r="G1205" s="1">
        <v>2.2959999999999998</v>
      </c>
      <c r="H1205" s="1">
        <v>2.2237</v>
      </c>
      <c r="I1205" s="1">
        <v>5.7060000000000004</v>
      </c>
      <c r="J1205" s="1">
        <v>5.3914</v>
      </c>
    </row>
    <row r="1206" spans="2:10" x14ac:dyDescent="0.3">
      <c r="B1206" s="10">
        <f t="shared" si="36"/>
        <v>2021</v>
      </c>
      <c r="C1206" s="10">
        <f t="shared" si="37"/>
        <v>9</v>
      </c>
      <c r="D1206" s="3">
        <v>44463</v>
      </c>
      <c r="E1206" s="1">
        <v>78.09</v>
      </c>
      <c r="F1206" s="1">
        <v>73.98</v>
      </c>
      <c r="G1206" s="1">
        <v>2.2671000000000001</v>
      </c>
      <c r="H1206" s="1">
        <v>2.1875</v>
      </c>
      <c r="I1206" s="1">
        <v>5.14</v>
      </c>
      <c r="J1206" s="1">
        <v>5.3343999999999996</v>
      </c>
    </row>
    <row r="1207" spans="2:10" x14ac:dyDescent="0.3">
      <c r="B1207" s="10">
        <f t="shared" si="36"/>
        <v>2021</v>
      </c>
      <c r="C1207" s="10">
        <f t="shared" si="37"/>
        <v>9</v>
      </c>
      <c r="D1207" s="3">
        <v>44462</v>
      </c>
      <c r="E1207" s="1">
        <v>77.25</v>
      </c>
      <c r="F1207" s="1">
        <v>73.3</v>
      </c>
      <c r="G1207" s="1">
        <v>2.2490999999999999</v>
      </c>
      <c r="H1207" s="1">
        <v>2.1715</v>
      </c>
      <c r="I1207" s="1">
        <v>4.976</v>
      </c>
      <c r="J1207" s="1">
        <v>5.3029999999999999</v>
      </c>
    </row>
    <row r="1208" spans="2:10" x14ac:dyDescent="0.3">
      <c r="B1208" s="10">
        <f t="shared" si="36"/>
        <v>2021</v>
      </c>
      <c r="C1208" s="10">
        <f t="shared" si="37"/>
        <v>9</v>
      </c>
      <c r="D1208" s="3">
        <v>44461</v>
      </c>
      <c r="E1208" s="1">
        <v>76.19</v>
      </c>
      <c r="F1208" s="1">
        <v>72.23</v>
      </c>
      <c r="G1208" s="1">
        <v>2.2115999999999998</v>
      </c>
      <c r="H1208" s="1">
        <v>2.1238999999999999</v>
      </c>
      <c r="I1208" s="1">
        <v>4.8049999999999997</v>
      </c>
      <c r="J1208" s="1">
        <v>5.2888000000000002</v>
      </c>
    </row>
    <row r="1209" spans="2:10" x14ac:dyDescent="0.3">
      <c r="B1209" s="10">
        <f t="shared" si="36"/>
        <v>2021</v>
      </c>
      <c r="C1209" s="10">
        <f t="shared" si="37"/>
        <v>9</v>
      </c>
      <c r="D1209" s="3">
        <v>44460</v>
      </c>
      <c r="E1209" s="1">
        <v>74.36</v>
      </c>
      <c r="F1209" s="1">
        <v>70.56</v>
      </c>
      <c r="G1209" s="1">
        <v>2.1738</v>
      </c>
      <c r="H1209" s="1">
        <v>2.1052</v>
      </c>
      <c r="I1209" s="1">
        <v>4.8049999999999997</v>
      </c>
      <c r="J1209" s="1">
        <v>5.2698999999999998</v>
      </c>
    </row>
    <row r="1210" spans="2:10" x14ac:dyDescent="0.3">
      <c r="B1210" s="10">
        <f t="shared" si="36"/>
        <v>2021</v>
      </c>
      <c r="C1210" s="10">
        <f t="shared" si="37"/>
        <v>9</v>
      </c>
      <c r="D1210" s="3">
        <v>44459</v>
      </c>
      <c r="E1210" s="1">
        <v>73.92</v>
      </c>
      <c r="F1210" s="1">
        <v>70.290000000000006</v>
      </c>
      <c r="G1210" s="1">
        <v>2.1589999999999998</v>
      </c>
      <c r="H1210" s="1">
        <v>2.1152000000000002</v>
      </c>
      <c r="I1210" s="1">
        <v>4.9850000000000003</v>
      </c>
      <c r="J1210" s="1">
        <v>5.3239999999999998</v>
      </c>
    </row>
    <row r="1211" spans="2:10" x14ac:dyDescent="0.3">
      <c r="B1211" s="10">
        <f t="shared" si="36"/>
        <v>2021</v>
      </c>
      <c r="C1211" s="10">
        <f t="shared" si="37"/>
        <v>9</v>
      </c>
      <c r="D1211" s="3">
        <v>44456</v>
      </c>
      <c r="E1211" s="1">
        <v>75.34</v>
      </c>
      <c r="F1211" s="1">
        <v>71.97</v>
      </c>
      <c r="G1211" s="1">
        <v>2.2090999999999998</v>
      </c>
      <c r="H1211" s="1">
        <v>2.1713</v>
      </c>
      <c r="I1211" s="1">
        <v>5.1050000000000004</v>
      </c>
      <c r="J1211" s="1">
        <v>5.2882999999999996</v>
      </c>
    </row>
    <row r="1212" spans="2:10" x14ac:dyDescent="0.3">
      <c r="B1212" s="10">
        <f t="shared" si="36"/>
        <v>2021</v>
      </c>
      <c r="C1212" s="10">
        <f t="shared" si="37"/>
        <v>9</v>
      </c>
      <c r="D1212" s="3">
        <v>44455</v>
      </c>
      <c r="E1212" s="1">
        <v>75.67</v>
      </c>
      <c r="F1212" s="1">
        <v>72.61</v>
      </c>
      <c r="G1212" s="1">
        <v>2.2109999999999999</v>
      </c>
      <c r="H1212" s="1">
        <v>2.1812</v>
      </c>
      <c r="I1212" s="1">
        <v>5.335</v>
      </c>
      <c r="J1212" s="1">
        <v>5.2534999999999998</v>
      </c>
    </row>
    <row r="1213" spans="2:10" x14ac:dyDescent="0.3">
      <c r="B1213" s="10">
        <f t="shared" si="36"/>
        <v>2021</v>
      </c>
      <c r="C1213" s="10">
        <f t="shared" si="37"/>
        <v>9</v>
      </c>
      <c r="D1213" s="3">
        <v>44454</v>
      </c>
      <c r="E1213" s="1">
        <v>75.459999999999994</v>
      </c>
      <c r="F1213" s="1">
        <v>72.61</v>
      </c>
      <c r="G1213" s="1">
        <v>2.2052999999999998</v>
      </c>
      <c r="H1213" s="1">
        <v>2.2065999999999999</v>
      </c>
      <c r="I1213" s="1">
        <v>5.46</v>
      </c>
      <c r="J1213" s="1">
        <v>5.2218999999999998</v>
      </c>
    </row>
    <row r="1214" spans="2:10" x14ac:dyDescent="0.3">
      <c r="B1214" s="10">
        <f t="shared" si="36"/>
        <v>2021</v>
      </c>
      <c r="C1214" s="10">
        <f t="shared" si="37"/>
        <v>9</v>
      </c>
      <c r="D1214" s="3">
        <v>44453</v>
      </c>
      <c r="E1214" s="1">
        <v>73.599999999999994</v>
      </c>
      <c r="F1214" s="1">
        <v>70.459999999999994</v>
      </c>
      <c r="G1214" s="1">
        <v>2.1613000000000002</v>
      </c>
      <c r="H1214" s="1">
        <v>2.1724000000000001</v>
      </c>
      <c r="I1214" s="1">
        <v>5.26</v>
      </c>
      <c r="J1214" s="1">
        <v>5.2397999999999998</v>
      </c>
    </row>
    <row r="1215" spans="2:10" x14ac:dyDescent="0.3">
      <c r="B1215" s="10">
        <f t="shared" si="36"/>
        <v>2021</v>
      </c>
      <c r="C1215" s="10">
        <f t="shared" si="37"/>
        <v>9</v>
      </c>
      <c r="D1215" s="3">
        <v>44452</v>
      </c>
      <c r="E1215" s="1">
        <v>73.510000000000005</v>
      </c>
      <c r="F1215" s="1">
        <v>70.45</v>
      </c>
      <c r="G1215" s="1">
        <v>2.1583000000000001</v>
      </c>
      <c r="H1215" s="1">
        <v>2.1608999999999998</v>
      </c>
      <c r="I1215" s="1">
        <v>5.2309999999999999</v>
      </c>
      <c r="J1215" s="1">
        <v>5.2144000000000004</v>
      </c>
    </row>
    <row r="1216" spans="2:10" x14ac:dyDescent="0.3">
      <c r="B1216" s="10">
        <f t="shared" si="36"/>
        <v>2021</v>
      </c>
      <c r="C1216" s="10">
        <f t="shared" si="37"/>
        <v>9</v>
      </c>
      <c r="D1216" s="3">
        <v>44449</v>
      </c>
      <c r="E1216" s="1">
        <v>72.92</v>
      </c>
      <c r="F1216" s="1">
        <v>69.72</v>
      </c>
      <c r="G1216" s="1">
        <v>2.1459999999999999</v>
      </c>
      <c r="H1216" s="1">
        <v>2.1539999999999999</v>
      </c>
      <c r="I1216" s="1">
        <v>4.9379999999999997</v>
      </c>
      <c r="J1216" s="1">
        <v>5.2454000000000001</v>
      </c>
    </row>
    <row r="1217" spans="2:10" x14ac:dyDescent="0.3">
      <c r="B1217" s="10">
        <f t="shared" si="36"/>
        <v>2021</v>
      </c>
      <c r="C1217" s="10">
        <f t="shared" si="37"/>
        <v>9</v>
      </c>
      <c r="D1217" s="3">
        <v>44448</v>
      </c>
      <c r="E1217" s="1">
        <v>71.45</v>
      </c>
      <c r="F1217" s="1">
        <v>68.14</v>
      </c>
      <c r="G1217" s="1">
        <v>2.1137000000000001</v>
      </c>
      <c r="H1217" s="1">
        <v>2.0996999999999999</v>
      </c>
      <c r="I1217" s="1">
        <v>5.0309999999999997</v>
      </c>
      <c r="J1217" s="1">
        <v>5.1976000000000004</v>
      </c>
    </row>
    <row r="1218" spans="2:10" x14ac:dyDescent="0.3">
      <c r="B1218" s="10">
        <f t="shared" si="36"/>
        <v>2021</v>
      </c>
      <c r="C1218" s="10">
        <f t="shared" si="37"/>
        <v>9</v>
      </c>
      <c r="D1218" s="3">
        <v>44447</v>
      </c>
      <c r="E1218" s="1">
        <v>72.599999999999994</v>
      </c>
      <c r="F1218" s="1">
        <v>69.3</v>
      </c>
      <c r="G1218" s="1">
        <v>2.1364000000000001</v>
      </c>
      <c r="H1218" s="1">
        <v>2.1320999999999999</v>
      </c>
      <c r="I1218" s="1">
        <v>4.9139999999999997</v>
      </c>
      <c r="J1218" s="1">
        <v>5.3213999999999997</v>
      </c>
    </row>
    <row r="1219" spans="2:10" x14ac:dyDescent="0.3">
      <c r="B1219" s="10">
        <f t="shared" si="36"/>
        <v>2021</v>
      </c>
      <c r="C1219" s="10">
        <f t="shared" si="37"/>
        <v>9</v>
      </c>
      <c r="D1219" s="3">
        <v>44446</v>
      </c>
      <c r="E1219" s="1">
        <v>71.69</v>
      </c>
      <c r="F1219" s="1">
        <v>68.349999999999994</v>
      </c>
      <c r="G1219" s="1">
        <v>2.1215999999999999</v>
      </c>
      <c r="H1219" s="1">
        <v>2.13</v>
      </c>
      <c r="I1219" s="1">
        <v>4.5679999999999996</v>
      </c>
      <c r="J1219" s="1">
        <v>5.1692</v>
      </c>
    </row>
    <row r="1220" spans="2:10" x14ac:dyDescent="0.3">
      <c r="B1220" s="10">
        <f t="shared" si="36"/>
        <v>2021</v>
      </c>
      <c r="C1220" s="10">
        <f t="shared" si="37"/>
        <v>9</v>
      </c>
      <c r="D1220" s="3">
        <v>44445</v>
      </c>
      <c r="E1220" s="1">
        <v>72.22</v>
      </c>
      <c r="J1220" s="1">
        <v>5.1692999999999998</v>
      </c>
    </row>
    <row r="1221" spans="2:10" x14ac:dyDescent="0.3">
      <c r="B1221" s="10">
        <f t="shared" si="36"/>
        <v>2021</v>
      </c>
      <c r="C1221" s="10">
        <f t="shared" si="37"/>
        <v>9</v>
      </c>
      <c r="D1221" s="3">
        <v>44442</v>
      </c>
      <c r="E1221" s="1">
        <v>72.61</v>
      </c>
      <c r="F1221" s="1">
        <v>69.290000000000006</v>
      </c>
      <c r="G1221" s="1">
        <v>2.1594000000000002</v>
      </c>
      <c r="H1221" s="1">
        <v>2.1539999999999999</v>
      </c>
      <c r="I1221" s="1">
        <v>4.7119999999999997</v>
      </c>
      <c r="J1221" s="1">
        <v>5.1908000000000003</v>
      </c>
    </row>
    <row r="1222" spans="2:10" x14ac:dyDescent="0.3">
      <c r="B1222" s="10">
        <f t="shared" ref="B1222:B1285" si="38">YEAR(D1222)</f>
        <v>2021</v>
      </c>
      <c r="C1222" s="10">
        <f t="shared" ref="C1222:C1285" si="39">MONTH(D1222)</f>
        <v>9</v>
      </c>
      <c r="D1222" s="3">
        <v>44441</v>
      </c>
      <c r="E1222" s="1">
        <v>73.03</v>
      </c>
      <c r="F1222" s="1">
        <v>69.989999999999995</v>
      </c>
      <c r="G1222" s="1">
        <v>2.1677</v>
      </c>
      <c r="H1222" s="1">
        <v>2.1635</v>
      </c>
      <c r="I1222" s="1">
        <v>4.641</v>
      </c>
      <c r="J1222" s="1">
        <v>5.1818999999999997</v>
      </c>
    </row>
    <row r="1223" spans="2:10" x14ac:dyDescent="0.3">
      <c r="B1223" s="10">
        <f t="shared" si="38"/>
        <v>2021</v>
      </c>
      <c r="C1223" s="10">
        <f t="shared" si="39"/>
        <v>9</v>
      </c>
      <c r="D1223" s="3">
        <v>44440</v>
      </c>
      <c r="E1223" s="1">
        <v>71.59</v>
      </c>
      <c r="F1223" s="1">
        <v>68.59</v>
      </c>
      <c r="G1223" s="1">
        <v>2.1288999999999998</v>
      </c>
      <c r="H1223" s="1">
        <v>2.1109</v>
      </c>
      <c r="I1223" s="1">
        <v>4.6150000000000002</v>
      </c>
      <c r="J1223" s="1">
        <v>5.1858000000000004</v>
      </c>
    </row>
    <row r="1224" spans="2:10" x14ac:dyDescent="0.3">
      <c r="B1224" s="10">
        <f t="shared" si="38"/>
        <v>2021</v>
      </c>
      <c r="C1224" s="10">
        <f t="shared" si="39"/>
        <v>8</v>
      </c>
      <c r="D1224" s="3">
        <v>44439</v>
      </c>
      <c r="E1224" s="1">
        <v>72.989999999999995</v>
      </c>
      <c r="F1224" s="1">
        <v>68.5</v>
      </c>
      <c r="G1224" s="1">
        <v>2.1309999999999998</v>
      </c>
      <c r="H1224" s="1">
        <v>2.2826</v>
      </c>
      <c r="I1224" s="1">
        <v>4.3769999999999998</v>
      </c>
      <c r="J1224" s="1">
        <v>5.1492000000000004</v>
      </c>
    </row>
    <row r="1225" spans="2:10" x14ac:dyDescent="0.3">
      <c r="B1225" s="10">
        <f t="shared" si="38"/>
        <v>2021</v>
      </c>
      <c r="C1225" s="10">
        <f t="shared" si="39"/>
        <v>8</v>
      </c>
      <c r="D1225" s="3">
        <v>44438</v>
      </c>
      <c r="E1225" s="1">
        <v>73.41</v>
      </c>
      <c r="F1225" s="1">
        <v>69.209999999999994</v>
      </c>
      <c r="G1225" s="1">
        <v>2.1402999999999999</v>
      </c>
      <c r="H1225" s="1">
        <v>2.3127</v>
      </c>
      <c r="I1225" s="1">
        <v>4.3049999999999997</v>
      </c>
      <c r="J1225" s="1">
        <v>5.1840000000000002</v>
      </c>
    </row>
    <row r="1226" spans="2:10" x14ac:dyDescent="0.3">
      <c r="B1226" s="10">
        <f t="shared" si="38"/>
        <v>2021</v>
      </c>
      <c r="C1226" s="10">
        <f t="shared" si="39"/>
        <v>8</v>
      </c>
      <c r="D1226" s="3">
        <v>44435</v>
      </c>
      <c r="E1226" s="1">
        <v>72.7</v>
      </c>
      <c r="F1226" s="1">
        <v>68.739999999999995</v>
      </c>
      <c r="G1226" s="1">
        <v>2.1092</v>
      </c>
      <c r="H1226" s="1">
        <v>2.2742</v>
      </c>
      <c r="I1226" s="1">
        <v>4.37</v>
      </c>
      <c r="J1226" s="1">
        <v>5.1996000000000002</v>
      </c>
    </row>
    <row r="1227" spans="2:10" x14ac:dyDescent="0.3">
      <c r="B1227" s="10">
        <f t="shared" si="38"/>
        <v>2021</v>
      </c>
      <c r="C1227" s="10">
        <f t="shared" si="39"/>
        <v>8</v>
      </c>
      <c r="D1227" s="3">
        <v>44434</v>
      </c>
      <c r="E1227" s="1">
        <v>71.069999999999993</v>
      </c>
      <c r="F1227" s="1">
        <v>67.42</v>
      </c>
      <c r="G1227" s="1">
        <v>2.0832000000000002</v>
      </c>
      <c r="H1227" s="1">
        <v>2.2553999999999998</v>
      </c>
      <c r="I1227" s="1">
        <v>4.1840000000000002</v>
      </c>
      <c r="J1227" s="1">
        <v>5.2522000000000002</v>
      </c>
    </row>
    <row r="1228" spans="2:10" x14ac:dyDescent="0.3">
      <c r="B1228" s="10">
        <f t="shared" si="38"/>
        <v>2021</v>
      </c>
      <c r="C1228" s="10">
        <f t="shared" si="39"/>
        <v>8</v>
      </c>
      <c r="D1228" s="3">
        <v>44433</v>
      </c>
      <c r="E1228" s="1">
        <v>72.25</v>
      </c>
      <c r="F1228" s="1">
        <v>68.36</v>
      </c>
      <c r="G1228" s="1">
        <v>2.1181999999999999</v>
      </c>
      <c r="H1228" s="1">
        <v>2.3008000000000002</v>
      </c>
      <c r="I1228" s="1">
        <v>3.8969999999999998</v>
      </c>
      <c r="J1228" s="1">
        <v>5.2117000000000004</v>
      </c>
    </row>
    <row r="1229" spans="2:10" x14ac:dyDescent="0.3">
      <c r="B1229" s="10">
        <f t="shared" si="38"/>
        <v>2021</v>
      </c>
      <c r="C1229" s="10">
        <f t="shared" si="39"/>
        <v>8</v>
      </c>
      <c r="D1229" s="3">
        <v>44432</v>
      </c>
      <c r="E1229" s="1">
        <v>71.05</v>
      </c>
      <c r="F1229" s="1">
        <v>67.540000000000006</v>
      </c>
      <c r="G1229" s="1">
        <v>2.0668000000000002</v>
      </c>
      <c r="H1229" s="1">
        <v>2.1808000000000001</v>
      </c>
      <c r="I1229" s="1">
        <v>3.8959999999999999</v>
      </c>
      <c r="J1229" s="1">
        <v>5.2462999999999997</v>
      </c>
    </row>
    <row r="1230" spans="2:10" x14ac:dyDescent="0.3">
      <c r="B1230" s="10">
        <f t="shared" si="38"/>
        <v>2021</v>
      </c>
      <c r="C1230" s="10">
        <f t="shared" si="39"/>
        <v>8</v>
      </c>
      <c r="D1230" s="3">
        <v>44431</v>
      </c>
      <c r="E1230" s="1">
        <v>68.75</v>
      </c>
      <c r="F1230" s="1">
        <v>65.64</v>
      </c>
      <c r="G1230" s="1">
        <v>2.0051000000000001</v>
      </c>
      <c r="H1230" s="1">
        <v>2.1232000000000002</v>
      </c>
      <c r="I1230" s="1">
        <v>3.9449999999999998</v>
      </c>
      <c r="J1230" s="1">
        <v>5.3802000000000003</v>
      </c>
    </row>
    <row r="1231" spans="2:10" x14ac:dyDescent="0.3">
      <c r="B1231" s="10">
        <f t="shared" si="38"/>
        <v>2021</v>
      </c>
      <c r="C1231" s="10">
        <f t="shared" si="39"/>
        <v>8</v>
      </c>
      <c r="D1231" s="3">
        <v>44428</v>
      </c>
      <c r="E1231" s="1">
        <v>65.180000000000007</v>
      </c>
      <c r="F1231" s="1">
        <v>62.32</v>
      </c>
      <c r="G1231" s="1">
        <v>1.9081999999999999</v>
      </c>
      <c r="H1231" s="1">
        <v>2.0236000000000001</v>
      </c>
      <c r="I1231" s="1">
        <v>3.851</v>
      </c>
      <c r="J1231" s="1">
        <v>5.3769999999999998</v>
      </c>
    </row>
    <row r="1232" spans="2:10" x14ac:dyDescent="0.3">
      <c r="B1232" s="10">
        <f t="shared" si="38"/>
        <v>2021</v>
      </c>
      <c r="C1232" s="10">
        <f t="shared" si="39"/>
        <v>8</v>
      </c>
      <c r="D1232" s="3">
        <v>44427</v>
      </c>
      <c r="E1232" s="1">
        <v>66.45</v>
      </c>
      <c r="F1232" s="1">
        <v>63.69</v>
      </c>
      <c r="G1232" s="1">
        <v>1.9690000000000001</v>
      </c>
      <c r="H1232" s="1">
        <v>2.0815000000000001</v>
      </c>
      <c r="I1232" s="1">
        <v>3.83</v>
      </c>
      <c r="J1232" s="1">
        <v>5.4142000000000001</v>
      </c>
    </row>
    <row r="1233" spans="2:10" x14ac:dyDescent="0.3">
      <c r="B1233" s="10">
        <f t="shared" si="38"/>
        <v>2021</v>
      </c>
      <c r="C1233" s="10">
        <f t="shared" si="39"/>
        <v>8</v>
      </c>
      <c r="D1233" s="3">
        <v>44426</v>
      </c>
      <c r="E1233" s="1">
        <v>68.23</v>
      </c>
      <c r="F1233" s="1">
        <v>65.459999999999994</v>
      </c>
      <c r="G1233" s="1">
        <v>2.0211999999999999</v>
      </c>
      <c r="H1233" s="1">
        <v>2.1476999999999999</v>
      </c>
      <c r="I1233" s="1">
        <v>3.8519999999999999</v>
      </c>
      <c r="J1233" s="1">
        <v>5.3794000000000004</v>
      </c>
    </row>
    <row r="1234" spans="2:10" x14ac:dyDescent="0.3">
      <c r="B1234" s="10">
        <f t="shared" si="38"/>
        <v>2021</v>
      </c>
      <c r="C1234" s="10">
        <f t="shared" si="39"/>
        <v>8</v>
      </c>
      <c r="D1234" s="3">
        <v>44425</v>
      </c>
      <c r="E1234" s="1">
        <v>69.03</v>
      </c>
      <c r="F1234" s="1">
        <v>66.59</v>
      </c>
      <c r="G1234" s="1">
        <v>2.0360999999999998</v>
      </c>
      <c r="H1234" s="1">
        <v>2.1656</v>
      </c>
      <c r="I1234" s="1">
        <v>3.8370000000000002</v>
      </c>
      <c r="J1234" s="1">
        <v>5.2948000000000004</v>
      </c>
    </row>
    <row r="1235" spans="2:10" x14ac:dyDescent="0.3">
      <c r="B1235" s="10">
        <f t="shared" si="38"/>
        <v>2021</v>
      </c>
      <c r="C1235" s="10">
        <f t="shared" si="39"/>
        <v>8</v>
      </c>
      <c r="D1235" s="3">
        <v>44424</v>
      </c>
      <c r="E1235" s="1">
        <v>69.510000000000005</v>
      </c>
      <c r="F1235" s="1">
        <v>67.290000000000006</v>
      </c>
      <c r="G1235" s="1">
        <v>2.0482999999999998</v>
      </c>
      <c r="H1235" s="1">
        <v>2.2008999999999999</v>
      </c>
      <c r="I1235" s="1">
        <v>3.9460000000000002</v>
      </c>
      <c r="J1235" s="1">
        <v>5.2595000000000001</v>
      </c>
    </row>
    <row r="1236" spans="2:10" x14ac:dyDescent="0.3">
      <c r="B1236" s="10">
        <f t="shared" si="38"/>
        <v>2021</v>
      </c>
      <c r="C1236" s="10">
        <f t="shared" si="39"/>
        <v>8</v>
      </c>
      <c r="D1236" s="3">
        <v>44421</v>
      </c>
      <c r="E1236" s="1">
        <v>70.59</v>
      </c>
      <c r="F1236" s="1">
        <v>68.44</v>
      </c>
      <c r="G1236" s="1">
        <v>2.0779000000000001</v>
      </c>
      <c r="H1236" s="1">
        <v>2.2625999999999999</v>
      </c>
      <c r="I1236" s="1">
        <v>3.8610000000000002</v>
      </c>
      <c r="J1236" s="1">
        <v>5.2465999999999999</v>
      </c>
    </row>
    <row r="1237" spans="2:10" x14ac:dyDescent="0.3">
      <c r="B1237" s="10">
        <f t="shared" si="38"/>
        <v>2021</v>
      </c>
      <c r="C1237" s="10">
        <f t="shared" si="39"/>
        <v>8</v>
      </c>
      <c r="D1237" s="3">
        <v>44420</v>
      </c>
      <c r="E1237" s="1">
        <v>71.31</v>
      </c>
      <c r="F1237" s="1">
        <v>69.09</v>
      </c>
      <c r="G1237" s="1">
        <v>2.1038999999999999</v>
      </c>
      <c r="H1237" s="1">
        <v>2.2753999999999999</v>
      </c>
      <c r="I1237" s="1">
        <v>3.9329999999999998</v>
      </c>
      <c r="J1237" s="1">
        <v>5.2523999999999997</v>
      </c>
    </row>
    <row r="1238" spans="2:10" x14ac:dyDescent="0.3">
      <c r="B1238" s="10">
        <f t="shared" si="38"/>
        <v>2021</v>
      </c>
      <c r="C1238" s="10">
        <f t="shared" si="39"/>
        <v>8</v>
      </c>
      <c r="D1238" s="3">
        <v>44419</v>
      </c>
      <c r="E1238" s="1">
        <v>71.44</v>
      </c>
      <c r="F1238" s="1">
        <v>69.25</v>
      </c>
      <c r="G1238" s="1">
        <v>2.1057999999999999</v>
      </c>
      <c r="H1238" s="1">
        <v>2.3022</v>
      </c>
      <c r="I1238" s="1">
        <v>4.0590000000000002</v>
      </c>
      <c r="J1238" s="1">
        <v>5.2184999999999997</v>
      </c>
    </row>
    <row r="1239" spans="2:10" x14ac:dyDescent="0.3">
      <c r="B1239" s="10">
        <f t="shared" si="38"/>
        <v>2021</v>
      </c>
      <c r="C1239" s="10">
        <f t="shared" si="39"/>
        <v>8</v>
      </c>
      <c r="D1239" s="3">
        <v>44418</v>
      </c>
      <c r="E1239" s="1">
        <v>70.63</v>
      </c>
      <c r="F1239" s="1">
        <v>68.290000000000006</v>
      </c>
      <c r="G1239" s="1">
        <v>2.0802</v>
      </c>
      <c r="H1239" s="1">
        <v>2.2679</v>
      </c>
      <c r="I1239" s="1">
        <v>4.0890000000000004</v>
      </c>
      <c r="J1239" s="1">
        <v>5.1894999999999998</v>
      </c>
    </row>
    <row r="1240" spans="2:10" x14ac:dyDescent="0.3">
      <c r="B1240" s="10">
        <f t="shared" si="38"/>
        <v>2021</v>
      </c>
      <c r="C1240" s="10">
        <f t="shared" si="39"/>
        <v>8</v>
      </c>
      <c r="D1240" s="3">
        <v>44417</v>
      </c>
      <c r="E1240" s="1">
        <v>69.040000000000006</v>
      </c>
      <c r="F1240" s="1">
        <v>66.48</v>
      </c>
      <c r="G1240" s="1">
        <v>2.0421</v>
      </c>
      <c r="H1240" s="1">
        <v>2.2347999999999999</v>
      </c>
      <c r="I1240" s="1">
        <v>4.0599999999999996</v>
      </c>
      <c r="J1240" s="1">
        <v>5.2331000000000003</v>
      </c>
    </row>
    <row r="1241" spans="2:10" x14ac:dyDescent="0.3">
      <c r="B1241" s="10">
        <f t="shared" si="38"/>
        <v>2021</v>
      </c>
      <c r="C1241" s="10">
        <f t="shared" si="39"/>
        <v>8</v>
      </c>
      <c r="D1241" s="3">
        <v>44414</v>
      </c>
      <c r="E1241" s="1">
        <v>70.7</v>
      </c>
      <c r="F1241" s="1">
        <v>68.28</v>
      </c>
      <c r="G1241" s="1">
        <v>2.0844999999999998</v>
      </c>
      <c r="H1241" s="1">
        <v>2.2568999999999999</v>
      </c>
      <c r="I1241" s="1">
        <v>4.1399999999999997</v>
      </c>
      <c r="J1241" s="1">
        <v>5.2301000000000002</v>
      </c>
    </row>
    <row r="1242" spans="2:10" x14ac:dyDescent="0.3">
      <c r="B1242" s="10">
        <f t="shared" si="38"/>
        <v>2021</v>
      </c>
      <c r="C1242" s="10">
        <f t="shared" si="39"/>
        <v>8</v>
      </c>
      <c r="D1242" s="3">
        <v>44413</v>
      </c>
      <c r="E1242" s="1">
        <v>71.290000000000006</v>
      </c>
      <c r="F1242" s="1">
        <v>69.09</v>
      </c>
      <c r="G1242" s="1">
        <v>2.1059999999999999</v>
      </c>
      <c r="H1242" s="1">
        <v>2.294</v>
      </c>
      <c r="I1242" s="1">
        <v>4.1399999999999997</v>
      </c>
      <c r="J1242" s="1">
        <v>5.2488000000000001</v>
      </c>
    </row>
    <row r="1243" spans="2:10" x14ac:dyDescent="0.3">
      <c r="B1243" s="10">
        <f t="shared" si="38"/>
        <v>2021</v>
      </c>
      <c r="C1243" s="10">
        <f t="shared" si="39"/>
        <v>8</v>
      </c>
      <c r="D1243" s="3">
        <v>44412</v>
      </c>
      <c r="E1243" s="1">
        <v>70.38</v>
      </c>
      <c r="F1243" s="1">
        <v>68.150000000000006</v>
      </c>
      <c r="G1243" s="1">
        <v>2.0741000000000001</v>
      </c>
      <c r="H1243" s="1">
        <v>2.25</v>
      </c>
      <c r="I1243" s="1">
        <v>4.1580000000000004</v>
      </c>
      <c r="J1243" s="1">
        <v>5.1684999999999999</v>
      </c>
    </row>
    <row r="1244" spans="2:10" x14ac:dyDescent="0.3">
      <c r="B1244" s="10">
        <f t="shared" si="38"/>
        <v>2021</v>
      </c>
      <c r="C1244" s="10">
        <f t="shared" si="39"/>
        <v>8</v>
      </c>
      <c r="D1244" s="3">
        <v>44411</v>
      </c>
      <c r="E1244" s="1">
        <v>72.41</v>
      </c>
      <c r="F1244" s="1">
        <v>70.56</v>
      </c>
      <c r="G1244" s="1">
        <v>2.1263999999999998</v>
      </c>
      <c r="H1244" s="1">
        <v>2.2707999999999999</v>
      </c>
      <c r="I1244" s="1">
        <v>4.0270000000000001</v>
      </c>
      <c r="J1244" s="1">
        <v>5.1966999999999999</v>
      </c>
    </row>
    <row r="1245" spans="2:10" x14ac:dyDescent="0.3">
      <c r="B1245" s="10">
        <f t="shared" si="38"/>
        <v>2021</v>
      </c>
      <c r="C1245" s="10">
        <f t="shared" si="39"/>
        <v>8</v>
      </c>
      <c r="D1245" s="3">
        <v>44410</v>
      </c>
      <c r="E1245" s="1">
        <v>72.89</v>
      </c>
      <c r="F1245" s="1">
        <v>71.260000000000005</v>
      </c>
      <c r="G1245" s="1">
        <v>2.1358000000000001</v>
      </c>
      <c r="H1245" s="1">
        <v>2.2747000000000002</v>
      </c>
      <c r="I1245" s="1">
        <v>3.9350000000000001</v>
      </c>
      <c r="J1245" s="1">
        <v>5.1746999999999996</v>
      </c>
    </row>
    <row r="1246" spans="2:10" x14ac:dyDescent="0.3">
      <c r="B1246" s="10">
        <f t="shared" si="38"/>
        <v>2021</v>
      </c>
      <c r="C1246" s="10">
        <f t="shared" si="39"/>
        <v>7</v>
      </c>
      <c r="D1246" s="3">
        <v>44407</v>
      </c>
      <c r="E1246" s="1">
        <v>76.33</v>
      </c>
      <c r="F1246" s="1">
        <v>73.95</v>
      </c>
      <c r="G1246" s="1">
        <v>2.1993999999999998</v>
      </c>
      <c r="H1246" s="1">
        <v>2.3658999999999999</v>
      </c>
      <c r="I1246" s="1">
        <v>3.9140000000000001</v>
      </c>
      <c r="J1246" s="1">
        <v>5.2122999999999999</v>
      </c>
    </row>
    <row r="1247" spans="2:10" x14ac:dyDescent="0.3">
      <c r="B1247" s="10">
        <f t="shared" si="38"/>
        <v>2021</v>
      </c>
      <c r="C1247" s="10">
        <f t="shared" si="39"/>
        <v>7</v>
      </c>
      <c r="D1247" s="3">
        <v>44406</v>
      </c>
      <c r="E1247" s="1">
        <v>76.05</v>
      </c>
      <c r="F1247" s="1">
        <v>73.62</v>
      </c>
      <c r="G1247" s="1">
        <v>2.1894</v>
      </c>
      <c r="H1247" s="1">
        <v>2.3513999999999999</v>
      </c>
      <c r="I1247" s="1">
        <v>4.0590000000000002</v>
      </c>
      <c r="J1247" s="1">
        <v>5.0811999999999999</v>
      </c>
    </row>
    <row r="1248" spans="2:10" x14ac:dyDescent="0.3">
      <c r="B1248" s="10">
        <f t="shared" si="38"/>
        <v>2021</v>
      </c>
      <c r="C1248" s="10">
        <f t="shared" si="39"/>
        <v>7</v>
      </c>
      <c r="D1248" s="3">
        <v>44405</v>
      </c>
      <c r="E1248" s="1">
        <v>74.739999999999995</v>
      </c>
      <c r="F1248" s="1">
        <v>72.39</v>
      </c>
      <c r="G1248" s="1">
        <v>2.1560000000000001</v>
      </c>
      <c r="H1248" s="1">
        <v>2.3081999999999998</v>
      </c>
      <c r="I1248" s="1">
        <v>4.0439999999999996</v>
      </c>
      <c r="J1248" s="1">
        <v>5.1157000000000004</v>
      </c>
    </row>
    <row r="1249" spans="2:10" x14ac:dyDescent="0.3">
      <c r="B1249" s="10">
        <f t="shared" si="38"/>
        <v>2021</v>
      </c>
      <c r="C1249" s="10">
        <f t="shared" si="39"/>
        <v>7</v>
      </c>
      <c r="D1249" s="3">
        <v>44404</v>
      </c>
      <c r="E1249" s="1">
        <v>74.48</v>
      </c>
      <c r="F1249" s="1">
        <v>71.650000000000006</v>
      </c>
      <c r="G1249" s="1">
        <v>2.1438999999999999</v>
      </c>
      <c r="H1249" s="1">
        <v>2.3140999999999998</v>
      </c>
      <c r="I1249" s="1">
        <v>3.9710000000000001</v>
      </c>
      <c r="J1249" s="1">
        <v>5.1689999999999996</v>
      </c>
    </row>
    <row r="1250" spans="2:10" x14ac:dyDescent="0.3">
      <c r="B1250" s="10">
        <f t="shared" si="38"/>
        <v>2021</v>
      </c>
      <c r="C1250" s="10">
        <f t="shared" si="39"/>
        <v>7</v>
      </c>
      <c r="D1250" s="3">
        <v>44403</v>
      </c>
      <c r="E1250" s="1">
        <v>74.5</v>
      </c>
      <c r="F1250" s="1">
        <v>71.91</v>
      </c>
      <c r="G1250" s="1">
        <v>2.1509999999999998</v>
      </c>
      <c r="H1250" s="1">
        <v>2.3083</v>
      </c>
      <c r="I1250" s="1">
        <v>4.1020000000000003</v>
      </c>
      <c r="J1250" s="1">
        <v>5.1760999999999999</v>
      </c>
    </row>
    <row r="1251" spans="2:10" x14ac:dyDescent="0.3">
      <c r="B1251" s="10">
        <f t="shared" si="38"/>
        <v>2021</v>
      </c>
      <c r="C1251" s="10">
        <f t="shared" si="39"/>
        <v>7</v>
      </c>
      <c r="D1251" s="3">
        <v>44400</v>
      </c>
      <c r="E1251" s="1">
        <v>74.099999999999994</v>
      </c>
      <c r="F1251" s="1">
        <v>72.069999999999993</v>
      </c>
      <c r="G1251" s="1">
        <v>2.1339000000000001</v>
      </c>
      <c r="H1251" s="1">
        <v>2.2913000000000001</v>
      </c>
      <c r="I1251" s="1">
        <v>4.0599999999999996</v>
      </c>
      <c r="J1251" s="1">
        <v>5.2005999999999997</v>
      </c>
    </row>
    <row r="1252" spans="2:10" x14ac:dyDescent="0.3">
      <c r="B1252" s="10">
        <f t="shared" si="38"/>
        <v>2021</v>
      </c>
      <c r="C1252" s="10">
        <f t="shared" si="39"/>
        <v>7</v>
      </c>
      <c r="D1252" s="3">
        <v>44399</v>
      </c>
      <c r="E1252" s="1">
        <v>73.790000000000006</v>
      </c>
      <c r="F1252" s="1">
        <v>71.91</v>
      </c>
      <c r="G1252" s="1">
        <v>2.1326000000000001</v>
      </c>
      <c r="H1252" s="1">
        <v>2.2732000000000001</v>
      </c>
      <c r="I1252" s="1">
        <v>4.0030000000000001</v>
      </c>
      <c r="J1252" s="1">
        <v>5.2003000000000004</v>
      </c>
    </row>
    <row r="1253" spans="2:10" x14ac:dyDescent="0.3">
      <c r="B1253" s="10">
        <f t="shared" si="38"/>
        <v>2021</v>
      </c>
      <c r="C1253" s="10">
        <f t="shared" si="39"/>
        <v>7</v>
      </c>
      <c r="D1253" s="3">
        <v>44398</v>
      </c>
      <c r="E1253" s="1">
        <v>72.23</v>
      </c>
      <c r="F1253" s="1">
        <v>70.3</v>
      </c>
      <c r="G1253" s="1">
        <v>2.0870000000000002</v>
      </c>
      <c r="H1253" s="1">
        <v>2.2166999999999999</v>
      </c>
      <c r="I1253" s="1">
        <v>3.9590000000000001</v>
      </c>
      <c r="J1253" s="1">
        <v>5.1874000000000002</v>
      </c>
    </row>
    <row r="1254" spans="2:10" x14ac:dyDescent="0.3">
      <c r="B1254" s="10">
        <f t="shared" si="38"/>
        <v>2021</v>
      </c>
      <c r="C1254" s="10">
        <f t="shared" si="39"/>
        <v>7</v>
      </c>
      <c r="D1254" s="3">
        <v>44397</v>
      </c>
      <c r="E1254" s="1">
        <v>69.349999999999994</v>
      </c>
      <c r="F1254" s="1">
        <v>67.42</v>
      </c>
      <c r="G1254" s="1">
        <v>2.0127000000000002</v>
      </c>
      <c r="H1254" s="1">
        <v>2.1315</v>
      </c>
      <c r="I1254" s="1">
        <v>3.8759999999999999</v>
      </c>
      <c r="J1254" s="1">
        <v>5.2205000000000004</v>
      </c>
    </row>
    <row r="1255" spans="2:10" x14ac:dyDescent="0.3">
      <c r="B1255" s="10">
        <f t="shared" si="38"/>
        <v>2021</v>
      </c>
      <c r="C1255" s="10">
        <f t="shared" si="39"/>
        <v>7</v>
      </c>
      <c r="D1255" s="3">
        <v>44396</v>
      </c>
      <c r="E1255" s="1">
        <v>68.62</v>
      </c>
      <c r="F1255" s="1">
        <v>66.42</v>
      </c>
      <c r="G1255" s="1">
        <v>1.9852000000000001</v>
      </c>
      <c r="H1255" s="1">
        <v>2.1103999999999998</v>
      </c>
      <c r="I1255" s="1">
        <v>3.7789999999999999</v>
      </c>
      <c r="J1255" s="1">
        <v>5.2519</v>
      </c>
    </row>
    <row r="1256" spans="2:10" x14ac:dyDescent="0.3">
      <c r="B1256" s="10">
        <f t="shared" si="38"/>
        <v>2021</v>
      </c>
      <c r="C1256" s="10">
        <f t="shared" si="39"/>
        <v>7</v>
      </c>
      <c r="D1256" s="3">
        <v>44393</v>
      </c>
      <c r="E1256" s="1">
        <v>73.59</v>
      </c>
      <c r="F1256" s="1">
        <v>71.81</v>
      </c>
      <c r="G1256" s="1">
        <v>2.1133000000000002</v>
      </c>
      <c r="H1256" s="1">
        <v>2.2536</v>
      </c>
      <c r="I1256" s="1">
        <v>3.6739999999999999</v>
      </c>
      <c r="J1256" s="1">
        <v>5.1147</v>
      </c>
    </row>
    <row r="1257" spans="2:10" x14ac:dyDescent="0.3">
      <c r="B1257" s="10">
        <f t="shared" si="38"/>
        <v>2021</v>
      </c>
      <c r="C1257" s="10">
        <f t="shared" si="39"/>
        <v>7</v>
      </c>
      <c r="D1257" s="3">
        <v>44392</v>
      </c>
      <c r="E1257" s="1">
        <v>73.47</v>
      </c>
      <c r="F1257" s="1">
        <v>71.650000000000006</v>
      </c>
      <c r="G1257" s="1">
        <v>2.1126</v>
      </c>
      <c r="H1257" s="1">
        <v>2.2503000000000002</v>
      </c>
      <c r="I1257" s="1">
        <v>3.6139999999999999</v>
      </c>
      <c r="J1257" s="1">
        <v>5.1100000000000003</v>
      </c>
    </row>
    <row r="1258" spans="2:10" x14ac:dyDescent="0.3">
      <c r="B1258" s="10">
        <f t="shared" si="38"/>
        <v>2021</v>
      </c>
      <c r="C1258" s="10">
        <f t="shared" si="39"/>
        <v>7</v>
      </c>
      <c r="D1258" s="3">
        <v>44391</v>
      </c>
      <c r="E1258" s="1">
        <v>74.760000000000005</v>
      </c>
      <c r="F1258" s="1">
        <v>73.13</v>
      </c>
      <c r="G1258" s="1">
        <v>2.1435</v>
      </c>
      <c r="H1258" s="1">
        <v>2.2934999999999999</v>
      </c>
      <c r="I1258" s="1">
        <v>3.66</v>
      </c>
      <c r="J1258" s="1">
        <v>5.0705999999999998</v>
      </c>
    </row>
    <row r="1259" spans="2:10" x14ac:dyDescent="0.3">
      <c r="B1259" s="10">
        <f t="shared" si="38"/>
        <v>2021</v>
      </c>
      <c r="C1259" s="10">
        <f t="shared" si="39"/>
        <v>7</v>
      </c>
      <c r="D1259" s="3">
        <v>44390</v>
      </c>
      <c r="E1259" s="1">
        <v>76.489999999999995</v>
      </c>
      <c r="F1259" s="1">
        <v>75.25</v>
      </c>
      <c r="G1259" s="1">
        <v>2.1844000000000001</v>
      </c>
      <c r="H1259" s="1">
        <v>2.3182999999999998</v>
      </c>
      <c r="I1259" s="1">
        <v>3.6960000000000002</v>
      </c>
      <c r="J1259" s="1">
        <v>5.1622000000000003</v>
      </c>
    </row>
    <row r="1260" spans="2:10" x14ac:dyDescent="0.3">
      <c r="B1260" s="10">
        <f t="shared" si="38"/>
        <v>2021</v>
      </c>
      <c r="C1260" s="10">
        <f t="shared" si="39"/>
        <v>7</v>
      </c>
      <c r="D1260" s="3">
        <v>44389</v>
      </c>
      <c r="E1260" s="1">
        <v>75.16</v>
      </c>
      <c r="F1260" s="1">
        <v>74.099999999999994</v>
      </c>
      <c r="G1260" s="1">
        <v>2.1497999999999999</v>
      </c>
      <c r="H1260" s="1">
        <v>2.2772000000000001</v>
      </c>
      <c r="I1260" s="1">
        <v>3.7490000000000001</v>
      </c>
      <c r="J1260" s="1">
        <v>5.173</v>
      </c>
    </row>
    <row r="1261" spans="2:10" x14ac:dyDescent="0.3">
      <c r="B1261" s="10">
        <f t="shared" si="38"/>
        <v>2021</v>
      </c>
      <c r="C1261" s="10">
        <f t="shared" si="39"/>
        <v>7</v>
      </c>
      <c r="D1261" s="3">
        <v>44386</v>
      </c>
      <c r="E1261" s="1">
        <v>75.55</v>
      </c>
      <c r="F1261" s="1">
        <v>74.56</v>
      </c>
      <c r="G1261" s="1">
        <v>2.1551999999999998</v>
      </c>
      <c r="H1261" s="1">
        <v>2.2919999999999998</v>
      </c>
      <c r="I1261" s="1">
        <v>3.6739999999999999</v>
      </c>
      <c r="J1261" s="1">
        <v>5.2579000000000002</v>
      </c>
    </row>
    <row r="1262" spans="2:10" x14ac:dyDescent="0.3">
      <c r="B1262" s="10">
        <f t="shared" si="38"/>
        <v>2021</v>
      </c>
      <c r="C1262" s="10">
        <f t="shared" si="39"/>
        <v>7</v>
      </c>
      <c r="D1262" s="3">
        <v>44385</v>
      </c>
      <c r="E1262" s="1">
        <v>74.12</v>
      </c>
      <c r="F1262" s="1">
        <v>72.94</v>
      </c>
      <c r="G1262" s="1">
        <v>2.1204000000000001</v>
      </c>
      <c r="H1262" s="1">
        <v>2.2551999999999999</v>
      </c>
      <c r="I1262" s="1">
        <v>3.6880000000000002</v>
      </c>
      <c r="J1262" s="1">
        <v>5.2579000000000002</v>
      </c>
    </row>
    <row r="1263" spans="2:10" x14ac:dyDescent="0.3">
      <c r="B1263" s="10">
        <f t="shared" si="38"/>
        <v>2021</v>
      </c>
      <c r="C1263" s="10">
        <f t="shared" si="39"/>
        <v>7</v>
      </c>
      <c r="D1263" s="3">
        <v>44384</v>
      </c>
      <c r="E1263" s="1">
        <v>73.430000000000007</v>
      </c>
      <c r="F1263" s="1">
        <v>72.2</v>
      </c>
      <c r="G1263" s="1">
        <v>2.0891000000000002</v>
      </c>
      <c r="H1263" s="1">
        <v>2.206</v>
      </c>
      <c r="I1263" s="1">
        <v>3.5960000000000001</v>
      </c>
      <c r="J1263" s="1">
        <v>5.2314999999999996</v>
      </c>
    </row>
    <row r="1264" spans="2:10" x14ac:dyDescent="0.3">
      <c r="B1264" s="10">
        <f t="shared" si="38"/>
        <v>2021</v>
      </c>
      <c r="C1264" s="10">
        <f t="shared" si="39"/>
        <v>7</v>
      </c>
      <c r="D1264" s="3">
        <v>44383</v>
      </c>
      <c r="E1264" s="1">
        <v>74.53</v>
      </c>
      <c r="F1264" s="1">
        <v>73.37</v>
      </c>
      <c r="G1264" s="1">
        <v>2.1049000000000002</v>
      </c>
      <c r="H1264" s="1">
        <v>2.2282000000000002</v>
      </c>
      <c r="I1264" s="1">
        <v>3.637</v>
      </c>
      <c r="J1264" s="1">
        <v>5.1969000000000003</v>
      </c>
    </row>
    <row r="1265" spans="2:10" x14ac:dyDescent="0.3">
      <c r="B1265" s="10">
        <f t="shared" si="38"/>
        <v>2021</v>
      </c>
      <c r="C1265" s="10">
        <f t="shared" si="39"/>
        <v>7</v>
      </c>
      <c r="D1265" s="3">
        <v>44382</v>
      </c>
      <c r="E1265" s="1">
        <v>77.16</v>
      </c>
      <c r="J1265" s="1">
        <v>5.0910000000000002</v>
      </c>
    </row>
    <row r="1266" spans="2:10" x14ac:dyDescent="0.3">
      <c r="B1266" s="10">
        <f t="shared" si="38"/>
        <v>2021</v>
      </c>
      <c r="C1266" s="10">
        <f t="shared" si="39"/>
        <v>7</v>
      </c>
      <c r="D1266" s="3">
        <v>44379</v>
      </c>
      <c r="E1266" s="1">
        <v>76.17</v>
      </c>
      <c r="F1266" s="1">
        <v>75.16</v>
      </c>
      <c r="G1266" s="1">
        <v>2.1791</v>
      </c>
      <c r="H1266" s="1">
        <v>2.2997999999999998</v>
      </c>
      <c r="I1266" s="1">
        <v>3.7</v>
      </c>
      <c r="J1266" s="1">
        <v>5.0575000000000001</v>
      </c>
    </row>
    <row r="1267" spans="2:10" x14ac:dyDescent="0.3">
      <c r="B1267" s="10">
        <f t="shared" si="38"/>
        <v>2021</v>
      </c>
      <c r="C1267" s="10">
        <f t="shared" si="39"/>
        <v>7</v>
      </c>
      <c r="D1267" s="3">
        <v>44378</v>
      </c>
      <c r="E1267" s="1">
        <v>75.84</v>
      </c>
      <c r="F1267" s="1">
        <v>75.23</v>
      </c>
      <c r="G1267" s="1">
        <v>2.1562000000000001</v>
      </c>
      <c r="H1267" s="1">
        <v>2.2675999999999998</v>
      </c>
      <c r="I1267" s="1">
        <v>3.661</v>
      </c>
      <c r="J1267" s="1">
        <v>5.0476000000000001</v>
      </c>
    </row>
    <row r="1268" spans="2:10" x14ac:dyDescent="0.3">
      <c r="B1268" s="10">
        <f t="shared" si="38"/>
        <v>2021</v>
      </c>
      <c r="C1268" s="10">
        <f t="shared" si="39"/>
        <v>6</v>
      </c>
      <c r="D1268" s="3">
        <v>44377</v>
      </c>
      <c r="E1268" s="1">
        <v>75.13</v>
      </c>
      <c r="F1268" s="1">
        <v>73.47</v>
      </c>
      <c r="G1268" s="1">
        <v>2.1286999999999998</v>
      </c>
      <c r="H1268" s="1">
        <v>2.2444000000000002</v>
      </c>
      <c r="I1268" s="1">
        <v>3.65</v>
      </c>
      <c r="J1268" s="1">
        <v>4.9686000000000003</v>
      </c>
    </row>
    <row r="1269" spans="2:10" x14ac:dyDescent="0.3">
      <c r="B1269" s="10">
        <f t="shared" si="38"/>
        <v>2021</v>
      </c>
      <c r="C1269" s="10">
        <f t="shared" si="39"/>
        <v>6</v>
      </c>
      <c r="D1269" s="3">
        <v>44376</v>
      </c>
      <c r="E1269" s="1">
        <v>74.760000000000005</v>
      </c>
      <c r="F1269" s="1">
        <v>72.98</v>
      </c>
      <c r="G1269" s="1">
        <v>2.1219000000000001</v>
      </c>
      <c r="H1269" s="1">
        <v>2.2389999999999999</v>
      </c>
      <c r="I1269" s="1">
        <v>3.63</v>
      </c>
      <c r="J1269" s="1">
        <v>4.9558999999999997</v>
      </c>
    </row>
    <row r="1270" spans="2:10" x14ac:dyDescent="0.3">
      <c r="B1270" s="10">
        <f t="shared" si="38"/>
        <v>2021</v>
      </c>
      <c r="C1270" s="10">
        <f t="shared" si="39"/>
        <v>6</v>
      </c>
      <c r="D1270" s="3">
        <v>44375</v>
      </c>
      <c r="E1270" s="1">
        <v>74.680000000000007</v>
      </c>
      <c r="F1270" s="1">
        <v>72.91</v>
      </c>
      <c r="G1270" s="1">
        <v>2.1181999999999999</v>
      </c>
      <c r="H1270" s="1">
        <v>2.2166000000000001</v>
      </c>
      <c r="I1270" s="1">
        <v>3.617</v>
      </c>
      <c r="J1270" s="1">
        <v>4.9244000000000003</v>
      </c>
    </row>
    <row r="1271" spans="2:10" x14ac:dyDescent="0.3">
      <c r="B1271" s="10">
        <f t="shared" si="38"/>
        <v>2021</v>
      </c>
      <c r="C1271" s="10">
        <f t="shared" si="39"/>
        <v>6</v>
      </c>
      <c r="D1271" s="3">
        <v>44372</v>
      </c>
      <c r="E1271" s="1">
        <v>76.180000000000007</v>
      </c>
      <c r="F1271" s="1">
        <v>74.05</v>
      </c>
      <c r="G1271" s="1">
        <v>2.1493000000000002</v>
      </c>
      <c r="H1271" s="1">
        <v>2.2639</v>
      </c>
      <c r="I1271" s="1">
        <v>3.496</v>
      </c>
      <c r="J1271" s="1">
        <v>4.9335000000000004</v>
      </c>
    </row>
    <row r="1272" spans="2:10" x14ac:dyDescent="0.3">
      <c r="B1272" s="10">
        <f t="shared" si="38"/>
        <v>2021</v>
      </c>
      <c r="C1272" s="10">
        <f t="shared" si="39"/>
        <v>6</v>
      </c>
      <c r="D1272" s="3">
        <v>44371</v>
      </c>
      <c r="E1272" s="1">
        <v>75.56</v>
      </c>
      <c r="F1272" s="1">
        <v>73.3</v>
      </c>
      <c r="G1272" s="1">
        <v>2.1623000000000001</v>
      </c>
      <c r="H1272" s="1">
        <v>2.2808999999999999</v>
      </c>
      <c r="I1272" s="1">
        <v>3.4180000000000001</v>
      </c>
      <c r="J1272" s="1">
        <v>4.9137000000000004</v>
      </c>
    </row>
    <row r="1273" spans="2:10" x14ac:dyDescent="0.3">
      <c r="B1273" s="10">
        <f t="shared" si="38"/>
        <v>2021</v>
      </c>
      <c r="C1273" s="10">
        <f t="shared" si="39"/>
        <v>6</v>
      </c>
      <c r="D1273" s="3">
        <v>44370</v>
      </c>
      <c r="E1273" s="1">
        <v>75.19</v>
      </c>
      <c r="F1273" s="1">
        <v>73.08</v>
      </c>
      <c r="G1273" s="1">
        <v>2.1594000000000002</v>
      </c>
      <c r="H1273" s="1">
        <v>2.2669000000000001</v>
      </c>
      <c r="I1273" s="1">
        <v>3.3330000000000002</v>
      </c>
      <c r="J1273" s="1">
        <v>4.9667000000000003</v>
      </c>
    </row>
    <row r="1274" spans="2:10" x14ac:dyDescent="0.3">
      <c r="B1274" s="10">
        <f t="shared" si="38"/>
        <v>2021</v>
      </c>
      <c r="C1274" s="10">
        <f t="shared" si="39"/>
        <v>6</v>
      </c>
      <c r="D1274" s="3">
        <v>44369</v>
      </c>
      <c r="E1274" s="1">
        <v>74.81</v>
      </c>
      <c r="F1274" s="1">
        <v>73.06</v>
      </c>
      <c r="G1274" s="1">
        <v>2.1509999999999998</v>
      </c>
      <c r="H1274" s="1">
        <v>2.2242999999999999</v>
      </c>
      <c r="I1274" s="1">
        <v>3.258</v>
      </c>
      <c r="J1274" s="1">
        <v>4.9573999999999998</v>
      </c>
    </row>
    <row r="1275" spans="2:10" x14ac:dyDescent="0.3">
      <c r="B1275" s="10">
        <f t="shared" si="38"/>
        <v>2021</v>
      </c>
      <c r="C1275" s="10">
        <f t="shared" si="39"/>
        <v>6</v>
      </c>
      <c r="D1275" s="3">
        <v>44368</v>
      </c>
      <c r="E1275" s="1">
        <v>74.900000000000006</v>
      </c>
      <c r="F1275" s="1">
        <v>73.66</v>
      </c>
      <c r="G1275" s="1">
        <v>2.1267999999999998</v>
      </c>
      <c r="H1275" s="1">
        <v>2.1968999999999999</v>
      </c>
      <c r="I1275" s="1">
        <v>3.1909999999999998</v>
      </c>
      <c r="J1275" s="1">
        <v>5.0129999999999999</v>
      </c>
    </row>
    <row r="1276" spans="2:10" x14ac:dyDescent="0.3">
      <c r="B1276" s="10">
        <f t="shared" si="38"/>
        <v>2021</v>
      </c>
      <c r="C1276" s="10">
        <f t="shared" si="39"/>
        <v>6</v>
      </c>
      <c r="D1276" s="3">
        <v>44365</v>
      </c>
      <c r="E1276" s="1">
        <v>73.510000000000005</v>
      </c>
      <c r="F1276" s="1">
        <v>71.64</v>
      </c>
      <c r="G1276" s="1">
        <v>2.0931999999999999</v>
      </c>
      <c r="H1276" s="1">
        <v>2.1682999999999999</v>
      </c>
      <c r="I1276" s="1">
        <v>3.2149999999999999</v>
      </c>
      <c r="J1276" s="1">
        <v>5.0894000000000004</v>
      </c>
    </row>
    <row r="1277" spans="2:10" x14ac:dyDescent="0.3">
      <c r="B1277" s="10">
        <f t="shared" si="38"/>
        <v>2021</v>
      </c>
      <c r="C1277" s="10">
        <f t="shared" si="39"/>
        <v>6</v>
      </c>
      <c r="D1277" s="3">
        <v>44364</v>
      </c>
      <c r="E1277" s="1">
        <v>73.08</v>
      </c>
      <c r="F1277" s="1">
        <v>71.040000000000006</v>
      </c>
      <c r="G1277" s="1">
        <v>2.0668000000000002</v>
      </c>
      <c r="H1277" s="1">
        <v>2.1341999999999999</v>
      </c>
      <c r="I1277" s="1">
        <v>3.2530000000000001</v>
      </c>
      <c r="J1277" s="1">
        <v>5.0058999999999996</v>
      </c>
    </row>
    <row r="1278" spans="2:10" x14ac:dyDescent="0.3">
      <c r="B1278" s="10">
        <f t="shared" si="38"/>
        <v>2021</v>
      </c>
      <c r="C1278" s="10">
        <f t="shared" si="39"/>
        <v>6</v>
      </c>
      <c r="D1278" s="3">
        <v>44363</v>
      </c>
      <c r="E1278" s="1">
        <v>74.39</v>
      </c>
      <c r="F1278" s="1">
        <v>72.150000000000006</v>
      </c>
      <c r="G1278" s="1">
        <v>2.1034000000000002</v>
      </c>
      <c r="H1278" s="1">
        <v>2.1562000000000001</v>
      </c>
      <c r="I1278" s="1">
        <v>3.2509999999999999</v>
      </c>
      <c r="J1278" s="1">
        <v>5.0545</v>
      </c>
    </row>
    <row r="1279" spans="2:10" x14ac:dyDescent="0.3">
      <c r="B1279" s="10">
        <f t="shared" si="38"/>
        <v>2021</v>
      </c>
      <c r="C1279" s="10">
        <f t="shared" si="39"/>
        <v>6</v>
      </c>
      <c r="D1279" s="3">
        <v>44362</v>
      </c>
      <c r="E1279" s="1">
        <v>73.989999999999995</v>
      </c>
      <c r="F1279" s="1">
        <v>72.12</v>
      </c>
      <c r="G1279" s="1">
        <v>2.1122999999999998</v>
      </c>
      <c r="H1279" s="1">
        <v>2.1705000000000001</v>
      </c>
      <c r="I1279" s="1">
        <v>3.24</v>
      </c>
      <c r="J1279" s="1">
        <v>5.0437000000000003</v>
      </c>
    </row>
    <row r="1280" spans="2:10" x14ac:dyDescent="0.3">
      <c r="B1280" s="10">
        <f t="shared" si="38"/>
        <v>2021</v>
      </c>
      <c r="C1280" s="10">
        <f t="shared" si="39"/>
        <v>6</v>
      </c>
      <c r="D1280" s="3">
        <v>44361</v>
      </c>
      <c r="E1280" s="1">
        <v>72.86</v>
      </c>
      <c r="F1280" s="1">
        <v>70.88</v>
      </c>
      <c r="G1280" s="1">
        <v>2.1116000000000001</v>
      </c>
      <c r="H1280" s="1">
        <v>2.1711999999999998</v>
      </c>
      <c r="I1280" s="1">
        <v>3.3519999999999999</v>
      </c>
      <c r="J1280" s="1">
        <v>5.0601000000000003</v>
      </c>
    </row>
    <row r="1281" spans="2:10" x14ac:dyDescent="0.3">
      <c r="B1281" s="10">
        <f t="shared" si="38"/>
        <v>2021</v>
      </c>
      <c r="C1281" s="10">
        <f t="shared" si="39"/>
        <v>6</v>
      </c>
      <c r="D1281" s="3">
        <v>44358</v>
      </c>
      <c r="E1281" s="1">
        <v>72.69</v>
      </c>
      <c r="F1281" s="1">
        <v>70.91</v>
      </c>
      <c r="G1281" s="1">
        <v>2.1206999999999998</v>
      </c>
      <c r="H1281" s="1">
        <v>2.1861000000000002</v>
      </c>
      <c r="I1281" s="1">
        <v>3.2959999999999998</v>
      </c>
      <c r="J1281" s="1">
        <v>5.1170999999999998</v>
      </c>
    </row>
    <row r="1282" spans="2:10" x14ac:dyDescent="0.3">
      <c r="B1282" s="10">
        <f t="shared" si="38"/>
        <v>2021</v>
      </c>
      <c r="C1282" s="10">
        <f t="shared" si="39"/>
        <v>6</v>
      </c>
      <c r="D1282" s="3">
        <v>44357</v>
      </c>
      <c r="E1282" s="1">
        <v>72.52</v>
      </c>
      <c r="F1282" s="1">
        <v>70.290000000000006</v>
      </c>
      <c r="G1282" s="1">
        <v>2.1434000000000002</v>
      </c>
      <c r="H1282" s="1">
        <v>2.2122000000000002</v>
      </c>
      <c r="I1282" s="1">
        <v>3.149</v>
      </c>
      <c r="J1282" s="1">
        <v>5.0552000000000001</v>
      </c>
    </row>
    <row r="1283" spans="2:10" x14ac:dyDescent="0.3">
      <c r="B1283" s="10">
        <f t="shared" si="38"/>
        <v>2021</v>
      </c>
      <c r="C1283" s="10">
        <f t="shared" si="39"/>
        <v>6</v>
      </c>
      <c r="D1283" s="3">
        <v>44356</v>
      </c>
      <c r="E1283" s="1">
        <v>72.22</v>
      </c>
      <c r="F1283" s="1">
        <v>69.959999999999994</v>
      </c>
      <c r="G1283" s="1">
        <v>2.1295000000000002</v>
      </c>
      <c r="H1283" s="1">
        <v>2.2025000000000001</v>
      </c>
      <c r="I1283" s="1">
        <v>3.129</v>
      </c>
      <c r="J1283" s="1">
        <v>5.0621</v>
      </c>
    </row>
    <row r="1284" spans="2:10" x14ac:dyDescent="0.3">
      <c r="B1284" s="10">
        <f t="shared" si="38"/>
        <v>2021</v>
      </c>
      <c r="C1284" s="10">
        <f t="shared" si="39"/>
        <v>6</v>
      </c>
      <c r="D1284" s="3">
        <v>44355</v>
      </c>
      <c r="E1284" s="1">
        <v>72.22</v>
      </c>
      <c r="F1284" s="1">
        <v>70.05</v>
      </c>
      <c r="G1284" s="1">
        <v>2.1349999999999998</v>
      </c>
      <c r="H1284" s="1">
        <v>2.2189999999999999</v>
      </c>
      <c r="I1284" s="1">
        <v>3.1280000000000001</v>
      </c>
      <c r="J1284" s="1">
        <v>5.0324999999999998</v>
      </c>
    </row>
    <row r="1285" spans="2:10" x14ac:dyDescent="0.3">
      <c r="B1285" s="10">
        <f t="shared" si="38"/>
        <v>2021</v>
      </c>
      <c r="C1285" s="10">
        <f t="shared" si="39"/>
        <v>6</v>
      </c>
      <c r="D1285" s="3">
        <v>44354</v>
      </c>
      <c r="E1285" s="1">
        <v>71.489999999999995</v>
      </c>
      <c r="F1285" s="1">
        <v>69.23</v>
      </c>
      <c r="G1285" s="1">
        <v>2.1156000000000001</v>
      </c>
      <c r="H1285" s="1">
        <v>2.1930999999999998</v>
      </c>
      <c r="I1285" s="1">
        <v>3.07</v>
      </c>
      <c r="J1285" s="1">
        <v>5.0450999999999997</v>
      </c>
    </row>
    <row r="1286" spans="2:10" x14ac:dyDescent="0.3">
      <c r="B1286" s="10">
        <f t="shared" ref="B1286:B1349" si="40">YEAR(D1286)</f>
        <v>2021</v>
      </c>
      <c r="C1286" s="10">
        <f t="shared" ref="C1286:C1349" si="41">MONTH(D1286)</f>
        <v>6</v>
      </c>
      <c r="D1286" s="3">
        <v>44351</v>
      </c>
      <c r="E1286" s="1">
        <v>71.89</v>
      </c>
      <c r="F1286" s="1">
        <v>69.62</v>
      </c>
      <c r="G1286" s="1">
        <v>2.1198999999999999</v>
      </c>
      <c r="H1286" s="1">
        <v>2.2115</v>
      </c>
      <c r="I1286" s="1">
        <v>3.097</v>
      </c>
      <c r="J1286" s="1">
        <v>5.0495000000000001</v>
      </c>
    </row>
    <row r="1287" spans="2:10" x14ac:dyDescent="0.3">
      <c r="B1287" s="10">
        <f t="shared" si="40"/>
        <v>2021</v>
      </c>
      <c r="C1287" s="10">
        <f t="shared" si="41"/>
        <v>6</v>
      </c>
      <c r="D1287" s="3">
        <v>44350</v>
      </c>
      <c r="E1287" s="1">
        <v>71.31</v>
      </c>
      <c r="F1287" s="1">
        <v>68.81</v>
      </c>
      <c r="G1287" s="1">
        <v>2.1017000000000001</v>
      </c>
      <c r="H1287" s="1">
        <v>2.2018</v>
      </c>
      <c r="I1287" s="1">
        <v>3.0409999999999999</v>
      </c>
      <c r="J1287" s="1">
        <v>5.0774999999999997</v>
      </c>
    </row>
    <row r="1288" spans="2:10" x14ac:dyDescent="0.3">
      <c r="B1288" s="10">
        <f t="shared" si="40"/>
        <v>2021</v>
      </c>
      <c r="C1288" s="10">
        <f t="shared" si="41"/>
        <v>6</v>
      </c>
      <c r="D1288" s="3">
        <v>44349</v>
      </c>
      <c r="E1288" s="1">
        <v>71.349999999999994</v>
      </c>
      <c r="F1288" s="1">
        <v>68.83</v>
      </c>
      <c r="G1288" s="1">
        <v>2.1071</v>
      </c>
      <c r="H1288" s="1">
        <v>2.1941000000000002</v>
      </c>
      <c r="I1288" s="1">
        <v>3.0750000000000002</v>
      </c>
      <c r="J1288" s="1">
        <v>5.0754000000000001</v>
      </c>
    </row>
    <row r="1289" spans="2:10" x14ac:dyDescent="0.3">
      <c r="B1289" s="10">
        <f t="shared" si="40"/>
        <v>2021</v>
      </c>
      <c r="C1289" s="10">
        <f t="shared" si="41"/>
        <v>6</v>
      </c>
      <c r="D1289" s="3">
        <v>44348</v>
      </c>
      <c r="E1289" s="1">
        <v>70.25</v>
      </c>
      <c r="F1289" s="1">
        <v>67.72</v>
      </c>
      <c r="G1289" s="1">
        <v>2.0714999999999999</v>
      </c>
      <c r="H1289" s="1">
        <v>2.1703999999999999</v>
      </c>
      <c r="I1289" s="1">
        <v>3.1040000000000001</v>
      </c>
      <c r="J1289" s="1">
        <v>5.1509</v>
      </c>
    </row>
    <row r="1290" spans="2:10" x14ac:dyDescent="0.3">
      <c r="B1290" s="10">
        <f t="shared" si="40"/>
        <v>2021</v>
      </c>
      <c r="C1290" s="10">
        <f t="shared" si="41"/>
        <v>5</v>
      </c>
      <c r="D1290" s="3">
        <v>44347</v>
      </c>
      <c r="E1290" s="1">
        <v>69.319999999999993</v>
      </c>
      <c r="J1290" s="1">
        <v>5.2172000000000001</v>
      </c>
    </row>
    <row r="1291" spans="2:10" x14ac:dyDescent="0.3">
      <c r="B1291" s="10">
        <f t="shared" si="40"/>
        <v>2021</v>
      </c>
      <c r="C1291" s="10">
        <f t="shared" si="41"/>
        <v>5</v>
      </c>
      <c r="D1291" s="3">
        <v>44344</v>
      </c>
      <c r="E1291" s="1">
        <v>69.63</v>
      </c>
      <c r="F1291" s="1">
        <v>66.319999999999993</v>
      </c>
      <c r="G1291" s="1">
        <v>2.0445000000000002</v>
      </c>
      <c r="H1291" s="1">
        <v>2.1402000000000001</v>
      </c>
      <c r="I1291" s="1">
        <v>2.9860000000000002</v>
      </c>
      <c r="J1291" s="1">
        <v>5.2244000000000002</v>
      </c>
    </row>
    <row r="1292" spans="2:10" x14ac:dyDescent="0.3">
      <c r="B1292" s="10">
        <f t="shared" si="40"/>
        <v>2021</v>
      </c>
      <c r="C1292" s="10">
        <f t="shared" si="41"/>
        <v>5</v>
      </c>
      <c r="D1292" s="3">
        <v>44343</v>
      </c>
      <c r="E1292" s="1">
        <v>69.459999999999994</v>
      </c>
      <c r="F1292" s="1">
        <v>66.849999999999994</v>
      </c>
      <c r="G1292" s="1">
        <v>2.0564</v>
      </c>
      <c r="H1292" s="1">
        <v>2.1518000000000002</v>
      </c>
      <c r="I1292" s="1">
        <v>2.9580000000000002</v>
      </c>
      <c r="J1292" s="1">
        <v>5.2382999999999997</v>
      </c>
    </row>
    <row r="1293" spans="2:10" x14ac:dyDescent="0.3">
      <c r="B1293" s="10">
        <f t="shared" si="40"/>
        <v>2021</v>
      </c>
      <c r="C1293" s="10">
        <f t="shared" si="41"/>
        <v>5</v>
      </c>
      <c r="D1293" s="3">
        <v>44342</v>
      </c>
      <c r="E1293" s="1">
        <v>68.87</v>
      </c>
      <c r="F1293" s="1">
        <v>66.209999999999994</v>
      </c>
      <c r="G1293" s="1">
        <v>2.0451999999999999</v>
      </c>
      <c r="H1293" s="1">
        <v>2.1501000000000001</v>
      </c>
      <c r="I1293" s="1">
        <v>2.984</v>
      </c>
      <c r="J1293" s="1">
        <v>5.3114999999999997</v>
      </c>
    </row>
    <row r="1294" spans="2:10" x14ac:dyDescent="0.3">
      <c r="B1294" s="10">
        <f t="shared" si="40"/>
        <v>2021</v>
      </c>
      <c r="C1294" s="10">
        <f t="shared" si="41"/>
        <v>5</v>
      </c>
      <c r="D1294" s="3">
        <v>44341</v>
      </c>
      <c r="E1294" s="1">
        <v>68.650000000000006</v>
      </c>
      <c r="F1294" s="1">
        <v>66.069999999999993</v>
      </c>
      <c r="G1294" s="1">
        <v>2.0354000000000001</v>
      </c>
      <c r="H1294" s="1">
        <v>2.1173000000000002</v>
      </c>
      <c r="I1294" s="1">
        <v>2.9129999999999998</v>
      </c>
      <c r="J1294" s="1">
        <v>5.3311999999999999</v>
      </c>
    </row>
    <row r="1295" spans="2:10" x14ac:dyDescent="0.3">
      <c r="B1295" s="10">
        <f t="shared" si="40"/>
        <v>2021</v>
      </c>
      <c r="C1295" s="10">
        <f t="shared" si="41"/>
        <v>5</v>
      </c>
      <c r="D1295" s="3">
        <v>44340</v>
      </c>
      <c r="E1295" s="1">
        <v>68.459999999999994</v>
      </c>
      <c r="F1295" s="1">
        <v>66.05</v>
      </c>
      <c r="G1295" s="1">
        <v>2.0419999999999998</v>
      </c>
      <c r="H1295" s="1">
        <v>2.1177000000000001</v>
      </c>
      <c r="I1295" s="1">
        <v>2.8860000000000001</v>
      </c>
      <c r="J1295" s="1">
        <v>5.3174999999999999</v>
      </c>
    </row>
    <row r="1296" spans="2:10" x14ac:dyDescent="0.3">
      <c r="B1296" s="10">
        <f t="shared" si="40"/>
        <v>2021</v>
      </c>
      <c r="C1296" s="10">
        <f t="shared" si="41"/>
        <v>5</v>
      </c>
      <c r="D1296" s="3">
        <v>44337</v>
      </c>
      <c r="E1296" s="1">
        <v>66.44</v>
      </c>
      <c r="F1296" s="1">
        <v>63.58</v>
      </c>
      <c r="G1296" s="1">
        <v>1.9882</v>
      </c>
      <c r="H1296" s="1">
        <v>2.0684999999999998</v>
      </c>
      <c r="I1296" s="1">
        <v>2.9060000000000001</v>
      </c>
      <c r="J1296" s="1">
        <v>5.3616999999999999</v>
      </c>
    </row>
    <row r="1297" spans="2:10" x14ac:dyDescent="0.3">
      <c r="B1297" s="10">
        <f t="shared" si="40"/>
        <v>2021</v>
      </c>
      <c r="C1297" s="10">
        <f t="shared" si="41"/>
        <v>5</v>
      </c>
      <c r="D1297" s="3">
        <v>44336</v>
      </c>
      <c r="E1297" s="1">
        <v>65.11</v>
      </c>
      <c r="F1297" s="1">
        <v>62.05</v>
      </c>
      <c r="G1297" s="1">
        <v>1.9643999999999999</v>
      </c>
      <c r="H1297" s="1">
        <v>2.0472000000000001</v>
      </c>
      <c r="I1297" s="1">
        <v>2.9249999999999998</v>
      </c>
      <c r="J1297" s="1">
        <v>5.2824999999999998</v>
      </c>
    </row>
    <row r="1298" spans="2:10" x14ac:dyDescent="0.3">
      <c r="B1298" s="10">
        <f t="shared" si="40"/>
        <v>2021</v>
      </c>
      <c r="C1298" s="10">
        <f t="shared" si="41"/>
        <v>5</v>
      </c>
      <c r="D1298" s="3">
        <v>44335</v>
      </c>
      <c r="E1298" s="1">
        <v>66.66</v>
      </c>
      <c r="F1298" s="1">
        <v>63.36</v>
      </c>
      <c r="G1298" s="1">
        <v>2.0070999999999999</v>
      </c>
      <c r="H1298" s="1">
        <v>2.1019999999999999</v>
      </c>
      <c r="I1298" s="1">
        <v>2.964</v>
      </c>
      <c r="J1298" s="1">
        <v>5.3094000000000001</v>
      </c>
    </row>
    <row r="1299" spans="2:10" x14ac:dyDescent="0.3">
      <c r="B1299" s="10">
        <f t="shared" si="40"/>
        <v>2021</v>
      </c>
      <c r="C1299" s="10">
        <f t="shared" si="41"/>
        <v>5</v>
      </c>
      <c r="D1299" s="3">
        <v>44334</v>
      </c>
      <c r="E1299" s="1">
        <v>68.709999999999994</v>
      </c>
      <c r="F1299" s="1">
        <v>65.489999999999995</v>
      </c>
      <c r="G1299" s="1">
        <v>2.0564</v>
      </c>
      <c r="H1299" s="1">
        <v>2.1608999999999998</v>
      </c>
      <c r="I1299" s="1">
        <v>3.012</v>
      </c>
      <c r="J1299" s="1">
        <v>5.2605000000000004</v>
      </c>
    </row>
    <row r="1300" spans="2:10" x14ac:dyDescent="0.3">
      <c r="B1300" s="10">
        <f t="shared" si="40"/>
        <v>2021</v>
      </c>
      <c r="C1300" s="10">
        <f t="shared" si="41"/>
        <v>5</v>
      </c>
      <c r="D1300" s="3">
        <v>44333</v>
      </c>
      <c r="E1300" s="1">
        <v>69.459999999999994</v>
      </c>
      <c r="F1300" s="1">
        <v>66.27</v>
      </c>
      <c r="G1300" s="1">
        <v>2.0604</v>
      </c>
      <c r="H1300" s="1">
        <v>2.1583000000000001</v>
      </c>
      <c r="I1300" s="1">
        <v>3.109</v>
      </c>
      <c r="J1300" s="1">
        <v>5.2728999999999999</v>
      </c>
    </row>
    <row r="1301" spans="2:10" x14ac:dyDescent="0.3">
      <c r="B1301" s="10">
        <f t="shared" si="40"/>
        <v>2021</v>
      </c>
      <c r="C1301" s="10">
        <f t="shared" si="41"/>
        <v>5</v>
      </c>
      <c r="D1301" s="3">
        <v>44330</v>
      </c>
      <c r="E1301" s="1">
        <v>68.709999999999994</v>
      </c>
      <c r="F1301" s="1">
        <v>65.37</v>
      </c>
      <c r="G1301" s="1">
        <v>2.0362</v>
      </c>
      <c r="H1301" s="1">
        <v>2.1265999999999998</v>
      </c>
      <c r="I1301" s="1">
        <v>2.9609999999999999</v>
      </c>
      <c r="J1301" s="1">
        <v>5.2728000000000002</v>
      </c>
    </row>
    <row r="1302" spans="2:10" x14ac:dyDescent="0.3">
      <c r="B1302" s="10">
        <f t="shared" si="40"/>
        <v>2021</v>
      </c>
      <c r="C1302" s="10">
        <f t="shared" si="41"/>
        <v>5</v>
      </c>
      <c r="D1302" s="3">
        <v>44329</v>
      </c>
      <c r="E1302" s="1">
        <v>67.05</v>
      </c>
      <c r="F1302" s="1">
        <v>63.82</v>
      </c>
      <c r="G1302" s="1">
        <v>2.0009000000000001</v>
      </c>
      <c r="H1302" s="1">
        <v>2.0952999999999999</v>
      </c>
      <c r="I1302" s="1">
        <v>2.9729999999999999</v>
      </c>
      <c r="J1302" s="1">
        <v>5.3090000000000002</v>
      </c>
    </row>
    <row r="1303" spans="2:10" x14ac:dyDescent="0.3">
      <c r="B1303" s="10">
        <f t="shared" si="40"/>
        <v>2021</v>
      </c>
      <c r="C1303" s="10">
        <f t="shared" si="41"/>
        <v>5</v>
      </c>
      <c r="D1303" s="3">
        <v>44328</v>
      </c>
      <c r="E1303" s="1">
        <v>69.319999999999993</v>
      </c>
      <c r="F1303" s="1">
        <v>66.08</v>
      </c>
      <c r="G1303" s="1">
        <v>2.0695000000000001</v>
      </c>
      <c r="H1303" s="1">
        <v>2.161</v>
      </c>
      <c r="I1303" s="1">
        <v>2.9689999999999999</v>
      </c>
      <c r="J1303" s="1">
        <v>5.3060999999999998</v>
      </c>
    </row>
    <row r="1304" spans="2:10" x14ac:dyDescent="0.3">
      <c r="B1304" s="10">
        <f t="shared" si="40"/>
        <v>2021</v>
      </c>
      <c r="C1304" s="10">
        <f t="shared" si="41"/>
        <v>5</v>
      </c>
      <c r="D1304" s="3">
        <v>44327</v>
      </c>
      <c r="E1304" s="1">
        <v>68.55</v>
      </c>
      <c r="F1304" s="1">
        <v>65.28</v>
      </c>
      <c r="G1304" s="1">
        <v>2.0417000000000001</v>
      </c>
      <c r="H1304" s="1">
        <v>2.1398999999999999</v>
      </c>
      <c r="I1304" s="1">
        <v>2.9550000000000001</v>
      </c>
      <c r="J1304" s="1">
        <v>5.2207999999999997</v>
      </c>
    </row>
    <row r="1305" spans="2:10" x14ac:dyDescent="0.3">
      <c r="B1305" s="10">
        <f t="shared" si="40"/>
        <v>2021</v>
      </c>
      <c r="C1305" s="10">
        <f t="shared" si="41"/>
        <v>5</v>
      </c>
      <c r="D1305" s="3">
        <v>44326</v>
      </c>
      <c r="E1305" s="1">
        <v>68.319999999999993</v>
      </c>
      <c r="F1305" s="1">
        <v>64.92</v>
      </c>
      <c r="G1305" s="1">
        <v>2.0165999999999999</v>
      </c>
      <c r="H1305" s="1">
        <v>2.1334</v>
      </c>
      <c r="I1305" s="1">
        <v>2.9319999999999999</v>
      </c>
      <c r="J1305" s="1">
        <v>5.2271999999999998</v>
      </c>
    </row>
    <row r="1306" spans="2:10" x14ac:dyDescent="0.3">
      <c r="B1306" s="10">
        <f t="shared" si="40"/>
        <v>2021</v>
      </c>
      <c r="C1306" s="10">
        <f t="shared" si="41"/>
        <v>5</v>
      </c>
      <c r="D1306" s="3">
        <v>44323</v>
      </c>
      <c r="E1306" s="1">
        <v>68.28</v>
      </c>
      <c r="F1306" s="1">
        <v>64.900000000000006</v>
      </c>
      <c r="G1306" s="1">
        <v>2.0106000000000002</v>
      </c>
      <c r="H1306" s="1">
        <v>2.1269</v>
      </c>
      <c r="I1306" s="1">
        <v>2.9580000000000002</v>
      </c>
      <c r="J1306" s="1">
        <v>5.2367999999999997</v>
      </c>
    </row>
    <row r="1307" spans="2:10" x14ac:dyDescent="0.3">
      <c r="B1307" s="10">
        <f t="shared" si="40"/>
        <v>2021</v>
      </c>
      <c r="C1307" s="10">
        <f t="shared" si="41"/>
        <v>5</v>
      </c>
      <c r="D1307" s="3">
        <v>44322</v>
      </c>
      <c r="E1307" s="1">
        <v>68.09</v>
      </c>
      <c r="F1307" s="1">
        <v>64.709999999999994</v>
      </c>
      <c r="G1307" s="1">
        <v>1.9895</v>
      </c>
      <c r="H1307" s="1">
        <v>2.1137000000000001</v>
      </c>
      <c r="I1307" s="1">
        <v>2.9279999999999999</v>
      </c>
      <c r="J1307" s="1">
        <v>5.2759999999999998</v>
      </c>
    </row>
    <row r="1308" spans="2:10" x14ac:dyDescent="0.3">
      <c r="B1308" s="10">
        <f t="shared" si="40"/>
        <v>2021</v>
      </c>
      <c r="C1308" s="10">
        <f t="shared" si="41"/>
        <v>5</v>
      </c>
      <c r="D1308" s="3">
        <v>44321</v>
      </c>
      <c r="E1308" s="1">
        <v>68.959999999999994</v>
      </c>
      <c r="F1308" s="1">
        <v>65.63</v>
      </c>
      <c r="G1308" s="1">
        <v>2.0024999999999999</v>
      </c>
      <c r="H1308" s="1">
        <v>2.1513</v>
      </c>
      <c r="I1308" s="1">
        <v>2.9380000000000002</v>
      </c>
      <c r="J1308" s="1">
        <v>5.3541999999999996</v>
      </c>
    </row>
    <row r="1309" spans="2:10" x14ac:dyDescent="0.3">
      <c r="B1309" s="10">
        <f t="shared" si="40"/>
        <v>2021</v>
      </c>
      <c r="C1309" s="10">
        <f t="shared" si="41"/>
        <v>5</v>
      </c>
      <c r="D1309" s="3">
        <v>44320</v>
      </c>
      <c r="E1309" s="1">
        <v>68.88</v>
      </c>
      <c r="F1309" s="1">
        <v>65.69</v>
      </c>
      <c r="G1309" s="1">
        <v>1.9987999999999999</v>
      </c>
      <c r="H1309" s="1">
        <v>2.1511999999999998</v>
      </c>
      <c r="I1309" s="1">
        <v>2.9670000000000001</v>
      </c>
      <c r="J1309" s="1">
        <v>5.4435000000000002</v>
      </c>
    </row>
    <row r="1310" spans="2:10" x14ac:dyDescent="0.3">
      <c r="B1310" s="10">
        <f t="shared" si="40"/>
        <v>2021</v>
      </c>
      <c r="C1310" s="10">
        <f t="shared" si="41"/>
        <v>5</v>
      </c>
      <c r="D1310" s="3">
        <v>44319</v>
      </c>
      <c r="E1310" s="1">
        <v>67.56</v>
      </c>
      <c r="F1310" s="1">
        <v>64.489999999999995</v>
      </c>
      <c r="G1310" s="1">
        <v>1.9519</v>
      </c>
      <c r="H1310" s="1">
        <v>2.1015000000000001</v>
      </c>
      <c r="I1310" s="1">
        <v>2.9660000000000002</v>
      </c>
      <c r="J1310" s="1">
        <v>5.4420000000000002</v>
      </c>
    </row>
    <row r="1311" spans="2:10" x14ac:dyDescent="0.3">
      <c r="B1311" s="10">
        <f t="shared" si="40"/>
        <v>2021</v>
      </c>
      <c r="C1311" s="10">
        <f t="shared" si="41"/>
        <v>4</v>
      </c>
      <c r="D1311" s="3">
        <v>44316</v>
      </c>
      <c r="E1311" s="1">
        <v>67.25</v>
      </c>
      <c r="F1311" s="1">
        <v>63.58</v>
      </c>
      <c r="G1311" s="1">
        <v>1.9211</v>
      </c>
      <c r="H1311" s="1">
        <v>2.0697999999999999</v>
      </c>
      <c r="I1311" s="1">
        <v>2.931</v>
      </c>
      <c r="J1311" s="1">
        <v>5.4366000000000003</v>
      </c>
    </row>
    <row r="1312" spans="2:10" x14ac:dyDescent="0.3">
      <c r="B1312" s="10">
        <f t="shared" si="40"/>
        <v>2021</v>
      </c>
      <c r="C1312" s="10">
        <f t="shared" si="41"/>
        <v>4</v>
      </c>
      <c r="D1312" s="3">
        <v>44315</v>
      </c>
      <c r="E1312" s="1">
        <v>68.56</v>
      </c>
      <c r="F1312" s="1">
        <v>65.010000000000005</v>
      </c>
      <c r="G1312" s="1">
        <v>1.9614</v>
      </c>
      <c r="H1312" s="1">
        <v>2.0998999999999999</v>
      </c>
      <c r="I1312" s="1">
        <v>2.911</v>
      </c>
      <c r="J1312" s="1">
        <v>5.3375000000000004</v>
      </c>
    </row>
    <row r="1313" spans="2:10" x14ac:dyDescent="0.3">
      <c r="B1313" s="10">
        <f t="shared" si="40"/>
        <v>2021</v>
      </c>
      <c r="C1313" s="10">
        <f t="shared" si="41"/>
        <v>4</v>
      </c>
      <c r="D1313" s="3">
        <v>44314</v>
      </c>
      <c r="E1313" s="1">
        <v>67.27</v>
      </c>
      <c r="F1313" s="1">
        <v>63.86</v>
      </c>
      <c r="G1313" s="1">
        <v>1.9386000000000001</v>
      </c>
      <c r="H1313" s="1">
        <v>2.0722</v>
      </c>
      <c r="I1313" s="1">
        <v>2.9249999999999998</v>
      </c>
      <c r="J1313" s="1">
        <v>5.343</v>
      </c>
    </row>
    <row r="1314" spans="2:10" x14ac:dyDescent="0.3">
      <c r="B1314" s="10">
        <f t="shared" si="40"/>
        <v>2021</v>
      </c>
      <c r="C1314" s="10">
        <f t="shared" si="41"/>
        <v>4</v>
      </c>
      <c r="D1314" s="3">
        <v>44313</v>
      </c>
      <c r="E1314" s="1">
        <v>66.42</v>
      </c>
      <c r="F1314" s="1">
        <v>62.94</v>
      </c>
      <c r="G1314" s="1">
        <v>1.9056999999999999</v>
      </c>
      <c r="H1314" s="1">
        <v>2.0204</v>
      </c>
      <c r="I1314" s="1">
        <v>2.8730000000000002</v>
      </c>
      <c r="J1314" s="1">
        <v>5.4489999999999998</v>
      </c>
    </row>
    <row r="1315" spans="2:10" x14ac:dyDescent="0.3">
      <c r="B1315" s="10">
        <f t="shared" si="40"/>
        <v>2021</v>
      </c>
      <c r="C1315" s="10">
        <f t="shared" si="41"/>
        <v>4</v>
      </c>
      <c r="D1315" s="3">
        <v>44312</v>
      </c>
      <c r="E1315" s="1">
        <v>65.650000000000006</v>
      </c>
      <c r="F1315" s="1">
        <v>61.91</v>
      </c>
      <c r="G1315" s="1">
        <v>1.8785000000000001</v>
      </c>
      <c r="H1315" s="1">
        <v>1.9785999999999999</v>
      </c>
      <c r="I1315" s="1">
        <v>2.79</v>
      </c>
      <c r="J1315" s="1">
        <v>5.4363999999999999</v>
      </c>
    </row>
    <row r="1316" spans="2:10" x14ac:dyDescent="0.3">
      <c r="B1316" s="10">
        <f t="shared" si="40"/>
        <v>2021</v>
      </c>
      <c r="C1316" s="10">
        <f t="shared" si="41"/>
        <v>4</v>
      </c>
      <c r="D1316" s="3">
        <v>44309</v>
      </c>
      <c r="E1316" s="1">
        <v>66.11</v>
      </c>
      <c r="F1316" s="1">
        <v>62.14</v>
      </c>
      <c r="G1316" s="1">
        <v>1.8734999999999999</v>
      </c>
      <c r="H1316" s="1">
        <v>1.9957</v>
      </c>
      <c r="I1316" s="1">
        <v>2.73</v>
      </c>
      <c r="J1316" s="1">
        <v>5.4751000000000003</v>
      </c>
    </row>
    <row r="1317" spans="2:10" x14ac:dyDescent="0.3">
      <c r="B1317" s="10">
        <f t="shared" si="40"/>
        <v>2021</v>
      </c>
      <c r="C1317" s="10">
        <f t="shared" si="41"/>
        <v>4</v>
      </c>
      <c r="D1317" s="3">
        <v>44308</v>
      </c>
      <c r="E1317" s="1">
        <v>65.400000000000006</v>
      </c>
      <c r="F1317" s="1">
        <v>61.43</v>
      </c>
      <c r="G1317" s="1">
        <v>1.8608</v>
      </c>
      <c r="H1317" s="1">
        <v>1.9746999999999999</v>
      </c>
      <c r="I1317" s="1">
        <v>2.7490000000000001</v>
      </c>
      <c r="J1317" s="1">
        <v>5.4447999999999999</v>
      </c>
    </row>
    <row r="1318" spans="2:10" x14ac:dyDescent="0.3">
      <c r="B1318" s="10">
        <f t="shared" si="40"/>
        <v>2021</v>
      </c>
      <c r="C1318" s="10">
        <f t="shared" si="41"/>
        <v>4</v>
      </c>
      <c r="D1318" s="3">
        <v>44307</v>
      </c>
      <c r="E1318" s="1">
        <v>65.319999999999993</v>
      </c>
      <c r="F1318" s="1">
        <v>61.35</v>
      </c>
      <c r="G1318" s="1">
        <v>1.8536999999999999</v>
      </c>
      <c r="H1318" s="1">
        <v>1.9834000000000001</v>
      </c>
      <c r="I1318" s="1">
        <v>2.6920000000000002</v>
      </c>
      <c r="J1318" s="1">
        <v>5.569</v>
      </c>
    </row>
    <row r="1319" spans="2:10" x14ac:dyDescent="0.3">
      <c r="B1319" s="10">
        <f t="shared" si="40"/>
        <v>2021</v>
      </c>
      <c r="C1319" s="10">
        <f t="shared" si="41"/>
        <v>4</v>
      </c>
      <c r="D1319" s="3">
        <v>44306</v>
      </c>
      <c r="E1319" s="1">
        <v>66.569999999999993</v>
      </c>
      <c r="F1319" s="1">
        <v>62.44</v>
      </c>
      <c r="G1319" s="1">
        <v>1.8801000000000001</v>
      </c>
      <c r="H1319" s="1">
        <v>2.0173999999999999</v>
      </c>
      <c r="I1319" s="1">
        <v>2.7269999999999999</v>
      </c>
      <c r="J1319" s="1">
        <v>5.5686999999999998</v>
      </c>
    </row>
    <row r="1320" spans="2:10" x14ac:dyDescent="0.3">
      <c r="B1320" s="10">
        <f t="shared" si="40"/>
        <v>2021</v>
      </c>
      <c r="C1320" s="10">
        <f t="shared" si="41"/>
        <v>4</v>
      </c>
      <c r="D1320" s="3">
        <v>44305</v>
      </c>
      <c r="E1320" s="1">
        <v>67.05</v>
      </c>
      <c r="F1320" s="1">
        <v>63.38</v>
      </c>
      <c r="G1320" s="1">
        <v>1.8925000000000001</v>
      </c>
      <c r="H1320" s="1">
        <v>2.0445000000000002</v>
      </c>
      <c r="I1320" s="1">
        <v>2.7490000000000001</v>
      </c>
      <c r="J1320" s="1">
        <v>5.5461</v>
      </c>
    </row>
    <row r="1321" spans="2:10" x14ac:dyDescent="0.3">
      <c r="B1321" s="10">
        <f t="shared" si="40"/>
        <v>2021</v>
      </c>
      <c r="C1321" s="10">
        <f t="shared" si="41"/>
        <v>4</v>
      </c>
      <c r="D1321" s="3">
        <v>44302</v>
      </c>
      <c r="E1321" s="1">
        <v>66.77</v>
      </c>
      <c r="F1321" s="1">
        <v>63.13</v>
      </c>
      <c r="G1321" s="1">
        <v>1.8956999999999999</v>
      </c>
      <c r="H1321" s="1">
        <v>2.0398999999999998</v>
      </c>
      <c r="I1321" s="1">
        <v>2.68</v>
      </c>
      <c r="J1321" s="1">
        <v>5.5883000000000003</v>
      </c>
    </row>
    <row r="1322" spans="2:10" x14ac:dyDescent="0.3">
      <c r="B1322" s="10">
        <f t="shared" si="40"/>
        <v>2021</v>
      </c>
      <c r="C1322" s="10">
        <f t="shared" si="41"/>
        <v>4</v>
      </c>
      <c r="D1322" s="3">
        <v>44301</v>
      </c>
      <c r="E1322" s="1">
        <v>66.94</v>
      </c>
      <c r="F1322" s="1">
        <v>63.46</v>
      </c>
      <c r="G1322" s="1">
        <v>1.8989</v>
      </c>
      <c r="H1322" s="1">
        <v>2.0518000000000001</v>
      </c>
      <c r="I1322" s="1">
        <v>2.6579999999999999</v>
      </c>
      <c r="J1322" s="1">
        <v>5.6162000000000001</v>
      </c>
    </row>
    <row r="1323" spans="2:10" x14ac:dyDescent="0.3">
      <c r="B1323" s="10">
        <f t="shared" si="40"/>
        <v>2021</v>
      </c>
      <c r="C1323" s="10">
        <f t="shared" si="41"/>
        <v>4</v>
      </c>
      <c r="D1323" s="3">
        <v>44300</v>
      </c>
      <c r="E1323" s="1">
        <v>66.58</v>
      </c>
      <c r="F1323" s="1">
        <v>63.15</v>
      </c>
      <c r="G1323" s="1">
        <v>1.89</v>
      </c>
      <c r="H1323" s="1">
        <v>2.0354999999999999</v>
      </c>
      <c r="I1323" s="1">
        <v>2.6179999999999999</v>
      </c>
      <c r="J1323" s="1">
        <v>5.6525999999999996</v>
      </c>
    </row>
    <row r="1324" spans="2:10" x14ac:dyDescent="0.3">
      <c r="B1324" s="10">
        <f t="shared" si="40"/>
        <v>2021</v>
      </c>
      <c r="C1324" s="10">
        <f t="shared" si="41"/>
        <v>4</v>
      </c>
      <c r="D1324" s="3">
        <v>44299</v>
      </c>
      <c r="E1324" s="1">
        <v>63.67</v>
      </c>
      <c r="F1324" s="1">
        <v>60.18</v>
      </c>
      <c r="G1324" s="1">
        <v>1.8145</v>
      </c>
      <c r="H1324" s="1">
        <v>1.9757</v>
      </c>
      <c r="I1324" s="1">
        <v>2.6190000000000002</v>
      </c>
      <c r="J1324" s="1">
        <v>5.7165999999999997</v>
      </c>
    </row>
    <row r="1325" spans="2:10" x14ac:dyDescent="0.3">
      <c r="B1325" s="10">
        <f t="shared" si="40"/>
        <v>2021</v>
      </c>
      <c r="C1325" s="10">
        <f t="shared" si="41"/>
        <v>4</v>
      </c>
      <c r="D1325" s="3">
        <v>44298</v>
      </c>
      <c r="E1325" s="1">
        <v>63.28</v>
      </c>
      <c r="F1325" s="1">
        <v>59.7</v>
      </c>
      <c r="G1325" s="1">
        <v>1.8080000000000001</v>
      </c>
      <c r="H1325" s="1">
        <v>1.97</v>
      </c>
      <c r="I1325" s="1">
        <v>2.5609999999999999</v>
      </c>
      <c r="J1325" s="1">
        <v>5.7332999999999998</v>
      </c>
    </row>
    <row r="1326" spans="2:10" x14ac:dyDescent="0.3">
      <c r="B1326" s="10">
        <f t="shared" si="40"/>
        <v>2021</v>
      </c>
      <c r="C1326" s="10">
        <f t="shared" si="41"/>
        <v>4</v>
      </c>
      <c r="D1326" s="3">
        <v>44295</v>
      </c>
      <c r="E1326" s="1">
        <v>62.95</v>
      </c>
      <c r="F1326" s="1">
        <v>59.32</v>
      </c>
      <c r="G1326" s="1">
        <v>1.8076000000000001</v>
      </c>
      <c r="H1326" s="1">
        <v>1.9621</v>
      </c>
      <c r="I1326" s="1">
        <v>2.5259999999999998</v>
      </c>
      <c r="J1326" s="1">
        <v>5.6821000000000002</v>
      </c>
    </row>
    <row r="1327" spans="2:10" x14ac:dyDescent="0.3">
      <c r="B1327" s="10">
        <f t="shared" si="40"/>
        <v>2021</v>
      </c>
      <c r="C1327" s="10">
        <f t="shared" si="41"/>
        <v>4</v>
      </c>
      <c r="D1327" s="3">
        <v>44294</v>
      </c>
      <c r="E1327" s="1">
        <v>63.2</v>
      </c>
      <c r="F1327" s="1">
        <v>59.6</v>
      </c>
      <c r="G1327" s="1">
        <v>1.8098000000000001</v>
      </c>
      <c r="H1327" s="1">
        <v>1.9593</v>
      </c>
      <c r="I1327" s="1">
        <v>2.5219999999999998</v>
      </c>
      <c r="J1327" s="1">
        <v>5.5720000000000001</v>
      </c>
    </row>
    <row r="1328" spans="2:10" x14ac:dyDescent="0.3">
      <c r="B1328" s="10">
        <f t="shared" si="40"/>
        <v>2021</v>
      </c>
      <c r="C1328" s="10">
        <f t="shared" si="41"/>
        <v>4</v>
      </c>
      <c r="D1328" s="3">
        <v>44293</v>
      </c>
      <c r="E1328" s="1">
        <v>63.16</v>
      </c>
      <c r="F1328" s="1">
        <v>59.77</v>
      </c>
      <c r="G1328" s="1">
        <v>1.8079000000000001</v>
      </c>
      <c r="H1328" s="1">
        <v>1.9518</v>
      </c>
      <c r="I1328" s="1">
        <v>2.52</v>
      </c>
      <c r="J1328" s="1">
        <v>5.6143000000000001</v>
      </c>
    </row>
    <row r="1329" spans="2:10" x14ac:dyDescent="0.3">
      <c r="B1329" s="10">
        <f t="shared" si="40"/>
        <v>2021</v>
      </c>
      <c r="C1329" s="10">
        <f t="shared" si="41"/>
        <v>4</v>
      </c>
      <c r="D1329" s="3">
        <v>44292</v>
      </c>
      <c r="E1329" s="1">
        <v>62.74</v>
      </c>
      <c r="F1329" s="1">
        <v>59.33</v>
      </c>
      <c r="G1329" s="1">
        <v>1.7941</v>
      </c>
      <c r="H1329" s="1">
        <v>1.9662999999999999</v>
      </c>
      <c r="I1329" s="1">
        <v>2.456</v>
      </c>
      <c r="J1329" s="1">
        <v>5.5903999999999998</v>
      </c>
    </row>
    <row r="1330" spans="2:10" x14ac:dyDescent="0.3">
      <c r="B1330" s="10">
        <f t="shared" si="40"/>
        <v>2021</v>
      </c>
      <c r="C1330" s="10">
        <f t="shared" si="41"/>
        <v>4</v>
      </c>
      <c r="D1330" s="3">
        <v>44291</v>
      </c>
      <c r="E1330" s="1">
        <v>62.15</v>
      </c>
      <c r="F1330" s="1">
        <v>58.65</v>
      </c>
      <c r="G1330" s="1">
        <v>1.7724</v>
      </c>
      <c r="H1330" s="1">
        <v>1.9611000000000001</v>
      </c>
      <c r="I1330" s="1">
        <v>2.5110000000000001</v>
      </c>
      <c r="J1330" s="1">
        <v>5.6631999999999998</v>
      </c>
    </row>
    <row r="1331" spans="2:10" x14ac:dyDescent="0.3">
      <c r="B1331" s="10">
        <f t="shared" si="40"/>
        <v>2021</v>
      </c>
      <c r="C1331" s="10">
        <f t="shared" si="41"/>
        <v>4</v>
      </c>
      <c r="D1331" s="3">
        <v>44288</v>
      </c>
      <c r="J1331" s="1">
        <v>5.7074999999999996</v>
      </c>
    </row>
    <row r="1332" spans="2:10" x14ac:dyDescent="0.3">
      <c r="B1332" s="10">
        <f t="shared" si="40"/>
        <v>2021</v>
      </c>
      <c r="C1332" s="10">
        <f t="shared" si="41"/>
        <v>4</v>
      </c>
      <c r="D1332" s="3">
        <v>44287</v>
      </c>
      <c r="E1332" s="1">
        <v>64.86</v>
      </c>
      <c r="F1332" s="1">
        <v>61.45</v>
      </c>
      <c r="G1332" s="1">
        <v>1.8315999999999999</v>
      </c>
      <c r="H1332" s="1">
        <v>2.0223</v>
      </c>
      <c r="I1332" s="1">
        <v>2.6389999999999998</v>
      </c>
      <c r="J1332" s="1">
        <v>5.7070999999999996</v>
      </c>
    </row>
    <row r="1333" spans="2:10" x14ac:dyDescent="0.3">
      <c r="B1333" s="10">
        <f t="shared" si="40"/>
        <v>2021</v>
      </c>
      <c r="C1333" s="10">
        <f t="shared" si="41"/>
        <v>3</v>
      </c>
      <c r="D1333" s="3">
        <v>44286</v>
      </c>
      <c r="E1333" s="1">
        <v>63.54</v>
      </c>
      <c r="F1333" s="1">
        <v>59.16</v>
      </c>
      <c r="G1333" s="1">
        <v>1.7713000000000001</v>
      </c>
      <c r="H1333" s="1">
        <v>1.9533</v>
      </c>
      <c r="I1333" s="1">
        <v>2.6080000000000001</v>
      </c>
      <c r="J1333" s="1">
        <v>5.6315</v>
      </c>
    </row>
    <row r="1334" spans="2:10" x14ac:dyDescent="0.3">
      <c r="B1334" s="10">
        <f t="shared" si="40"/>
        <v>2021</v>
      </c>
      <c r="C1334" s="10">
        <f t="shared" si="41"/>
        <v>3</v>
      </c>
      <c r="D1334" s="3">
        <v>44285</v>
      </c>
      <c r="E1334" s="1">
        <v>64.14</v>
      </c>
      <c r="F1334" s="1">
        <v>60.55</v>
      </c>
      <c r="G1334" s="1">
        <v>1.7891999999999999</v>
      </c>
      <c r="H1334" s="1">
        <v>1.9890000000000001</v>
      </c>
      <c r="I1334" s="1">
        <v>2.6230000000000002</v>
      </c>
      <c r="J1334" s="1">
        <v>5.7744999999999997</v>
      </c>
    </row>
    <row r="1335" spans="2:10" x14ac:dyDescent="0.3">
      <c r="B1335" s="10">
        <f t="shared" si="40"/>
        <v>2021</v>
      </c>
      <c r="C1335" s="10">
        <f t="shared" si="41"/>
        <v>3</v>
      </c>
      <c r="D1335" s="3">
        <v>44284</v>
      </c>
      <c r="E1335" s="1">
        <v>64.98</v>
      </c>
      <c r="F1335" s="1">
        <v>61.56</v>
      </c>
      <c r="G1335" s="1">
        <v>1.8098000000000001</v>
      </c>
      <c r="H1335" s="1">
        <v>1.9952000000000001</v>
      </c>
      <c r="I1335" s="1">
        <v>2.5859999999999999</v>
      </c>
      <c r="J1335" s="1">
        <v>5.7798999999999996</v>
      </c>
    </row>
    <row r="1336" spans="2:10" x14ac:dyDescent="0.3">
      <c r="B1336" s="10">
        <f t="shared" si="40"/>
        <v>2021</v>
      </c>
      <c r="C1336" s="10">
        <f t="shared" si="41"/>
        <v>3</v>
      </c>
      <c r="D1336" s="3">
        <v>44281</v>
      </c>
      <c r="E1336" s="1">
        <v>64.569999999999993</v>
      </c>
      <c r="F1336" s="1">
        <v>60.97</v>
      </c>
      <c r="G1336" s="1">
        <v>1.81</v>
      </c>
      <c r="H1336" s="1">
        <v>1.9673</v>
      </c>
      <c r="I1336" s="1">
        <v>2.5569999999999999</v>
      </c>
      <c r="J1336" s="1">
        <v>5.7565999999999997</v>
      </c>
    </row>
    <row r="1337" spans="2:10" x14ac:dyDescent="0.3">
      <c r="B1337" s="10">
        <f t="shared" si="40"/>
        <v>2021</v>
      </c>
      <c r="C1337" s="10">
        <f t="shared" si="41"/>
        <v>3</v>
      </c>
      <c r="D1337" s="3">
        <v>44280</v>
      </c>
      <c r="E1337" s="1">
        <v>61.95</v>
      </c>
      <c r="F1337" s="1">
        <v>58.56</v>
      </c>
      <c r="G1337" s="1">
        <v>1.7478</v>
      </c>
      <c r="H1337" s="1">
        <v>1.9209000000000001</v>
      </c>
      <c r="I1337" s="1">
        <v>2.57</v>
      </c>
      <c r="J1337" s="1">
        <v>5.6475</v>
      </c>
    </row>
    <row r="1338" spans="2:10" x14ac:dyDescent="0.3">
      <c r="B1338" s="10">
        <f t="shared" si="40"/>
        <v>2021</v>
      </c>
      <c r="C1338" s="10">
        <f t="shared" si="41"/>
        <v>3</v>
      </c>
      <c r="D1338" s="3">
        <v>44279</v>
      </c>
      <c r="E1338" s="1">
        <v>64.41</v>
      </c>
      <c r="F1338" s="1">
        <v>61.18</v>
      </c>
      <c r="G1338" s="1">
        <v>1.8255999999999999</v>
      </c>
      <c r="H1338" s="1">
        <v>1.9890000000000001</v>
      </c>
      <c r="I1338" s="1">
        <v>2.5179999999999998</v>
      </c>
      <c r="J1338" s="1">
        <v>5.6208999999999998</v>
      </c>
    </row>
    <row r="1339" spans="2:10" x14ac:dyDescent="0.3">
      <c r="B1339" s="10">
        <f t="shared" si="40"/>
        <v>2021</v>
      </c>
      <c r="C1339" s="10">
        <f t="shared" si="41"/>
        <v>3</v>
      </c>
      <c r="D1339" s="3">
        <v>44278</v>
      </c>
      <c r="E1339" s="1">
        <v>60.79</v>
      </c>
      <c r="F1339" s="1">
        <v>57.76</v>
      </c>
      <c r="G1339" s="1">
        <v>1.7488999999999999</v>
      </c>
      <c r="H1339" s="1">
        <v>1.8964000000000001</v>
      </c>
      <c r="I1339" s="1">
        <v>2.508</v>
      </c>
      <c r="J1339" s="1">
        <v>5.5213999999999999</v>
      </c>
    </row>
    <row r="1340" spans="2:10" x14ac:dyDescent="0.3">
      <c r="B1340" s="10">
        <f t="shared" si="40"/>
        <v>2021</v>
      </c>
      <c r="C1340" s="10">
        <f t="shared" si="41"/>
        <v>3</v>
      </c>
      <c r="D1340" s="3">
        <v>44277</v>
      </c>
      <c r="E1340" s="1">
        <v>64.62</v>
      </c>
      <c r="F1340" s="1">
        <v>61.55</v>
      </c>
      <c r="G1340" s="1">
        <v>1.8292999999999999</v>
      </c>
      <c r="H1340" s="1">
        <v>1.9598</v>
      </c>
      <c r="I1340" s="1">
        <v>2.5819999999999999</v>
      </c>
      <c r="J1340" s="1">
        <v>5.5045000000000002</v>
      </c>
    </row>
    <row r="1341" spans="2:10" x14ac:dyDescent="0.3">
      <c r="B1341" s="10">
        <f t="shared" si="40"/>
        <v>2021</v>
      </c>
      <c r="C1341" s="10">
        <f t="shared" si="41"/>
        <v>3</v>
      </c>
      <c r="D1341" s="3">
        <v>44274</v>
      </c>
      <c r="E1341" s="1">
        <v>64.53</v>
      </c>
      <c r="F1341" s="1">
        <v>61.42</v>
      </c>
      <c r="G1341" s="1">
        <v>1.8223</v>
      </c>
      <c r="H1341" s="1">
        <v>1.9431</v>
      </c>
      <c r="I1341" s="1">
        <v>2.5350000000000001</v>
      </c>
      <c r="J1341" s="1">
        <v>5.4916999999999998</v>
      </c>
    </row>
    <row r="1342" spans="2:10" x14ac:dyDescent="0.3">
      <c r="B1342" s="10">
        <f t="shared" si="40"/>
        <v>2021</v>
      </c>
      <c r="C1342" s="10">
        <f t="shared" si="41"/>
        <v>3</v>
      </c>
      <c r="D1342" s="3">
        <v>44273</v>
      </c>
      <c r="E1342" s="1">
        <v>63.28</v>
      </c>
      <c r="F1342" s="1">
        <v>60</v>
      </c>
      <c r="G1342" s="1">
        <v>1.7842</v>
      </c>
      <c r="H1342" s="1">
        <v>1.9440999999999999</v>
      </c>
      <c r="I1342" s="1">
        <v>2.4809999999999999</v>
      </c>
      <c r="J1342" s="1">
        <v>5.5603999999999996</v>
      </c>
    </row>
    <row r="1343" spans="2:10" x14ac:dyDescent="0.3">
      <c r="B1343" s="10">
        <f t="shared" si="40"/>
        <v>2021</v>
      </c>
      <c r="C1343" s="10">
        <f t="shared" si="41"/>
        <v>3</v>
      </c>
      <c r="D1343" s="3">
        <v>44272</v>
      </c>
      <c r="E1343" s="1">
        <v>68</v>
      </c>
      <c r="F1343" s="1">
        <v>64.599999999999994</v>
      </c>
      <c r="G1343" s="1">
        <v>1.9060999999999999</v>
      </c>
      <c r="H1343" s="1">
        <v>2.0470999999999999</v>
      </c>
      <c r="I1343" s="1">
        <v>2.528</v>
      </c>
      <c r="J1343" s="1">
        <v>5.5831999999999997</v>
      </c>
    </row>
    <row r="1344" spans="2:10" x14ac:dyDescent="0.3">
      <c r="B1344" s="10">
        <f t="shared" si="40"/>
        <v>2021</v>
      </c>
      <c r="C1344" s="10">
        <f t="shared" si="41"/>
        <v>3</v>
      </c>
      <c r="D1344" s="3">
        <v>44271</v>
      </c>
      <c r="E1344" s="1">
        <v>68.39</v>
      </c>
      <c r="F1344" s="1">
        <v>64.8</v>
      </c>
      <c r="G1344" s="1">
        <v>1.9327000000000001</v>
      </c>
      <c r="H1344" s="1">
        <v>2.1012</v>
      </c>
      <c r="I1344" s="1">
        <v>2.5619999999999998</v>
      </c>
      <c r="J1344" s="1">
        <v>5.6246</v>
      </c>
    </row>
    <row r="1345" spans="2:10" x14ac:dyDescent="0.3">
      <c r="B1345" s="10">
        <f t="shared" si="40"/>
        <v>2021</v>
      </c>
      <c r="C1345" s="10">
        <f t="shared" si="41"/>
        <v>3</v>
      </c>
      <c r="D1345" s="3">
        <v>44270</v>
      </c>
      <c r="E1345" s="1">
        <v>68.88</v>
      </c>
      <c r="F1345" s="1">
        <v>65.39</v>
      </c>
      <c r="G1345" s="1">
        <v>1.9489000000000001</v>
      </c>
      <c r="H1345" s="1">
        <v>2.1046</v>
      </c>
      <c r="I1345" s="1">
        <v>2.484</v>
      </c>
      <c r="J1345" s="1">
        <v>5.6155999999999997</v>
      </c>
    </row>
    <row r="1346" spans="2:10" x14ac:dyDescent="0.3">
      <c r="B1346" s="10">
        <f t="shared" si="40"/>
        <v>2021</v>
      </c>
      <c r="C1346" s="10">
        <f t="shared" si="41"/>
        <v>3</v>
      </c>
      <c r="D1346" s="3">
        <v>44267</v>
      </c>
      <c r="E1346" s="1">
        <v>69.22</v>
      </c>
      <c r="F1346" s="1">
        <v>65.61</v>
      </c>
      <c r="G1346" s="1">
        <v>1.9675</v>
      </c>
      <c r="H1346" s="1">
        <v>2.15</v>
      </c>
      <c r="I1346" s="1">
        <v>2.6</v>
      </c>
      <c r="J1346" s="1">
        <v>5.5518000000000001</v>
      </c>
    </row>
    <row r="1347" spans="2:10" x14ac:dyDescent="0.3">
      <c r="B1347" s="10">
        <f t="shared" si="40"/>
        <v>2021</v>
      </c>
      <c r="C1347" s="10">
        <f t="shared" si="41"/>
        <v>3</v>
      </c>
      <c r="D1347" s="3">
        <v>44266</v>
      </c>
      <c r="E1347" s="1">
        <v>69.63</v>
      </c>
      <c r="F1347" s="1">
        <v>66.02</v>
      </c>
      <c r="G1347" s="1">
        <v>1.9594</v>
      </c>
      <c r="H1347" s="1">
        <v>2.1379999999999999</v>
      </c>
      <c r="I1347" s="1">
        <v>2.6680000000000001</v>
      </c>
      <c r="J1347" s="1">
        <v>5.5357000000000003</v>
      </c>
    </row>
    <row r="1348" spans="2:10" x14ac:dyDescent="0.3">
      <c r="B1348" s="10">
        <f t="shared" si="40"/>
        <v>2021</v>
      </c>
      <c r="C1348" s="10">
        <f t="shared" si="41"/>
        <v>3</v>
      </c>
      <c r="D1348" s="3">
        <v>44265</v>
      </c>
      <c r="E1348" s="1">
        <v>67.900000000000006</v>
      </c>
      <c r="F1348" s="1">
        <v>64.44</v>
      </c>
      <c r="G1348" s="1">
        <v>1.9173</v>
      </c>
      <c r="H1348" s="1">
        <v>2.0794999999999999</v>
      </c>
      <c r="I1348" s="1">
        <v>2.6920000000000002</v>
      </c>
      <c r="J1348" s="1">
        <v>5.6719999999999997</v>
      </c>
    </row>
    <row r="1349" spans="2:10" x14ac:dyDescent="0.3">
      <c r="B1349" s="10">
        <f t="shared" si="40"/>
        <v>2021</v>
      </c>
      <c r="C1349" s="10">
        <f t="shared" si="41"/>
        <v>3</v>
      </c>
      <c r="D1349" s="3">
        <v>44264</v>
      </c>
      <c r="E1349" s="1">
        <v>67.52</v>
      </c>
      <c r="F1349" s="1">
        <v>64.010000000000005</v>
      </c>
      <c r="G1349" s="1">
        <v>1.9073</v>
      </c>
      <c r="H1349" s="1">
        <v>2.0501999999999998</v>
      </c>
      <c r="I1349" s="1">
        <v>2.6619999999999999</v>
      </c>
      <c r="J1349" s="1">
        <v>5.8025000000000002</v>
      </c>
    </row>
    <row r="1350" spans="2:10" x14ac:dyDescent="0.3">
      <c r="B1350" s="10">
        <f t="shared" ref="B1350:B1413" si="42">YEAR(D1350)</f>
        <v>2021</v>
      </c>
      <c r="C1350" s="10">
        <f t="shared" ref="C1350:C1413" si="43">MONTH(D1350)</f>
        <v>3</v>
      </c>
      <c r="D1350" s="3">
        <v>44263</v>
      </c>
      <c r="E1350" s="1">
        <v>68.239999999999995</v>
      </c>
      <c r="F1350" s="1">
        <v>65.05</v>
      </c>
      <c r="G1350" s="1">
        <v>1.9085000000000001</v>
      </c>
      <c r="H1350" s="1">
        <v>2.0487000000000002</v>
      </c>
      <c r="I1350" s="1">
        <v>2.6640000000000001</v>
      </c>
      <c r="J1350" s="1">
        <v>5.8754999999999997</v>
      </c>
    </row>
    <row r="1351" spans="2:10" x14ac:dyDescent="0.3">
      <c r="B1351" s="10">
        <f t="shared" si="42"/>
        <v>2021</v>
      </c>
      <c r="C1351" s="10">
        <f t="shared" si="43"/>
        <v>3</v>
      </c>
      <c r="D1351" s="3">
        <v>44260</v>
      </c>
      <c r="E1351" s="1">
        <v>69.36</v>
      </c>
      <c r="F1351" s="1">
        <v>66.09</v>
      </c>
      <c r="G1351" s="1">
        <v>1.944</v>
      </c>
      <c r="H1351" s="1">
        <v>2.0647000000000002</v>
      </c>
      <c r="I1351" s="1">
        <v>2.7010000000000001</v>
      </c>
      <c r="J1351" s="1">
        <v>5.6908000000000003</v>
      </c>
    </row>
    <row r="1352" spans="2:10" x14ac:dyDescent="0.3">
      <c r="B1352" s="10">
        <f t="shared" si="42"/>
        <v>2021</v>
      </c>
      <c r="C1352" s="10">
        <f t="shared" si="43"/>
        <v>3</v>
      </c>
      <c r="D1352" s="3">
        <v>44259</v>
      </c>
      <c r="E1352" s="1">
        <v>66.739999999999995</v>
      </c>
      <c r="F1352" s="1">
        <v>63.83</v>
      </c>
      <c r="G1352" s="1">
        <v>1.8959999999999999</v>
      </c>
      <c r="H1352" s="1">
        <v>1.9979</v>
      </c>
      <c r="I1352" s="1">
        <v>2.746</v>
      </c>
      <c r="J1352" s="1">
        <v>5.6692999999999998</v>
      </c>
    </row>
    <row r="1353" spans="2:10" x14ac:dyDescent="0.3">
      <c r="B1353" s="10">
        <f t="shared" si="42"/>
        <v>2021</v>
      </c>
      <c r="C1353" s="10">
        <f t="shared" si="43"/>
        <v>3</v>
      </c>
      <c r="D1353" s="3">
        <v>44258</v>
      </c>
      <c r="E1353" s="1">
        <v>64.069999999999993</v>
      </c>
      <c r="F1353" s="1">
        <v>61.28</v>
      </c>
      <c r="G1353" s="1">
        <v>1.8357000000000001</v>
      </c>
      <c r="H1353" s="1">
        <v>1.9518</v>
      </c>
      <c r="I1353" s="1">
        <v>2.8159999999999998</v>
      </c>
      <c r="J1353" s="1">
        <v>5.6193</v>
      </c>
    </row>
    <row r="1354" spans="2:10" x14ac:dyDescent="0.3">
      <c r="B1354" s="10">
        <f t="shared" si="42"/>
        <v>2021</v>
      </c>
      <c r="C1354" s="10">
        <f t="shared" si="43"/>
        <v>3</v>
      </c>
      <c r="D1354" s="3">
        <v>44257</v>
      </c>
      <c r="E1354" s="1">
        <v>62.7</v>
      </c>
      <c r="F1354" s="1">
        <v>59.75</v>
      </c>
      <c r="G1354" s="1">
        <v>1.8081</v>
      </c>
      <c r="H1354" s="1">
        <v>1.9363999999999999</v>
      </c>
      <c r="I1354" s="1">
        <v>2.839</v>
      </c>
      <c r="J1354" s="1">
        <v>5.6760999999999999</v>
      </c>
    </row>
    <row r="1355" spans="2:10" x14ac:dyDescent="0.3">
      <c r="B1355" s="10">
        <f t="shared" si="42"/>
        <v>2021</v>
      </c>
      <c r="C1355" s="10">
        <f t="shared" si="43"/>
        <v>3</v>
      </c>
      <c r="D1355" s="3">
        <v>44256</v>
      </c>
      <c r="E1355" s="1">
        <v>63.69</v>
      </c>
      <c r="F1355" s="1">
        <v>60.64</v>
      </c>
      <c r="G1355" s="1">
        <v>1.8191999999999999</v>
      </c>
      <c r="H1355" s="1">
        <v>1.9429000000000001</v>
      </c>
      <c r="I1355" s="1">
        <v>2.7770000000000001</v>
      </c>
      <c r="J1355" s="1">
        <v>5.6417999999999999</v>
      </c>
    </row>
    <row r="1356" spans="2:10" x14ac:dyDescent="0.3">
      <c r="B1356" s="10">
        <f t="shared" si="42"/>
        <v>2021</v>
      </c>
      <c r="C1356" s="10">
        <f t="shared" si="43"/>
        <v>2</v>
      </c>
      <c r="D1356" s="3">
        <v>44253</v>
      </c>
      <c r="E1356" s="1">
        <v>66.13</v>
      </c>
      <c r="F1356" s="1">
        <v>61.5</v>
      </c>
      <c r="G1356" s="1">
        <v>1.8565</v>
      </c>
      <c r="H1356" s="1">
        <v>1.877</v>
      </c>
      <c r="I1356" s="1">
        <v>2.7709999999999999</v>
      </c>
      <c r="J1356" s="1">
        <v>5.5986000000000002</v>
      </c>
    </row>
    <row r="1357" spans="2:10" x14ac:dyDescent="0.3">
      <c r="B1357" s="10">
        <f t="shared" si="42"/>
        <v>2021</v>
      </c>
      <c r="C1357" s="10">
        <f t="shared" si="43"/>
        <v>2</v>
      </c>
      <c r="D1357" s="3">
        <v>44252</v>
      </c>
      <c r="E1357" s="1">
        <v>66.88</v>
      </c>
      <c r="F1357" s="1">
        <v>63.53</v>
      </c>
      <c r="G1357" s="1">
        <v>1.9066000000000001</v>
      </c>
      <c r="H1357" s="1">
        <v>1.8923000000000001</v>
      </c>
      <c r="I1357" s="1">
        <v>2.7770000000000001</v>
      </c>
      <c r="J1357" s="1">
        <v>5.5308000000000002</v>
      </c>
    </row>
    <row r="1358" spans="2:10" x14ac:dyDescent="0.3">
      <c r="B1358" s="10">
        <f t="shared" si="42"/>
        <v>2021</v>
      </c>
      <c r="C1358" s="10">
        <f t="shared" si="43"/>
        <v>2</v>
      </c>
      <c r="D1358" s="3">
        <v>44251</v>
      </c>
      <c r="E1358" s="1">
        <v>67.040000000000006</v>
      </c>
      <c r="F1358" s="1">
        <v>63.22</v>
      </c>
      <c r="G1358" s="1">
        <v>1.9083000000000001</v>
      </c>
      <c r="H1358" s="1">
        <v>1.8956</v>
      </c>
      <c r="I1358" s="1">
        <v>2.8540000000000001</v>
      </c>
      <c r="J1358" s="1">
        <v>5.4062000000000001</v>
      </c>
    </row>
    <row r="1359" spans="2:10" x14ac:dyDescent="0.3">
      <c r="B1359" s="10">
        <f t="shared" si="42"/>
        <v>2021</v>
      </c>
      <c r="C1359" s="10">
        <f t="shared" si="43"/>
        <v>2</v>
      </c>
      <c r="D1359" s="3">
        <v>44250</v>
      </c>
      <c r="E1359" s="1">
        <v>65.37</v>
      </c>
      <c r="F1359" s="1">
        <v>61.67</v>
      </c>
      <c r="G1359" s="1">
        <v>1.8680000000000001</v>
      </c>
      <c r="H1359" s="1">
        <v>1.8586</v>
      </c>
      <c r="I1359" s="1">
        <v>2.879</v>
      </c>
      <c r="J1359" s="1">
        <v>5.4409000000000001</v>
      </c>
    </row>
    <row r="1360" spans="2:10" x14ac:dyDescent="0.3">
      <c r="B1360" s="10">
        <f t="shared" si="42"/>
        <v>2021</v>
      </c>
      <c r="C1360" s="10">
        <f t="shared" si="43"/>
        <v>2</v>
      </c>
      <c r="D1360" s="3">
        <v>44249</v>
      </c>
      <c r="E1360" s="1">
        <v>65.239999999999995</v>
      </c>
      <c r="F1360" s="1">
        <v>61.49</v>
      </c>
      <c r="G1360" s="1">
        <v>1.8586</v>
      </c>
      <c r="H1360" s="1">
        <v>1.8416999999999999</v>
      </c>
      <c r="I1360" s="1">
        <v>2.9529999999999998</v>
      </c>
      <c r="J1360" s="1">
        <v>5.4659000000000004</v>
      </c>
    </row>
    <row r="1361" spans="2:10" x14ac:dyDescent="0.3">
      <c r="B1361" s="10">
        <f t="shared" si="42"/>
        <v>2021</v>
      </c>
      <c r="C1361" s="10">
        <f t="shared" si="43"/>
        <v>2</v>
      </c>
      <c r="D1361" s="3">
        <v>44246</v>
      </c>
      <c r="E1361" s="1">
        <v>62.91</v>
      </c>
      <c r="F1361" s="1">
        <v>59.24</v>
      </c>
      <c r="G1361" s="1">
        <v>1.8229</v>
      </c>
      <c r="H1361" s="1">
        <v>1.8069</v>
      </c>
      <c r="I1361" s="1">
        <v>3.069</v>
      </c>
      <c r="J1361" s="1">
        <v>5.3822999999999999</v>
      </c>
    </row>
    <row r="1362" spans="2:10" x14ac:dyDescent="0.3">
      <c r="B1362" s="10">
        <f t="shared" si="42"/>
        <v>2021</v>
      </c>
      <c r="C1362" s="10">
        <f t="shared" si="43"/>
        <v>2</v>
      </c>
      <c r="D1362" s="3">
        <v>44245</v>
      </c>
      <c r="E1362" s="1">
        <v>63.93</v>
      </c>
      <c r="F1362" s="1">
        <v>60.52</v>
      </c>
      <c r="G1362" s="1">
        <v>1.8364</v>
      </c>
      <c r="H1362" s="1">
        <v>1.7943</v>
      </c>
      <c r="I1362" s="1">
        <v>3.0819999999999999</v>
      </c>
      <c r="J1362" s="1">
        <v>5.4269999999999996</v>
      </c>
    </row>
    <row r="1363" spans="2:10" x14ac:dyDescent="0.3">
      <c r="B1363" s="10">
        <f t="shared" si="42"/>
        <v>2021</v>
      </c>
      <c r="C1363" s="10">
        <f t="shared" si="43"/>
        <v>2</v>
      </c>
      <c r="D1363" s="3">
        <v>44244</v>
      </c>
      <c r="E1363" s="1">
        <v>64.34</v>
      </c>
      <c r="F1363" s="1">
        <v>61.14</v>
      </c>
      <c r="G1363" s="1">
        <v>1.8376999999999999</v>
      </c>
      <c r="H1363" s="1">
        <v>1.8105</v>
      </c>
      <c r="I1363" s="1">
        <v>3.2189999999999999</v>
      </c>
      <c r="J1363" s="1">
        <v>5.4104999999999999</v>
      </c>
    </row>
    <row r="1364" spans="2:10" x14ac:dyDescent="0.3">
      <c r="B1364" s="10">
        <f t="shared" si="42"/>
        <v>2021</v>
      </c>
      <c r="C1364" s="10">
        <f t="shared" si="43"/>
        <v>2</v>
      </c>
      <c r="D1364" s="3">
        <v>44243</v>
      </c>
      <c r="E1364" s="1">
        <v>63.35</v>
      </c>
      <c r="F1364" s="1">
        <v>60.05</v>
      </c>
      <c r="G1364" s="1">
        <v>1.8144</v>
      </c>
      <c r="H1364" s="1">
        <v>1.7728999999999999</v>
      </c>
      <c r="I1364" s="1">
        <v>3.129</v>
      </c>
      <c r="J1364" s="1">
        <v>5.3695000000000004</v>
      </c>
    </row>
    <row r="1365" spans="2:10" x14ac:dyDescent="0.3">
      <c r="B1365" s="10">
        <f t="shared" si="42"/>
        <v>2021</v>
      </c>
      <c r="C1365" s="10">
        <f t="shared" si="43"/>
        <v>2</v>
      </c>
      <c r="D1365" s="3">
        <v>44242</v>
      </c>
      <c r="E1365" s="1">
        <v>63.3</v>
      </c>
      <c r="J1365" s="1">
        <v>5.3697999999999997</v>
      </c>
    </row>
    <row r="1366" spans="2:10" x14ac:dyDescent="0.3">
      <c r="B1366" s="10">
        <f t="shared" si="42"/>
        <v>2021</v>
      </c>
      <c r="C1366" s="10">
        <f t="shared" si="43"/>
        <v>2</v>
      </c>
      <c r="D1366" s="3">
        <v>44239</v>
      </c>
      <c r="E1366" s="1">
        <v>62.43</v>
      </c>
      <c r="F1366" s="1">
        <v>59.47</v>
      </c>
      <c r="G1366" s="1">
        <v>1.7714000000000001</v>
      </c>
      <c r="H1366" s="1">
        <v>1.6924999999999999</v>
      </c>
      <c r="I1366" s="1">
        <v>2.9119999999999999</v>
      </c>
      <c r="J1366" s="1">
        <v>5.3697999999999997</v>
      </c>
    </row>
    <row r="1367" spans="2:10" x14ac:dyDescent="0.3">
      <c r="B1367" s="10">
        <f t="shared" si="42"/>
        <v>2021</v>
      </c>
      <c r="C1367" s="10">
        <f t="shared" si="43"/>
        <v>2</v>
      </c>
      <c r="D1367" s="3">
        <v>44238</v>
      </c>
      <c r="E1367" s="1">
        <v>61.14</v>
      </c>
      <c r="F1367" s="1">
        <v>58.24</v>
      </c>
      <c r="G1367" s="1">
        <v>1.7445999999999999</v>
      </c>
      <c r="H1367" s="1">
        <v>1.6501999999999999</v>
      </c>
      <c r="I1367" s="1">
        <v>2.8679999999999999</v>
      </c>
      <c r="J1367" s="1">
        <v>5.3665000000000003</v>
      </c>
    </row>
    <row r="1368" spans="2:10" x14ac:dyDescent="0.3">
      <c r="B1368" s="10">
        <f t="shared" si="42"/>
        <v>2021</v>
      </c>
      <c r="C1368" s="10">
        <f t="shared" si="43"/>
        <v>2</v>
      </c>
      <c r="D1368" s="3">
        <v>44237</v>
      </c>
      <c r="E1368" s="1">
        <v>61.47</v>
      </c>
      <c r="F1368" s="1">
        <v>58.68</v>
      </c>
      <c r="G1368" s="1">
        <v>1.7609999999999999</v>
      </c>
      <c r="H1368" s="1">
        <v>1.6534</v>
      </c>
      <c r="I1368" s="1">
        <v>2.911</v>
      </c>
      <c r="J1368" s="1">
        <v>5.3860000000000001</v>
      </c>
    </row>
    <row r="1369" spans="2:10" x14ac:dyDescent="0.3">
      <c r="B1369" s="10">
        <f t="shared" si="42"/>
        <v>2021</v>
      </c>
      <c r="C1369" s="10">
        <f t="shared" si="43"/>
        <v>2</v>
      </c>
      <c r="D1369" s="3">
        <v>44236</v>
      </c>
      <c r="E1369" s="1">
        <v>61.09</v>
      </c>
      <c r="F1369" s="1">
        <v>58.36</v>
      </c>
      <c r="G1369" s="1">
        <v>1.7566999999999999</v>
      </c>
      <c r="H1369" s="1">
        <v>1.6736</v>
      </c>
      <c r="I1369" s="1">
        <v>2.835</v>
      </c>
      <c r="J1369" s="1">
        <v>5.3780999999999999</v>
      </c>
    </row>
    <row r="1370" spans="2:10" x14ac:dyDescent="0.3">
      <c r="B1370" s="10">
        <f t="shared" si="42"/>
        <v>2021</v>
      </c>
      <c r="C1370" s="10">
        <f t="shared" si="43"/>
        <v>2</v>
      </c>
      <c r="D1370" s="3">
        <v>44235</v>
      </c>
      <c r="E1370" s="1">
        <v>60.56</v>
      </c>
      <c r="F1370" s="1">
        <v>57.97</v>
      </c>
      <c r="G1370" s="1">
        <v>1.7478</v>
      </c>
      <c r="H1370" s="1">
        <v>1.6748000000000001</v>
      </c>
      <c r="I1370" s="1">
        <v>2.8820000000000001</v>
      </c>
      <c r="J1370" s="1">
        <v>5.3657000000000004</v>
      </c>
    </row>
    <row r="1371" spans="2:10" x14ac:dyDescent="0.3">
      <c r="B1371" s="10">
        <f t="shared" si="42"/>
        <v>2021</v>
      </c>
      <c r="C1371" s="10">
        <f t="shared" si="43"/>
        <v>2</v>
      </c>
      <c r="D1371" s="3">
        <v>44232</v>
      </c>
      <c r="E1371" s="1">
        <v>59.34</v>
      </c>
      <c r="F1371" s="1">
        <v>56.85</v>
      </c>
      <c r="G1371" s="1">
        <v>1.7137</v>
      </c>
      <c r="H1371" s="1">
        <v>1.6493</v>
      </c>
      <c r="I1371" s="1">
        <v>2.863</v>
      </c>
      <c r="J1371" s="1">
        <v>5.3704000000000001</v>
      </c>
    </row>
    <row r="1372" spans="2:10" x14ac:dyDescent="0.3">
      <c r="B1372" s="10">
        <f t="shared" si="42"/>
        <v>2021</v>
      </c>
      <c r="C1372" s="10">
        <f t="shared" si="43"/>
        <v>2</v>
      </c>
      <c r="D1372" s="3">
        <v>44231</v>
      </c>
      <c r="E1372" s="1">
        <v>58.84</v>
      </c>
      <c r="F1372" s="1">
        <v>56.23</v>
      </c>
      <c r="G1372" s="1">
        <v>1.7004999999999999</v>
      </c>
      <c r="H1372" s="1">
        <v>1.6448</v>
      </c>
      <c r="I1372" s="1">
        <v>2.9350000000000001</v>
      </c>
      <c r="J1372" s="1">
        <v>5.4265999999999996</v>
      </c>
    </row>
    <row r="1373" spans="2:10" x14ac:dyDescent="0.3">
      <c r="B1373" s="10">
        <f t="shared" si="42"/>
        <v>2021</v>
      </c>
      <c r="C1373" s="10">
        <f t="shared" si="43"/>
        <v>2</v>
      </c>
      <c r="D1373" s="3">
        <v>44230</v>
      </c>
      <c r="E1373" s="1">
        <v>58.46</v>
      </c>
      <c r="F1373" s="1">
        <v>55.69</v>
      </c>
      <c r="G1373" s="1">
        <v>1.6904999999999999</v>
      </c>
      <c r="H1373" s="1">
        <v>1.6486000000000001</v>
      </c>
      <c r="I1373" s="1">
        <v>2.7890000000000001</v>
      </c>
      <c r="J1373" s="1">
        <v>5.3533999999999997</v>
      </c>
    </row>
    <row r="1374" spans="2:10" x14ac:dyDescent="0.3">
      <c r="B1374" s="10">
        <f t="shared" si="42"/>
        <v>2021</v>
      </c>
      <c r="C1374" s="10">
        <f t="shared" si="43"/>
        <v>2</v>
      </c>
      <c r="D1374" s="3">
        <v>44229</v>
      </c>
      <c r="E1374" s="1">
        <v>57.46</v>
      </c>
      <c r="F1374" s="1">
        <v>54.76</v>
      </c>
      <c r="G1374" s="1">
        <v>1.6746000000000001</v>
      </c>
      <c r="H1374" s="1">
        <v>1.6160000000000001</v>
      </c>
      <c r="I1374" s="1">
        <v>2.8450000000000002</v>
      </c>
      <c r="J1374" s="1">
        <v>5.3680000000000003</v>
      </c>
    </row>
    <row r="1375" spans="2:10" x14ac:dyDescent="0.3">
      <c r="B1375" s="10">
        <f t="shared" si="42"/>
        <v>2021</v>
      </c>
      <c r="C1375" s="10">
        <f t="shared" si="43"/>
        <v>2</v>
      </c>
      <c r="D1375" s="3">
        <v>44228</v>
      </c>
      <c r="E1375" s="1">
        <v>56.35</v>
      </c>
      <c r="F1375" s="1">
        <v>53.55</v>
      </c>
      <c r="G1375" s="1">
        <v>1.6469</v>
      </c>
      <c r="H1375" s="1">
        <v>1.5901000000000001</v>
      </c>
      <c r="I1375" s="1">
        <v>2.85</v>
      </c>
      <c r="J1375" s="1">
        <v>5.4321999999999999</v>
      </c>
    </row>
    <row r="1376" spans="2:10" x14ac:dyDescent="0.3">
      <c r="B1376" s="10">
        <f t="shared" si="42"/>
        <v>2021</v>
      </c>
      <c r="C1376" s="10">
        <f t="shared" si="43"/>
        <v>1</v>
      </c>
      <c r="D1376" s="3">
        <v>44225</v>
      </c>
      <c r="E1376" s="1">
        <v>55.88</v>
      </c>
      <c r="F1376" s="1">
        <v>52.2</v>
      </c>
      <c r="G1376" s="1">
        <v>1.6004</v>
      </c>
      <c r="H1376" s="1">
        <v>1.5725</v>
      </c>
      <c r="I1376" s="1">
        <v>2.5640000000000001</v>
      </c>
      <c r="J1376" s="1">
        <v>5.4625000000000004</v>
      </c>
    </row>
    <row r="1377" spans="2:10" x14ac:dyDescent="0.3">
      <c r="B1377" s="10">
        <f t="shared" si="42"/>
        <v>2021</v>
      </c>
      <c r="C1377" s="10">
        <f t="shared" si="43"/>
        <v>1</v>
      </c>
      <c r="D1377" s="3">
        <v>44224</v>
      </c>
      <c r="E1377" s="1">
        <v>55.53</v>
      </c>
      <c r="F1377" s="1">
        <v>52.34</v>
      </c>
      <c r="G1377" s="1">
        <v>1.6016999999999999</v>
      </c>
      <c r="H1377" s="1">
        <v>1.5829</v>
      </c>
      <c r="I1377" s="1">
        <v>2.6640000000000001</v>
      </c>
      <c r="J1377" s="1">
        <v>5.4409999999999998</v>
      </c>
    </row>
    <row r="1378" spans="2:10" x14ac:dyDescent="0.3">
      <c r="B1378" s="10">
        <f t="shared" si="42"/>
        <v>2021</v>
      </c>
      <c r="C1378" s="10">
        <f t="shared" si="43"/>
        <v>1</v>
      </c>
      <c r="D1378" s="3">
        <v>44223</v>
      </c>
      <c r="E1378" s="1">
        <v>55.81</v>
      </c>
      <c r="F1378" s="1">
        <v>52.85</v>
      </c>
      <c r="G1378" s="1">
        <v>1.6089</v>
      </c>
      <c r="H1378" s="1">
        <v>1.5770999999999999</v>
      </c>
      <c r="I1378" s="1">
        <v>2.76</v>
      </c>
      <c r="J1378" s="1">
        <v>5.4138000000000002</v>
      </c>
    </row>
    <row r="1379" spans="2:10" x14ac:dyDescent="0.3">
      <c r="B1379" s="10">
        <f t="shared" si="42"/>
        <v>2021</v>
      </c>
      <c r="C1379" s="10">
        <f t="shared" si="43"/>
        <v>1</v>
      </c>
      <c r="D1379" s="3">
        <v>44222</v>
      </c>
      <c r="E1379" s="1">
        <v>55.91</v>
      </c>
      <c r="F1379" s="1">
        <v>52.61</v>
      </c>
      <c r="G1379" s="1">
        <v>1.5984</v>
      </c>
      <c r="H1379" s="1">
        <v>1.5807</v>
      </c>
      <c r="I1379" s="1">
        <v>2.6560000000000001</v>
      </c>
      <c r="J1379" s="1">
        <v>5.3552</v>
      </c>
    </row>
    <row r="1380" spans="2:10" x14ac:dyDescent="0.3">
      <c r="B1380" s="10">
        <f t="shared" si="42"/>
        <v>2021</v>
      </c>
      <c r="C1380" s="10">
        <f t="shared" si="43"/>
        <v>1</v>
      </c>
      <c r="D1380" s="3">
        <v>44221</v>
      </c>
      <c r="E1380" s="1">
        <v>55.88</v>
      </c>
      <c r="F1380" s="1">
        <v>52.77</v>
      </c>
      <c r="G1380" s="1">
        <v>1.5939000000000001</v>
      </c>
      <c r="H1380" s="1">
        <v>1.5610999999999999</v>
      </c>
      <c r="I1380" s="1">
        <v>2.6019999999999999</v>
      </c>
      <c r="J1380" s="1">
        <v>5.4664999999999999</v>
      </c>
    </row>
    <row r="1381" spans="2:10" x14ac:dyDescent="0.3">
      <c r="B1381" s="10">
        <f t="shared" si="42"/>
        <v>2021</v>
      </c>
      <c r="C1381" s="10">
        <f t="shared" si="43"/>
        <v>1</v>
      </c>
      <c r="D1381" s="3">
        <v>44218</v>
      </c>
      <c r="E1381" s="1">
        <v>55.41</v>
      </c>
      <c r="F1381" s="1">
        <v>52.27</v>
      </c>
      <c r="G1381" s="1">
        <v>1.5760000000000001</v>
      </c>
      <c r="H1381" s="1">
        <v>1.5487</v>
      </c>
      <c r="I1381" s="1">
        <v>2.4460000000000002</v>
      </c>
      <c r="J1381" s="1">
        <v>5.4665999999999997</v>
      </c>
    </row>
    <row r="1382" spans="2:10" x14ac:dyDescent="0.3">
      <c r="B1382" s="10">
        <f t="shared" si="42"/>
        <v>2021</v>
      </c>
      <c r="C1382" s="10">
        <f t="shared" si="43"/>
        <v>1</v>
      </c>
      <c r="D1382" s="3">
        <v>44217</v>
      </c>
      <c r="E1382" s="1">
        <v>56.1</v>
      </c>
      <c r="F1382" s="1">
        <v>53.13</v>
      </c>
      <c r="G1382" s="1">
        <v>1.6006</v>
      </c>
      <c r="H1382" s="1">
        <v>1.5479000000000001</v>
      </c>
      <c r="I1382" s="1">
        <v>2.4910000000000001</v>
      </c>
      <c r="J1382" s="1">
        <v>5.3506</v>
      </c>
    </row>
    <row r="1383" spans="2:10" x14ac:dyDescent="0.3">
      <c r="B1383" s="10">
        <f t="shared" si="42"/>
        <v>2021</v>
      </c>
      <c r="C1383" s="10">
        <f t="shared" si="43"/>
        <v>1</v>
      </c>
      <c r="D1383" s="3">
        <v>44216</v>
      </c>
      <c r="E1383" s="1">
        <v>56.08</v>
      </c>
      <c r="F1383" s="1">
        <v>53.24</v>
      </c>
      <c r="G1383" s="1">
        <v>1.6004</v>
      </c>
      <c r="H1383" s="1">
        <v>1.5439000000000001</v>
      </c>
      <c r="I1383" s="1">
        <v>2.5390000000000001</v>
      </c>
      <c r="J1383" s="1">
        <v>5.2916999999999996</v>
      </c>
    </row>
    <row r="1384" spans="2:10" x14ac:dyDescent="0.3">
      <c r="B1384" s="10">
        <f t="shared" si="42"/>
        <v>2021</v>
      </c>
      <c r="C1384" s="10">
        <f t="shared" si="43"/>
        <v>1</v>
      </c>
      <c r="D1384" s="3">
        <v>44215</v>
      </c>
      <c r="E1384" s="1">
        <v>55.9</v>
      </c>
      <c r="F1384" s="1">
        <v>52.98</v>
      </c>
      <c r="G1384" s="1">
        <v>1.5987</v>
      </c>
      <c r="H1384" s="1">
        <v>1.5381</v>
      </c>
      <c r="I1384" s="1">
        <v>2.5459999999999998</v>
      </c>
      <c r="J1384" s="1">
        <v>5.3578000000000001</v>
      </c>
    </row>
    <row r="1385" spans="2:10" x14ac:dyDescent="0.3">
      <c r="B1385" s="10">
        <f t="shared" si="42"/>
        <v>2021</v>
      </c>
      <c r="C1385" s="10">
        <f t="shared" si="43"/>
        <v>1</v>
      </c>
      <c r="D1385" s="3">
        <v>44214</v>
      </c>
      <c r="E1385" s="1">
        <v>54.75</v>
      </c>
      <c r="J1385" s="1">
        <v>5.2957000000000001</v>
      </c>
    </row>
    <row r="1386" spans="2:10" x14ac:dyDescent="0.3">
      <c r="B1386" s="10">
        <f t="shared" si="42"/>
        <v>2021</v>
      </c>
      <c r="C1386" s="10">
        <f t="shared" si="43"/>
        <v>1</v>
      </c>
      <c r="D1386" s="3">
        <v>44211</v>
      </c>
      <c r="E1386" s="1">
        <v>55.1</v>
      </c>
      <c r="F1386" s="1">
        <v>52.36</v>
      </c>
      <c r="G1386" s="1">
        <v>1.5929</v>
      </c>
      <c r="H1386" s="1">
        <v>1.5284</v>
      </c>
      <c r="I1386" s="1">
        <v>2.7370000000000001</v>
      </c>
      <c r="J1386" s="1">
        <v>5.2927</v>
      </c>
    </row>
    <row r="1387" spans="2:10" x14ac:dyDescent="0.3">
      <c r="B1387" s="10">
        <f t="shared" si="42"/>
        <v>2021</v>
      </c>
      <c r="C1387" s="10">
        <f t="shared" si="43"/>
        <v>1</v>
      </c>
      <c r="D1387" s="3">
        <v>44210</v>
      </c>
      <c r="E1387" s="1">
        <v>56.42</v>
      </c>
      <c r="F1387" s="1">
        <v>53.57</v>
      </c>
      <c r="G1387" s="1">
        <v>1.6194</v>
      </c>
      <c r="H1387" s="1">
        <v>1.5539000000000001</v>
      </c>
      <c r="I1387" s="1">
        <v>2.6659999999999999</v>
      </c>
      <c r="J1387" s="1">
        <v>5.1966999999999999</v>
      </c>
    </row>
    <row r="1388" spans="2:10" x14ac:dyDescent="0.3">
      <c r="B1388" s="10">
        <f t="shared" si="42"/>
        <v>2021</v>
      </c>
      <c r="C1388" s="10">
        <f t="shared" si="43"/>
        <v>1</v>
      </c>
      <c r="D1388" s="3">
        <v>44209</v>
      </c>
      <c r="E1388" s="1">
        <v>56.06</v>
      </c>
      <c r="F1388" s="1">
        <v>52.91</v>
      </c>
      <c r="G1388" s="1">
        <v>1.5989</v>
      </c>
      <c r="H1388" s="1">
        <v>1.5488</v>
      </c>
      <c r="I1388" s="1">
        <v>2.7269999999999999</v>
      </c>
      <c r="J1388" s="1">
        <v>5.2990000000000004</v>
      </c>
    </row>
    <row r="1389" spans="2:10" x14ac:dyDescent="0.3">
      <c r="B1389" s="10">
        <f t="shared" si="42"/>
        <v>2021</v>
      </c>
      <c r="C1389" s="10">
        <f t="shared" si="43"/>
        <v>1</v>
      </c>
      <c r="D1389" s="3">
        <v>44208</v>
      </c>
      <c r="E1389" s="1">
        <v>56.58</v>
      </c>
      <c r="F1389" s="1">
        <v>53.21</v>
      </c>
      <c r="G1389" s="1">
        <v>1.5967</v>
      </c>
      <c r="H1389" s="1">
        <v>1.5529999999999999</v>
      </c>
      <c r="I1389" s="1">
        <v>2.7530000000000001</v>
      </c>
      <c r="J1389" s="1">
        <v>5.3226000000000004</v>
      </c>
    </row>
    <row r="1390" spans="2:10" x14ac:dyDescent="0.3">
      <c r="B1390" s="10">
        <f t="shared" si="42"/>
        <v>2021</v>
      </c>
      <c r="C1390" s="10">
        <f t="shared" si="43"/>
        <v>1</v>
      </c>
      <c r="D1390" s="3">
        <v>44207</v>
      </c>
      <c r="E1390" s="1">
        <v>55.66</v>
      </c>
      <c r="F1390" s="1">
        <v>52.25</v>
      </c>
      <c r="G1390" s="1">
        <v>1.5734999999999999</v>
      </c>
      <c r="H1390" s="1">
        <v>1.5207999999999999</v>
      </c>
      <c r="I1390" s="1">
        <v>2.7469999999999999</v>
      </c>
      <c r="J1390" s="1">
        <v>5.4889999999999999</v>
      </c>
    </row>
    <row r="1391" spans="2:10" x14ac:dyDescent="0.3">
      <c r="B1391" s="10">
        <f t="shared" si="42"/>
        <v>2021</v>
      </c>
      <c r="C1391" s="10">
        <f t="shared" si="43"/>
        <v>1</v>
      </c>
      <c r="D1391" s="3">
        <v>44204</v>
      </c>
      <c r="E1391" s="1">
        <v>55.99</v>
      </c>
      <c r="F1391" s="1">
        <v>52.24</v>
      </c>
      <c r="G1391" s="1">
        <v>1.5794999999999999</v>
      </c>
      <c r="H1391" s="1">
        <v>1.5423</v>
      </c>
      <c r="I1391" s="1">
        <v>2.7</v>
      </c>
      <c r="J1391" s="1">
        <v>5.4177999999999997</v>
      </c>
    </row>
    <row r="1392" spans="2:10" x14ac:dyDescent="0.3">
      <c r="B1392" s="10">
        <f t="shared" si="42"/>
        <v>2021</v>
      </c>
      <c r="C1392" s="10">
        <f t="shared" si="43"/>
        <v>1</v>
      </c>
      <c r="D1392" s="3">
        <v>44203</v>
      </c>
      <c r="E1392" s="1">
        <v>54.38</v>
      </c>
      <c r="F1392" s="1">
        <v>50.83</v>
      </c>
      <c r="G1392" s="1">
        <v>1.5381</v>
      </c>
      <c r="H1392" s="1">
        <v>1.4826999999999999</v>
      </c>
      <c r="I1392" s="1">
        <v>2.7290000000000001</v>
      </c>
      <c r="J1392" s="1">
        <v>5.4100999999999999</v>
      </c>
    </row>
    <row r="1393" spans="2:10" x14ac:dyDescent="0.3">
      <c r="B1393" s="10">
        <f t="shared" si="42"/>
        <v>2021</v>
      </c>
      <c r="C1393" s="10">
        <f t="shared" si="43"/>
        <v>1</v>
      </c>
      <c r="D1393" s="3">
        <v>44202</v>
      </c>
      <c r="E1393" s="1">
        <v>54.3</v>
      </c>
      <c r="F1393" s="1">
        <v>50.63</v>
      </c>
      <c r="G1393" s="1">
        <v>1.5286999999999999</v>
      </c>
      <c r="H1393" s="1">
        <v>1.4750000000000001</v>
      </c>
      <c r="I1393" s="1">
        <v>2.7160000000000002</v>
      </c>
      <c r="J1393" s="1">
        <v>5.3139000000000003</v>
      </c>
    </row>
    <row r="1394" spans="2:10" x14ac:dyDescent="0.3">
      <c r="B1394" s="10">
        <f t="shared" si="42"/>
        <v>2021</v>
      </c>
      <c r="C1394" s="10">
        <f t="shared" si="43"/>
        <v>1</v>
      </c>
      <c r="D1394" s="3">
        <v>44201</v>
      </c>
      <c r="E1394" s="1">
        <v>53.6</v>
      </c>
      <c r="F1394" s="1">
        <v>49.93</v>
      </c>
      <c r="G1394" s="1">
        <v>1.5188999999999999</v>
      </c>
      <c r="H1394" s="1">
        <v>1.4520999999999999</v>
      </c>
      <c r="I1394" s="1">
        <v>2.702</v>
      </c>
      <c r="J1394" s="1">
        <v>5.2854000000000001</v>
      </c>
    </row>
    <row r="1395" spans="2:10" x14ac:dyDescent="0.3">
      <c r="B1395" s="10">
        <f t="shared" si="42"/>
        <v>2021</v>
      </c>
      <c r="C1395" s="10">
        <f t="shared" si="43"/>
        <v>1</v>
      </c>
      <c r="D1395" s="3">
        <v>44200</v>
      </c>
      <c r="E1395" s="1">
        <v>51.09</v>
      </c>
      <c r="F1395" s="1">
        <v>47.62</v>
      </c>
      <c r="G1395" s="1">
        <v>1.462</v>
      </c>
      <c r="H1395" s="1">
        <v>1.3729</v>
      </c>
      <c r="I1395" s="1">
        <v>2.581</v>
      </c>
      <c r="J1395" s="1">
        <v>5.2968000000000002</v>
      </c>
    </row>
    <row r="1396" spans="2:10" x14ac:dyDescent="0.3">
      <c r="B1396" s="10">
        <f t="shared" si="42"/>
        <v>2021</v>
      </c>
      <c r="C1396" s="10">
        <f t="shared" si="43"/>
        <v>1</v>
      </c>
      <c r="D1396" s="3">
        <v>44197</v>
      </c>
      <c r="J1396" s="1">
        <v>5.1936999999999998</v>
      </c>
    </row>
    <row r="1397" spans="2:10" x14ac:dyDescent="0.3">
      <c r="B1397" s="10">
        <f t="shared" si="42"/>
        <v>2020</v>
      </c>
      <c r="C1397" s="10">
        <f t="shared" si="43"/>
        <v>12</v>
      </c>
      <c r="D1397" s="3">
        <v>44196</v>
      </c>
      <c r="E1397" s="1">
        <v>51.8</v>
      </c>
      <c r="F1397" s="1">
        <v>48.52</v>
      </c>
      <c r="G1397" s="1">
        <v>1.4762999999999999</v>
      </c>
      <c r="H1397" s="1">
        <v>1.4084000000000001</v>
      </c>
      <c r="I1397" s="1">
        <v>2.5390000000000001</v>
      </c>
      <c r="J1397" s="1">
        <v>5.1936999999999998</v>
      </c>
    </row>
    <row r="1398" spans="2:10" x14ac:dyDescent="0.3">
      <c r="B1398" s="10">
        <f t="shared" si="42"/>
        <v>2020</v>
      </c>
      <c r="C1398" s="10">
        <f t="shared" si="43"/>
        <v>12</v>
      </c>
      <c r="D1398" s="3">
        <v>44195</v>
      </c>
      <c r="E1398" s="1">
        <v>51.34</v>
      </c>
      <c r="F1398" s="1">
        <v>48.4</v>
      </c>
      <c r="G1398" s="1">
        <v>1.4898</v>
      </c>
      <c r="H1398" s="1">
        <v>1.4119999999999999</v>
      </c>
      <c r="I1398" s="1">
        <v>2.4220000000000002</v>
      </c>
      <c r="J1398" s="1">
        <v>5.1936999999999998</v>
      </c>
    </row>
    <row r="1399" spans="2:10" x14ac:dyDescent="0.3">
      <c r="B1399" s="10">
        <f t="shared" si="42"/>
        <v>2020</v>
      </c>
      <c r="C1399" s="10">
        <f t="shared" si="43"/>
        <v>12</v>
      </c>
      <c r="D1399" s="3">
        <v>44194</v>
      </c>
      <c r="E1399" s="1">
        <v>51.09</v>
      </c>
      <c r="F1399" s="1">
        <v>48</v>
      </c>
      <c r="G1399" s="1">
        <v>1.4867999999999999</v>
      </c>
      <c r="H1399" s="1">
        <v>1.3878999999999999</v>
      </c>
      <c r="I1399" s="1">
        <v>2.4670000000000001</v>
      </c>
      <c r="J1399" s="1">
        <v>5.2099000000000002</v>
      </c>
    </row>
    <row r="1400" spans="2:10" x14ac:dyDescent="0.3">
      <c r="B1400" s="10">
        <f t="shared" si="42"/>
        <v>2020</v>
      </c>
      <c r="C1400" s="10">
        <f t="shared" si="43"/>
        <v>12</v>
      </c>
      <c r="D1400" s="3">
        <v>44193</v>
      </c>
      <c r="E1400" s="1">
        <v>50.86</v>
      </c>
      <c r="F1400" s="1">
        <v>47.62</v>
      </c>
      <c r="G1400" s="1">
        <v>1.4790000000000001</v>
      </c>
      <c r="H1400" s="1">
        <v>1.3676999999999999</v>
      </c>
      <c r="I1400" s="1">
        <v>2.3050000000000002</v>
      </c>
      <c r="J1400" s="1">
        <v>5.2461000000000002</v>
      </c>
    </row>
    <row r="1401" spans="2:10" x14ac:dyDescent="0.3">
      <c r="B1401" s="10">
        <f t="shared" si="42"/>
        <v>2020</v>
      </c>
      <c r="C1401" s="10">
        <f t="shared" si="43"/>
        <v>12</v>
      </c>
      <c r="D1401" s="3">
        <v>44190</v>
      </c>
      <c r="J1401" s="1">
        <v>5.2164999999999999</v>
      </c>
    </row>
    <row r="1402" spans="2:10" x14ac:dyDescent="0.3">
      <c r="B1402" s="10">
        <f t="shared" si="42"/>
        <v>2020</v>
      </c>
      <c r="C1402" s="10">
        <f t="shared" si="43"/>
        <v>12</v>
      </c>
      <c r="D1402" s="3">
        <v>44189</v>
      </c>
      <c r="E1402" s="1">
        <v>51.29</v>
      </c>
      <c r="F1402" s="1">
        <v>48.23</v>
      </c>
      <c r="G1402" s="1">
        <v>1.49</v>
      </c>
      <c r="H1402" s="1">
        <v>1.3789</v>
      </c>
      <c r="I1402" s="1">
        <v>2.5179999999999998</v>
      </c>
      <c r="J1402" s="1">
        <v>5.2164999999999999</v>
      </c>
    </row>
    <row r="1403" spans="2:10" x14ac:dyDescent="0.3">
      <c r="B1403" s="10">
        <f t="shared" si="42"/>
        <v>2020</v>
      </c>
      <c r="C1403" s="10">
        <f t="shared" si="43"/>
        <v>12</v>
      </c>
      <c r="D1403" s="3">
        <v>44188</v>
      </c>
      <c r="E1403" s="1">
        <v>51.2</v>
      </c>
      <c r="F1403" s="1">
        <v>48.12</v>
      </c>
      <c r="G1403" s="1">
        <v>1.4975000000000001</v>
      </c>
      <c r="H1403" s="1">
        <v>1.3819999999999999</v>
      </c>
      <c r="I1403" s="1">
        <v>2.6080000000000001</v>
      </c>
      <c r="J1403" s="1">
        <v>5.2164000000000001</v>
      </c>
    </row>
    <row r="1404" spans="2:10" x14ac:dyDescent="0.3">
      <c r="B1404" s="10">
        <f t="shared" si="42"/>
        <v>2020</v>
      </c>
      <c r="C1404" s="10">
        <f t="shared" si="43"/>
        <v>12</v>
      </c>
      <c r="D1404" s="3">
        <v>44187</v>
      </c>
      <c r="E1404" s="1">
        <v>50.08</v>
      </c>
      <c r="F1404" s="1">
        <v>47.02</v>
      </c>
      <c r="G1404" s="1">
        <v>1.4616</v>
      </c>
      <c r="H1404" s="1">
        <v>1.3394999999999999</v>
      </c>
      <c r="I1404" s="1">
        <v>2.78</v>
      </c>
      <c r="J1404" s="1">
        <v>5.1597</v>
      </c>
    </row>
    <row r="1405" spans="2:10" x14ac:dyDescent="0.3">
      <c r="B1405" s="10">
        <f t="shared" si="42"/>
        <v>2020</v>
      </c>
      <c r="C1405" s="10">
        <f t="shared" si="43"/>
        <v>12</v>
      </c>
      <c r="D1405" s="3">
        <v>44186</v>
      </c>
      <c r="E1405" s="1">
        <v>50.91</v>
      </c>
      <c r="F1405" s="1">
        <v>47.74</v>
      </c>
      <c r="G1405" s="1">
        <v>1.4774</v>
      </c>
      <c r="H1405" s="1">
        <v>1.3604000000000001</v>
      </c>
      <c r="I1405" s="1">
        <v>2.7050000000000001</v>
      </c>
      <c r="J1405" s="1">
        <v>5.1222000000000003</v>
      </c>
    </row>
    <row r="1406" spans="2:10" x14ac:dyDescent="0.3">
      <c r="B1406" s="10">
        <f t="shared" si="42"/>
        <v>2020</v>
      </c>
      <c r="C1406" s="10">
        <f t="shared" si="43"/>
        <v>12</v>
      </c>
      <c r="D1406" s="3">
        <v>44183</v>
      </c>
      <c r="E1406" s="1">
        <v>52.26</v>
      </c>
      <c r="F1406" s="1">
        <v>49.1</v>
      </c>
      <c r="G1406" s="1">
        <v>1.5129999999999999</v>
      </c>
      <c r="H1406" s="1">
        <v>1.3956</v>
      </c>
      <c r="I1406" s="1">
        <v>2.7</v>
      </c>
      <c r="J1406" s="1">
        <v>5.1021999999999998</v>
      </c>
    </row>
    <row r="1407" spans="2:10" x14ac:dyDescent="0.3">
      <c r="B1407" s="10">
        <f t="shared" si="42"/>
        <v>2020</v>
      </c>
      <c r="C1407" s="10">
        <f t="shared" si="43"/>
        <v>12</v>
      </c>
      <c r="D1407" s="3">
        <v>44182</v>
      </c>
      <c r="E1407" s="1">
        <v>51.5</v>
      </c>
      <c r="F1407" s="1">
        <v>48.36</v>
      </c>
      <c r="G1407" s="1">
        <v>1.4952000000000001</v>
      </c>
      <c r="H1407" s="1">
        <v>1.3880999999999999</v>
      </c>
      <c r="I1407" s="1">
        <v>2.6360000000000001</v>
      </c>
      <c r="J1407" s="1">
        <v>5.0582000000000003</v>
      </c>
    </row>
    <row r="1408" spans="2:10" x14ac:dyDescent="0.3">
      <c r="B1408" s="10">
        <f t="shared" si="42"/>
        <v>2020</v>
      </c>
      <c r="C1408" s="10">
        <f t="shared" si="43"/>
        <v>12</v>
      </c>
      <c r="D1408" s="3">
        <v>44181</v>
      </c>
      <c r="E1408" s="1">
        <v>51.08</v>
      </c>
      <c r="F1408" s="1">
        <v>47.82</v>
      </c>
      <c r="G1408" s="1">
        <v>1.4779</v>
      </c>
      <c r="H1408" s="1">
        <v>1.3529</v>
      </c>
      <c r="I1408" s="1">
        <v>2.677</v>
      </c>
      <c r="J1408" s="1">
        <v>5.0838000000000001</v>
      </c>
    </row>
    <row r="1409" spans="2:10" x14ac:dyDescent="0.3">
      <c r="B1409" s="10">
        <f t="shared" si="42"/>
        <v>2020</v>
      </c>
      <c r="C1409" s="10">
        <f t="shared" si="43"/>
        <v>12</v>
      </c>
      <c r="D1409" s="3">
        <v>44180</v>
      </c>
      <c r="E1409" s="1">
        <v>50.76</v>
      </c>
      <c r="F1409" s="1">
        <v>47.62</v>
      </c>
      <c r="G1409" s="1">
        <v>1.4643999999999999</v>
      </c>
      <c r="H1409" s="1">
        <v>1.3268</v>
      </c>
      <c r="I1409" s="1">
        <v>2.6819999999999999</v>
      </c>
      <c r="J1409" s="1">
        <v>5.0842000000000001</v>
      </c>
    </row>
    <row r="1410" spans="2:10" x14ac:dyDescent="0.3">
      <c r="B1410" s="10">
        <f t="shared" si="42"/>
        <v>2020</v>
      </c>
      <c r="C1410" s="10">
        <f t="shared" si="43"/>
        <v>12</v>
      </c>
      <c r="D1410" s="3">
        <v>44179</v>
      </c>
      <c r="E1410" s="1">
        <v>50.29</v>
      </c>
      <c r="F1410" s="1">
        <v>46.99</v>
      </c>
      <c r="G1410" s="1">
        <v>1.4543999999999999</v>
      </c>
      <c r="H1410" s="1">
        <v>1.3190999999999999</v>
      </c>
      <c r="I1410" s="1">
        <v>2.6819999999999999</v>
      </c>
      <c r="J1410" s="1">
        <v>5.1189</v>
      </c>
    </row>
    <row r="1411" spans="2:10" x14ac:dyDescent="0.3">
      <c r="B1411" s="10">
        <f t="shared" si="42"/>
        <v>2020</v>
      </c>
      <c r="C1411" s="10">
        <f t="shared" si="43"/>
        <v>12</v>
      </c>
      <c r="D1411" s="3">
        <v>44176</v>
      </c>
      <c r="E1411" s="1">
        <v>49.97</v>
      </c>
      <c r="F1411" s="1">
        <v>46.57</v>
      </c>
      <c r="G1411" s="1">
        <v>1.4369000000000001</v>
      </c>
      <c r="H1411" s="1">
        <v>1.3077000000000001</v>
      </c>
      <c r="I1411" s="1">
        <v>2.5910000000000002</v>
      </c>
      <c r="J1411" s="1">
        <v>5.0655999999999999</v>
      </c>
    </row>
    <row r="1412" spans="2:10" x14ac:dyDescent="0.3">
      <c r="B1412" s="10">
        <f t="shared" si="42"/>
        <v>2020</v>
      </c>
      <c r="C1412" s="10">
        <f t="shared" si="43"/>
        <v>12</v>
      </c>
      <c r="D1412" s="3">
        <v>44175</v>
      </c>
      <c r="E1412" s="1">
        <v>50.25</v>
      </c>
      <c r="F1412" s="1">
        <v>46.78</v>
      </c>
      <c r="G1412" s="1">
        <v>1.4357</v>
      </c>
      <c r="H1412" s="1">
        <v>1.3166</v>
      </c>
      <c r="I1412" s="1">
        <v>2.5529999999999999</v>
      </c>
      <c r="J1412" s="1">
        <v>5.0255999999999998</v>
      </c>
    </row>
    <row r="1413" spans="2:10" x14ac:dyDescent="0.3">
      <c r="B1413" s="10">
        <f t="shared" si="42"/>
        <v>2020</v>
      </c>
      <c r="C1413" s="10">
        <f t="shared" si="43"/>
        <v>12</v>
      </c>
      <c r="D1413" s="3">
        <v>44174</v>
      </c>
      <c r="E1413" s="1">
        <v>48.86</v>
      </c>
      <c r="F1413" s="1">
        <v>45.52</v>
      </c>
      <c r="G1413" s="1">
        <v>1.3989</v>
      </c>
      <c r="H1413" s="1">
        <v>1.2759</v>
      </c>
      <c r="I1413" s="1">
        <v>2.4420000000000002</v>
      </c>
      <c r="J1413" s="1">
        <v>5.1707999999999998</v>
      </c>
    </row>
    <row r="1414" spans="2:10" x14ac:dyDescent="0.3">
      <c r="B1414" s="10">
        <f t="shared" ref="B1414:B1477" si="44">YEAR(D1414)</f>
        <v>2020</v>
      </c>
      <c r="C1414" s="10">
        <f t="shared" ref="C1414:C1477" si="45">MONTH(D1414)</f>
        <v>12</v>
      </c>
      <c r="D1414" s="3">
        <v>44173</v>
      </c>
      <c r="E1414" s="1">
        <v>48.84</v>
      </c>
      <c r="F1414" s="1">
        <v>45.6</v>
      </c>
      <c r="G1414" s="1">
        <v>1.4067000000000001</v>
      </c>
      <c r="H1414" s="1">
        <v>1.2559</v>
      </c>
      <c r="I1414" s="1">
        <v>2.399</v>
      </c>
      <c r="J1414" s="1">
        <v>5.1201999999999996</v>
      </c>
    </row>
    <row r="1415" spans="2:10" x14ac:dyDescent="0.3">
      <c r="B1415" s="10">
        <f t="shared" si="44"/>
        <v>2020</v>
      </c>
      <c r="C1415" s="10">
        <f t="shared" si="45"/>
        <v>12</v>
      </c>
      <c r="D1415" s="3">
        <v>44172</v>
      </c>
      <c r="E1415" s="1">
        <v>48.79</v>
      </c>
      <c r="F1415" s="1">
        <v>45.76</v>
      </c>
      <c r="G1415" s="1">
        <v>1.3992</v>
      </c>
      <c r="H1415" s="1">
        <v>1.2558</v>
      </c>
      <c r="I1415" s="1">
        <v>2.4060000000000001</v>
      </c>
      <c r="J1415" s="1">
        <v>5.0990000000000002</v>
      </c>
    </row>
    <row r="1416" spans="2:10" x14ac:dyDescent="0.3">
      <c r="B1416" s="10">
        <f t="shared" si="44"/>
        <v>2020</v>
      </c>
      <c r="C1416" s="10">
        <f t="shared" si="45"/>
        <v>12</v>
      </c>
      <c r="D1416" s="3">
        <v>44169</v>
      </c>
      <c r="E1416" s="1">
        <v>49.25</v>
      </c>
      <c r="F1416" s="1">
        <v>46.26</v>
      </c>
      <c r="G1416" s="1">
        <v>1.403</v>
      </c>
      <c r="H1416" s="1">
        <v>1.2685</v>
      </c>
      <c r="I1416" s="1">
        <v>2.5750000000000002</v>
      </c>
      <c r="J1416" s="1">
        <v>5.1557000000000004</v>
      </c>
    </row>
    <row r="1417" spans="2:10" x14ac:dyDescent="0.3">
      <c r="B1417" s="10">
        <f t="shared" si="44"/>
        <v>2020</v>
      </c>
      <c r="C1417" s="10">
        <f t="shared" si="45"/>
        <v>12</v>
      </c>
      <c r="D1417" s="3">
        <v>44168</v>
      </c>
      <c r="E1417" s="1">
        <v>48.71</v>
      </c>
      <c r="F1417" s="1">
        <v>45.64</v>
      </c>
      <c r="G1417" s="1">
        <v>1.3933</v>
      </c>
      <c r="H1417" s="1">
        <v>1.2617</v>
      </c>
      <c r="I1417" s="1">
        <v>2.5070000000000001</v>
      </c>
      <c r="J1417" s="1">
        <v>5.1515000000000004</v>
      </c>
    </row>
    <row r="1418" spans="2:10" x14ac:dyDescent="0.3">
      <c r="B1418" s="10">
        <f t="shared" si="44"/>
        <v>2020</v>
      </c>
      <c r="C1418" s="10">
        <f t="shared" si="45"/>
        <v>12</v>
      </c>
      <c r="D1418" s="3">
        <v>44167</v>
      </c>
      <c r="E1418" s="1">
        <v>48.25</v>
      </c>
      <c r="F1418" s="1">
        <v>45.28</v>
      </c>
      <c r="G1418" s="1">
        <v>1.3662000000000001</v>
      </c>
      <c r="H1418" s="1">
        <v>1.2399</v>
      </c>
      <c r="I1418" s="1">
        <v>2.78</v>
      </c>
      <c r="J1418" s="1">
        <v>5.2175000000000002</v>
      </c>
    </row>
    <row r="1419" spans="2:10" x14ac:dyDescent="0.3">
      <c r="B1419" s="10">
        <f t="shared" si="44"/>
        <v>2020</v>
      </c>
      <c r="C1419" s="10">
        <f t="shared" si="45"/>
        <v>12</v>
      </c>
      <c r="D1419" s="3">
        <v>44166</v>
      </c>
      <c r="E1419" s="1">
        <v>47.42</v>
      </c>
      <c r="F1419" s="1">
        <v>44.55</v>
      </c>
      <c r="G1419" s="1">
        <v>1.3472999999999999</v>
      </c>
      <c r="H1419" s="1">
        <v>1.2203999999999999</v>
      </c>
      <c r="I1419" s="1">
        <v>2.88</v>
      </c>
      <c r="J1419" s="1">
        <v>5.2061000000000002</v>
      </c>
    </row>
    <row r="1420" spans="2:10" x14ac:dyDescent="0.3">
      <c r="B1420" s="10">
        <f t="shared" si="44"/>
        <v>2020</v>
      </c>
      <c r="C1420" s="10">
        <f t="shared" si="45"/>
        <v>11</v>
      </c>
      <c r="D1420" s="3">
        <v>44165</v>
      </c>
      <c r="E1420" s="1">
        <v>47.59</v>
      </c>
      <c r="F1420" s="1">
        <v>45.34</v>
      </c>
      <c r="G1420" s="1">
        <v>1.3559000000000001</v>
      </c>
      <c r="H1420" s="1">
        <v>1.2488999999999999</v>
      </c>
      <c r="I1420" s="1">
        <v>2.8820000000000001</v>
      </c>
      <c r="J1420" s="1">
        <v>5.3319000000000001</v>
      </c>
    </row>
    <row r="1421" spans="2:10" x14ac:dyDescent="0.3">
      <c r="B1421" s="10">
        <f t="shared" si="44"/>
        <v>2020</v>
      </c>
      <c r="C1421" s="10">
        <f t="shared" si="45"/>
        <v>11</v>
      </c>
      <c r="D1421" s="3">
        <v>44162</v>
      </c>
      <c r="E1421" s="1">
        <v>48.18</v>
      </c>
      <c r="F1421" s="1">
        <v>45.53</v>
      </c>
      <c r="G1421" s="1">
        <v>1.3805000000000001</v>
      </c>
      <c r="H1421" s="1">
        <v>1.282</v>
      </c>
      <c r="I1421" s="1">
        <v>2.843</v>
      </c>
      <c r="J1421" s="1">
        <v>5.3437999999999999</v>
      </c>
    </row>
    <row r="1422" spans="2:10" x14ac:dyDescent="0.3">
      <c r="B1422" s="10">
        <f t="shared" si="44"/>
        <v>2020</v>
      </c>
      <c r="C1422" s="10">
        <f t="shared" si="45"/>
        <v>11</v>
      </c>
      <c r="D1422" s="3">
        <v>44161</v>
      </c>
      <c r="E1422" s="1">
        <v>47.8</v>
      </c>
      <c r="J1422" s="1">
        <v>5.3365</v>
      </c>
    </row>
    <row r="1423" spans="2:10" x14ac:dyDescent="0.3">
      <c r="B1423" s="10">
        <f t="shared" si="44"/>
        <v>2020</v>
      </c>
      <c r="C1423" s="10">
        <f t="shared" si="45"/>
        <v>11</v>
      </c>
      <c r="D1423" s="3">
        <v>44160</v>
      </c>
      <c r="E1423" s="1">
        <v>48.61</v>
      </c>
      <c r="F1423" s="1">
        <v>45.71</v>
      </c>
      <c r="G1423" s="1">
        <v>1.3866000000000001</v>
      </c>
      <c r="H1423" s="1">
        <v>1.2875000000000001</v>
      </c>
      <c r="I1423" s="1">
        <v>2.8959999999999999</v>
      </c>
      <c r="J1423" s="1">
        <v>5.3236999999999997</v>
      </c>
    </row>
    <row r="1424" spans="2:10" x14ac:dyDescent="0.3">
      <c r="B1424" s="10">
        <f t="shared" si="44"/>
        <v>2020</v>
      </c>
      <c r="C1424" s="10">
        <f t="shared" si="45"/>
        <v>11</v>
      </c>
      <c r="D1424" s="3">
        <v>44159</v>
      </c>
      <c r="E1424" s="1">
        <v>47.86</v>
      </c>
      <c r="F1424" s="1">
        <v>44.91</v>
      </c>
      <c r="G1424" s="1">
        <v>1.3594999999999999</v>
      </c>
      <c r="H1424" s="1">
        <v>1.2582</v>
      </c>
      <c r="I1424" s="1">
        <v>2.7749999999999999</v>
      </c>
      <c r="J1424" s="1">
        <v>5.3735999999999997</v>
      </c>
    </row>
    <row r="1425" spans="2:10" x14ac:dyDescent="0.3">
      <c r="B1425" s="10">
        <f t="shared" si="44"/>
        <v>2020</v>
      </c>
      <c r="C1425" s="10">
        <f t="shared" si="45"/>
        <v>11</v>
      </c>
      <c r="D1425" s="3">
        <v>44158</v>
      </c>
      <c r="E1425" s="1">
        <v>46.06</v>
      </c>
      <c r="F1425" s="1">
        <v>43.06</v>
      </c>
      <c r="G1425" s="1">
        <v>1.3105</v>
      </c>
      <c r="H1425" s="1">
        <v>1.204</v>
      </c>
      <c r="I1425" s="1">
        <v>2.7109999999999999</v>
      </c>
      <c r="J1425" s="1">
        <v>5.4390000000000001</v>
      </c>
    </row>
    <row r="1426" spans="2:10" x14ac:dyDescent="0.3">
      <c r="B1426" s="10">
        <f t="shared" si="44"/>
        <v>2020</v>
      </c>
      <c r="C1426" s="10">
        <f t="shared" si="45"/>
        <v>11</v>
      </c>
      <c r="D1426" s="3">
        <v>44155</v>
      </c>
      <c r="E1426" s="1">
        <v>44.96</v>
      </c>
      <c r="F1426" s="1">
        <v>42.15</v>
      </c>
      <c r="G1426" s="1">
        <v>1.2863</v>
      </c>
      <c r="H1426" s="1">
        <v>1.1752</v>
      </c>
      <c r="I1426" s="1">
        <v>2.65</v>
      </c>
      <c r="J1426" s="1">
        <v>5.3796999999999997</v>
      </c>
    </row>
    <row r="1427" spans="2:10" x14ac:dyDescent="0.3">
      <c r="B1427" s="10">
        <f t="shared" si="44"/>
        <v>2020</v>
      </c>
      <c r="C1427" s="10">
        <f t="shared" si="45"/>
        <v>11</v>
      </c>
      <c r="D1427" s="3">
        <v>44154</v>
      </c>
      <c r="E1427" s="1">
        <v>44.2</v>
      </c>
      <c r="F1427" s="1">
        <v>41.74</v>
      </c>
      <c r="G1427" s="1">
        <v>1.2706999999999999</v>
      </c>
      <c r="H1427" s="1">
        <v>1.1625000000000001</v>
      </c>
      <c r="I1427" s="1">
        <v>2.5920000000000001</v>
      </c>
      <c r="J1427" s="1">
        <v>5.3053999999999997</v>
      </c>
    </row>
    <row r="1428" spans="2:10" x14ac:dyDescent="0.3">
      <c r="B1428" s="10">
        <f t="shared" si="44"/>
        <v>2020</v>
      </c>
      <c r="C1428" s="10">
        <f t="shared" si="45"/>
        <v>11</v>
      </c>
      <c r="D1428" s="3">
        <v>44153</v>
      </c>
      <c r="E1428" s="1">
        <v>44.34</v>
      </c>
      <c r="F1428" s="1">
        <v>41.82</v>
      </c>
      <c r="G1428" s="1">
        <v>1.264</v>
      </c>
      <c r="H1428" s="1">
        <v>1.1629</v>
      </c>
      <c r="I1428" s="1">
        <v>2.7120000000000002</v>
      </c>
      <c r="J1428" s="1">
        <v>5.3628999999999998</v>
      </c>
    </row>
    <row r="1429" spans="2:10" x14ac:dyDescent="0.3">
      <c r="B1429" s="10">
        <f t="shared" si="44"/>
        <v>2020</v>
      </c>
      <c r="C1429" s="10">
        <f t="shared" si="45"/>
        <v>11</v>
      </c>
      <c r="D1429" s="3">
        <v>44152</v>
      </c>
      <c r="E1429" s="1">
        <v>43.75</v>
      </c>
      <c r="F1429" s="1">
        <v>41.43</v>
      </c>
      <c r="G1429" s="1">
        <v>1.2391000000000001</v>
      </c>
      <c r="H1429" s="1">
        <v>1.1532</v>
      </c>
      <c r="I1429" s="1">
        <v>2.6920000000000002</v>
      </c>
      <c r="J1429" s="1">
        <v>5.3281000000000001</v>
      </c>
    </row>
    <row r="1430" spans="2:10" x14ac:dyDescent="0.3">
      <c r="B1430" s="10">
        <f t="shared" si="44"/>
        <v>2020</v>
      </c>
      <c r="C1430" s="10">
        <f t="shared" si="45"/>
        <v>11</v>
      </c>
      <c r="D1430" s="3">
        <v>44151</v>
      </c>
      <c r="E1430" s="1">
        <v>43.82</v>
      </c>
      <c r="F1430" s="1">
        <v>41.34</v>
      </c>
      <c r="G1430" s="1">
        <v>1.2289000000000001</v>
      </c>
      <c r="H1430" s="1">
        <v>1.1468</v>
      </c>
      <c r="I1430" s="1">
        <v>2.6970000000000001</v>
      </c>
      <c r="J1430" s="1">
        <v>5.4151999999999996</v>
      </c>
    </row>
    <row r="1431" spans="2:10" x14ac:dyDescent="0.3">
      <c r="B1431" s="10">
        <f t="shared" si="44"/>
        <v>2020</v>
      </c>
      <c r="C1431" s="10">
        <f t="shared" si="45"/>
        <v>11</v>
      </c>
      <c r="D1431" s="3">
        <v>44148</v>
      </c>
      <c r="E1431" s="1">
        <v>42.78</v>
      </c>
      <c r="F1431" s="1">
        <v>40.130000000000003</v>
      </c>
      <c r="G1431" s="1">
        <v>1.2041999999999999</v>
      </c>
      <c r="H1431" s="1">
        <v>1.1254</v>
      </c>
      <c r="I1431" s="1">
        <v>2.9950000000000001</v>
      </c>
      <c r="J1431" s="1">
        <v>5.4581999999999997</v>
      </c>
    </row>
    <row r="1432" spans="2:10" x14ac:dyDescent="0.3">
      <c r="B1432" s="10">
        <f t="shared" si="44"/>
        <v>2020</v>
      </c>
      <c r="C1432" s="10">
        <f t="shared" si="45"/>
        <v>11</v>
      </c>
      <c r="D1432" s="3">
        <v>44147</v>
      </c>
      <c r="E1432" s="1">
        <v>43.53</v>
      </c>
      <c r="F1432" s="1">
        <v>41.12</v>
      </c>
      <c r="G1432" s="1">
        <v>1.2333000000000001</v>
      </c>
      <c r="H1432" s="1">
        <v>1.1571</v>
      </c>
      <c r="I1432" s="1">
        <v>2.976</v>
      </c>
      <c r="J1432" s="1">
        <v>5.4581</v>
      </c>
    </row>
    <row r="1433" spans="2:10" x14ac:dyDescent="0.3">
      <c r="B1433" s="10">
        <f t="shared" si="44"/>
        <v>2020</v>
      </c>
      <c r="C1433" s="10">
        <f t="shared" si="45"/>
        <v>11</v>
      </c>
      <c r="D1433" s="3">
        <v>44146</v>
      </c>
      <c r="E1433" s="1">
        <v>43.8</v>
      </c>
      <c r="F1433" s="1">
        <v>41.45</v>
      </c>
      <c r="G1433" s="1">
        <v>1.2458</v>
      </c>
      <c r="H1433" s="1">
        <v>1.1758999999999999</v>
      </c>
      <c r="I1433" s="1">
        <v>3.0310000000000001</v>
      </c>
      <c r="J1433" s="1">
        <v>5.391</v>
      </c>
    </row>
    <row r="1434" spans="2:10" x14ac:dyDescent="0.3">
      <c r="B1434" s="10">
        <f t="shared" si="44"/>
        <v>2020</v>
      </c>
      <c r="C1434" s="10">
        <f t="shared" si="45"/>
        <v>11</v>
      </c>
      <c r="D1434" s="3">
        <v>44145</v>
      </c>
      <c r="E1434" s="1">
        <v>43.61</v>
      </c>
      <c r="F1434" s="1">
        <v>41.36</v>
      </c>
      <c r="G1434" s="1">
        <v>1.2524999999999999</v>
      </c>
      <c r="H1434" s="1">
        <v>1.1940999999999999</v>
      </c>
      <c r="I1434" s="1">
        <v>2.9489999999999998</v>
      </c>
      <c r="J1434" s="1">
        <v>5.4146999999999998</v>
      </c>
    </row>
    <row r="1435" spans="2:10" x14ac:dyDescent="0.3">
      <c r="B1435" s="10">
        <f t="shared" si="44"/>
        <v>2020</v>
      </c>
      <c r="C1435" s="10">
        <f t="shared" si="45"/>
        <v>11</v>
      </c>
      <c r="D1435" s="3">
        <v>44144</v>
      </c>
      <c r="E1435" s="1">
        <v>42.4</v>
      </c>
      <c r="F1435" s="1">
        <v>40.29</v>
      </c>
      <c r="G1435" s="1">
        <v>1.2166999999999999</v>
      </c>
      <c r="H1435" s="1">
        <v>1.1607000000000001</v>
      </c>
      <c r="I1435" s="1">
        <v>2.859</v>
      </c>
      <c r="J1435" s="1">
        <v>5.3857999999999997</v>
      </c>
    </row>
    <row r="1436" spans="2:10" x14ac:dyDescent="0.3">
      <c r="B1436" s="10">
        <f t="shared" si="44"/>
        <v>2020</v>
      </c>
      <c r="C1436" s="10">
        <f t="shared" si="45"/>
        <v>11</v>
      </c>
      <c r="D1436" s="3">
        <v>44141</v>
      </c>
      <c r="E1436" s="1">
        <v>39.450000000000003</v>
      </c>
      <c r="F1436" s="1">
        <v>37.14</v>
      </c>
      <c r="G1436" s="1">
        <v>1.1426000000000001</v>
      </c>
      <c r="H1436" s="1">
        <v>1.0844</v>
      </c>
      <c r="I1436" s="1">
        <v>2.8879999999999999</v>
      </c>
      <c r="J1436" s="1">
        <v>5.3647</v>
      </c>
    </row>
    <row r="1437" spans="2:10" x14ac:dyDescent="0.3">
      <c r="B1437" s="10">
        <f t="shared" si="44"/>
        <v>2020</v>
      </c>
      <c r="C1437" s="10">
        <f t="shared" si="45"/>
        <v>11</v>
      </c>
      <c r="D1437" s="3">
        <v>44140</v>
      </c>
      <c r="E1437" s="1">
        <v>40.93</v>
      </c>
      <c r="F1437" s="1">
        <v>38.79</v>
      </c>
      <c r="G1437" s="1">
        <v>1.1696</v>
      </c>
      <c r="H1437" s="1">
        <v>1.1158999999999999</v>
      </c>
      <c r="I1437" s="1">
        <v>2.9420000000000002</v>
      </c>
      <c r="J1437" s="1">
        <v>5.5250000000000004</v>
      </c>
    </row>
    <row r="1438" spans="2:10" x14ac:dyDescent="0.3">
      <c r="B1438" s="10">
        <f t="shared" si="44"/>
        <v>2020</v>
      </c>
      <c r="C1438" s="10">
        <f t="shared" si="45"/>
        <v>11</v>
      </c>
      <c r="D1438" s="3">
        <v>44139</v>
      </c>
      <c r="E1438" s="1">
        <v>41.23</v>
      </c>
      <c r="F1438" s="1">
        <v>39.15</v>
      </c>
      <c r="G1438" s="1">
        <v>1.1735</v>
      </c>
      <c r="H1438" s="1">
        <v>1.1081000000000001</v>
      </c>
      <c r="I1438" s="1">
        <v>3.0459999999999998</v>
      </c>
      <c r="J1438" s="1">
        <v>5.6635</v>
      </c>
    </row>
    <row r="1439" spans="2:10" x14ac:dyDescent="0.3">
      <c r="B1439" s="10">
        <f t="shared" si="44"/>
        <v>2020</v>
      </c>
      <c r="C1439" s="10">
        <f t="shared" si="45"/>
        <v>11</v>
      </c>
      <c r="D1439" s="3">
        <v>44138</v>
      </c>
      <c r="E1439" s="1">
        <v>39.71</v>
      </c>
      <c r="F1439" s="1">
        <v>37.659999999999997</v>
      </c>
      <c r="G1439" s="1">
        <v>1.1271</v>
      </c>
      <c r="H1439" s="1">
        <v>1.0769</v>
      </c>
      <c r="I1439" s="1">
        <v>3.0590000000000002</v>
      </c>
      <c r="J1439" s="1">
        <v>5.7560000000000002</v>
      </c>
    </row>
    <row r="1440" spans="2:10" x14ac:dyDescent="0.3">
      <c r="B1440" s="10">
        <f t="shared" si="44"/>
        <v>2020</v>
      </c>
      <c r="C1440" s="10">
        <f t="shared" si="45"/>
        <v>11</v>
      </c>
      <c r="D1440" s="3">
        <v>44137</v>
      </c>
      <c r="E1440" s="1">
        <v>38.97</v>
      </c>
      <c r="F1440" s="1">
        <v>36.81</v>
      </c>
      <c r="G1440" s="1">
        <v>1.1123000000000001</v>
      </c>
      <c r="H1440" s="1">
        <v>1.052</v>
      </c>
      <c r="I1440" s="1">
        <v>3.2440000000000002</v>
      </c>
      <c r="J1440" s="1">
        <v>5.7424999999999997</v>
      </c>
    </row>
    <row r="1441" spans="2:10" x14ac:dyDescent="0.3">
      <c r="B1441" s="10">
        <f t="shared" si="44"/>
        <v>2020</v>
      </c>
      <c r="C1441" s="10">
        <f t="shared" si="45"/>
        <v>10</v>
      </c>
      <c r="D1441" s="3">
        <v>44134</v>
      </c>
      <c r="E1441" s="1">
        <v>37.46</v>
      </c>
      <c r="F1441" s="1">
        <v>35.79</v>
      </c>
      <c r="G1441" s="1">
        <v>1.0812999999999999</v>
      </c>
      <c r="H1441" s="1">
        <v>1.0495000000000001</v>
      </c>
      <c r="I1441" s="1">
        <v>3.3540000000000001</v>
      </c>
      <c r="J1441" s="1">
        <v>5.7446000000000002</v>
      </c>
    </row>
    <row r="1442" spans="2:10" x14ac:dyDescent="0.3">
      <c r="B1442" s="10">
        <f t="shared" si="44"/>
        <v>2020</v>
      </c>
      <c r="C1442" s="10">
        <f t="shared" si="45"/>
        <v>10</v>
      </c>
      <c r="D1442" s="3">
        <v>44133</v>
      </c>
      <c r="E1442" s="1">
        <v>37.65</v>
      </c>
      <c r="F1442" s="1">
        <v>36.17</v>
      </c>
      <c r="G1442" s="1">
        <v>1.0884</v>
      </c>
      <c r="H1442" s="1">
        <v>1.0515000000000001</v>
      </c>
      <c r="I1442" s="1">
        <v>3.3010000000000002</v>
      </c>
      <c r="J1442" s="1">
        <v>5.7789999999999999</v>
      </c>
    </row>
    <row r="1443" spans="2:10" x14ac:dyDescent="0.3">
      <c r="B1443" s="10">
        <f t="shared" si="44"/>
        <v>2020</v>
      </c>
      <c r="C1443" s="10">
        <f t="shared" si="45"/>
        <v>10</v>
      </c>
      <c r="D1443" s="3">
        <v>44132</v>
      </c>
      <c r="E1443" s="1">
        <v>39.119999999999997</v>
      </c>
      <c r="F1443" s="1">
        <v>37.39</v>
      </c>
      <c r="G1443" s="1">
        <v>1.1142000000000001</v>
      </c>
      <c r="H1443" s="1">
        <v>1.0813999999999999</v>
      </c>
      <c r="I1443" s="1">
        <v>2.996</v>
      </c>
      <c r="J1443" s="1">
        <v>5.7457000000000003</v>
      </c>
    </row>
    <row r="1444" spans="2:10" x14ac:dyDescent="0.3">
      <c r="B1444" s="10">
        <f t="shared" si="44"/>
        <v>2020</v>
      </c>
      <c r="C1444" s="10">
        <f t="shared" si="45"/>
        <v>10</v>
      </c>
      <c r="D1444" s="3">
        <v>44131</v>
      </c>
      <c r="E1444" s="1">
        <v>41.2</v>
      </c>
      <c r="F1444" s="1">
        <v>39.57</v>
      </c>
      <c r="G1444" s="1">
        <v>1.1577</v>
      </c>
      <c r="H1444" s="1">
        <v>1.1434</v>
      </c>
      <c r="I1444" s="1">
        <v>3.0190000000000001</v>
      </c>
      <c r="J1444" s="1">
        <v>5.7054999999999998</v>
      </c>
    </row>
    <row r="1445" spans="2:10" x14ac:dyDescent="0.3">
      <c r="B1445" s="10">
        <f t="shared" si="44"/>
        <v>2020</v>
      </c>
      <c r="C1445" s="10">
        <f t="shared" si="45"/>
        <v>10</v>
      </c>
      <c r="D1445" s="3">
        <v>44130</v>
      </c>
      <c r="E1445" s="1">
        <v>40.46</v>
      </c>
      <c r="F1445" s="1">
        <v>38.56</v>
      </c>
      <c r="G1445" s="1">
        <v>1.1217999999999999</v>
      </c>
      <c r="H1445" s="1">
        <v>1.1115999999999999</v>
      </c>
      <c r="I1445" s="1">
        <v>3.024</v>
      </c>
      <c r="J1445" s="1">
        <v>5.6228999999999996</v>
      </c>
    </row>
    <row r="1446" spans="2:10" x14ac:dyDescent="0.3">
      <c r="B1446" s="10">
        <f t="shared" si="44"/>
        <v>2020</v>
      </c>
      <c r="C1446" s="10">
        <f t="shared" si="45"/>
        <v>10</v>
      </c>
      <c r="D1446" s="3">
        <v>44127</v>
      </c>
      <c r="E1446" s="1">
        <v>41.77</v>
      </c>
      <c r="F1446" s="1">
        <v>39.85</v>
      </c>
      <c r="G1446" s="1">
        <v>1.1513</v>
      </c>
      <c r="H1446" s="1">
        <v>1.1389</v>
      </c>
      <c r="I1446" s="1">
        <v>2.9710000000000001</v>
      </c>
      <c r="J1446" s="1">
        <v>5.6174999999999997</v>
      </c>
    </row>
    <row r="1447" spans="2:10" x14ac:dyDescent="0.3">
      <c r="B1447" s="10">
        <f t="shared" si="44"/>
        <v>2020</v>
      </c>
      <c r="C1447" s="10">
        <f t="shared" si="45"/>
        <v>10</v>
      </c>
      <c r="D1447" s="3">
        <v>44126</v>
      </c>
      <c r="E1447" s="1">
        <v>42.46</v>
      </c>
      <c r="F1447" s="1">
        <v>40.64</v>
      </c>
      <c r="G1447" s="1">
        <v>1.1607000000000001</v>
      </c>
      <c r="H1447" s="1">
        <v>1.1580999999999999</v>
      </c>
      <c r="I1447" s="1">
        <v>3.0070000000000001</v>
      </c>
      <c r="J1447" s="1">
        <v>5.5892999999999997</v>
      </c>
    </row>
    <row r="1448" spans="2:10" x14ac:dyDescent="0.3">
      <c r="B1448" s="10">
        <f t="shared" si="44"/>
        <v>2020</v>
      </c>
      <c r="C1448" s="10">
        <f t="shared" si="45"/>
        <v>10</v>
      </c>
      <c r="D1448" s="3">
        <v>44125</v>
      </c>
      <c r="E1448" s="1">
        <v>41.73</v>
      </c>
      <c r="F1448" s="1">
        <v>40.03</v>
      </c>
      <c r="G1448" s="1">
        <v>1.1398999999999999</v>
      </c>
      <c r="H1448" s="1">
        <v>1.1403000000000001</v>
      </c>
      <c r="I1448" s="1">
        <v>3.0230000000000001</v>
      </c>
      <c r="J1448" s="1">
        <v>5.6066000000000003</v>
      </c>
    </row>
    <row r="1449" spans="2:10" x14ac:dyDescent="0.3">
      <c r="B1449" s="10">
        <f t="shared" si="44"/>
        <v>2020</v>
      </c>
      <c r="C1449" s="10">
        <f t="shared" si="45"/>
        <v>10</v>
      </c>
      <c r="D1449" s="3">
        <v>44124</v>
      </c>
      <c r="E1449" s="1">
        <v>43.16</v>
      </c>
      <c r="F1449" s="1">
        <v>41.46</v>
      </c>
      <c r="G1449" s="1">
        <v>1.1735</v>
      </c>
      <c r="H1449" s="1">
        <v>1.1879</v>
      </c>
      <c r="I1449" s="1">
        <v>2.9129999999999998</v>
      </c>
      <c r="J1449" s="1">
        <v>5.6054000000000004</v>
      </c>
    </row>
    <row r="1450" spans="2:10" x14ac:dyDescent="0.3">
      <c r="B1450" s="10">
        <f t="shared" si="44"/>
        <v>2020</v>
      </c>
      <c r="C1450" s="10">
        <f t="shared" si="45"/>
        <v>10</v>
      </c>
      <c r="D1450" s="3">
        <v>44123</v>
      </c>
      <c r="E1450" s="1">
        <v>42.62</v>
      </c>
      <c r="F1450" s="1">
        <v>40.83</v>
      </c>
      <c r="G1450" s="1">
        <v>1.1580999999999999</v>
      </c>
      <c r="H1450" s="1">
        <v>1.1623000000000001</v>
      </c>
      <c r="I1450" s="1">
        <v>2.7949999999999999</v>
      </c>
      <c r="J1450" s="1">
        <v>5.6069000000000004</v>
      </c>
    </row>
    <row r="1451" spans="2:10" x14ac:dyDescent="0.3">
      <c r="B1451" s="10">
        <f t="shared" si="44"/>
        <v>2020</v>
      </c>
      <c r="C1451" s="10">
        <f t="shared" si="45"/>
        <v>10</v>
      </c>
      <c r="D1451" s="3">
        <v>44120</v>
      </c>
      <c r="E1451" s="1">
        <v>42.93</v>
      </c>
      <c r="F1451" s="1">
        <v>40.880000000000003</v>
      </c>
      <c r="G1451" s="1">
        <v>1.1791</v>
      </c>
      <c r="H1451" s="1">
        <v>1.1688000000000001</v>
      </c>
      <c r="I1451" s="1">
        <v>2.7730000000000001</v>
      </c>
      <c r="J1451" s="1">
        <v>5.6428000000000003</v>
      </c>
    </row>
    <row r="1452" spans="2:10" x14ac:dyDescent="0.3">
      <c r="B1452" s="10">
        <f t="shared" si="44"/>
        <v>2020</v>
      </c>
      <c r="C1452" s="10">
        <f t="shared" si="45"/>
        <v>10</v>
      </c>
      <c r="D1452" s="3">
        <v>44119</v>
      </c>
      <c r="E1452" s="1">
        <v>43.16</v>
      </c>
      <c r="F1452" s="1">
        <v>40.96</v>
      </c>
      <c r="G1452" s="1">
        <v>1.1887000000000001</v>
      </c>
      <c r="H1452" s="1">
        <v>1.18</v>
      </c>
      <c r="I1452" s="1">
        <v>2.7749999999999999</v>
      </c>
      <c r="J1452" s="1">
        <v>5.6125999999999996</v>
      </c>
    </row>
    <row r="1453" spans="2:10" x14ac:dyDescent="0.3">
      <c r="B1453" s="10">
        <f t="shared" si="44"/>
        <v>2020</v>
      </c>
      <c r="C1453" s="10">
        <f t="shared" si="45"/>
        <v>10</v>
      </c>
      <c r="D1453" s="3">
        <v>44118</v>
      </c>
      <c r="E1453" s="1">
        <v>43.32</v>
      </c>
      <c r="F1453" s="1">
        <v>41.04</v>
      </c>
      <c r="G1453" s="1">
        <v>1.1924999999999999</v>
      </c>
      <c r="H1453" s="1">
        <v>1.1971000000000001</v>
      </c>
      <c r="I1453" s="1">
        <v>2.6360000000000001</v>
      </c>
      <c r="J1453" s="1">
        <v>5.5911999999999997</v>
      </c>
    </row>
    <row r="1454" spans="2:10" x14ac:dyDescent="0.3">
      <c r="B1454" s="10">
        <f t="shared" si="44"/>
        <v>2020</v>
      </c>
      <c r="C1454" s="10">
        <f t="shared" si="45"/>
        <v>10</v>
      </c>
      <c r="D1454" s="3">
        <v>44117</v>
      </c>
      <c r="E1454" s="1">
        <v>42.45</v>
      </c>
      <c r="F1454" s="1">
        <v>40.200000000000003</v>
      </c>
      <c r="G1454" s="1">
        <v>1.169</v>
      </c>
      <c r="H1454" s="1">
        <v>1.1827000000000001</v>
      </c>
      <c r="I1454" s="1">
        <v>2.855</v>
      </c>
      <c r="J1454" s="1">
        <v>5.5693000000000001</v>
      </c>
    </row>
    <row r="1455" spans="2:10" x14ac:dyDescent="0.3">
      <c r="B1455" s="10">
        <f t="shared" si="44"/>
        <v>2020</v>
      </c>
      <c r="C1455" s="10">
        <f t="shared" si="45"/>
        <v>10</v>
      </c>
      <c r="D1455" s="3">
        <v>44116</v>
      </c>
      <c r="E1455" s="1">
        <v>41.72</v>
      </c>
      <c r="F1455" s="1">
        <v>39.43</v>
      </c>
      <c r="G1455" s="1">
        <v>1.1571</v>
      </c>
      <c r="H1455" s="1">
        <v>1.1757</v>
      </c>
      <c r="I1455" s="1">
        <v>2.8809999999999998</v>
      </c>
      <c r="J1455" s="1">
        <v>5.5316000000000001</v>
      </c>
    </row>
    <row r="1456" spans="2:10" x14ac:dyDescent="0.3">
      <c r="B1456" s="10">
        <f t="shared" si="44"/>
        <v>2020</v>
      </c>
      <c r="C1456" s="10">
        <f t="shared" si="45"/>
        <v>10</v>
      </c>
      <c r="D1456" s="3">
        <v>44113</v>
      </c>
      <c r="E1456" s="1">
        <v>42.85</v>
      </c>
      <c r="F1456" s="1">
        <v>40.6</v>
      </c>
      <c r="G1456" s="1">
        <v>1.1933</v>
      </c>
      <c r="H1456" s="1">
        <v>1.2032</v>
      </c>
      <c r="I1456" s="1">
        <v>2.7410000000000001</v>
      </c>
      <c r="J1456" s="1">
        <v>5.5317999999999996</v>
      </c>
    </row>
    <row r="1457" spans="2:10" x14ac:dyDescent="0.3">
      <c r="B1457" s="10">
        <f t="shared" si="44"/>
        <v>2020</v>
      </c>
      <c r="C1457" s="10">
        <f t="shared" si="45"/>
        <v>10</v>
      </c>
      <c r="D1457" s="3">
        <v>44112</v>
      </c>
      <c r="E1457" s="1">
        <v>43.34</v>
      </c>
      <c r="F1457" s="1">
        <v>41.19</v>
      </c>
      <c r="G1457" s="1">
        <v>1.1922999999999999</v>
      </c>
      <c r="H1457" s="1">
        <v>1.2316</v>
      </c>
      <c r="I1457" s="1">
        <v>2.6269999999999998</v>
      </c>
      <c r="J1457" s="1">
        <v>5.5987</v>
      </c>
    </row>
    <row r="1458" spans="2:10" x14ac:dyDescent="0.3">
      <c r="B1458" s="10">
        <f t="shared" si="44"/>
        <v>2020</v>
      </c>
      <c r="C1458" s="10">
        <f t="shared" si="45"/>
        <v>10</v>
      </c>
      <c r="D1458" s="3">
        <v>44111</v>
      </c>
      <c r="E1458" s="1">
        <v>41.99</v>
      </c>
      <c r="F1458" s="1">
        <v>39.950000000000003</v>
      </c>
      <c r="G1458" s="1">
        <v>1.1608000000000001</v>
      </c>
      <c r="H1458" s="1">
        <v>1.2009000000000001</v>
      </c>
      <c r="I1458" s="1">
        <v>2.6059999999999999</v>
      </c>
      <c r="J1458" s="1">
        <v>5.6097000000000001</v>
      </c>
    </row>
    <row r="1459" spans="2:10" x14ac:dyDescent="0.3">
      <c r="B1459" s="10">
        <f t="shared" si="44"/>
        <v>2020</v>
      </c>
      <c r="C1459" s="10">
        <f t="shared" si="45"/>
        <v>10</v>
      </c>
      <c r="D1459" s="3">
        <v>44110</v>
      </c>
      <c r="E1459" s="1">
        <v>42.65</v>
      </c>
      <c r="F1459" s="1">
        <v>40.67</v>
      </c>
      <c r="G1459" s="1">
        <v>1.1886000000000001</v>
      </c>
      <c r="H1459" s="1">
        <v>1.2351000000000001</v>
      </c>
      <c r="I1459" s="1">
        <v>2.52</v>
      </c>
      <c r="J1459" s="1">
        <v>5.593</v>
      </c>
    </row>
    <row r="1460" spans="2:10" x14ac:dyDescent="0.3">
      <c r="B1460" s="10">
        <f t="shared" si="44"/>
        <v>2020</v>
      </c>
      <c r="C1460" s="10">
        <f t="shared" si="45"/>
        <v>10</v>
      </c>
      <c r="D1460" s="3">
        <v>44109</v>
      </c>
      <c r="E1460" s="1">
        <v>41.29</v>
      </c>
      <c r="F1460" s="1">
        <v>39.22</v>
      </c>
      <c r="G1460" s="1">
        <v>1.1333</v>
      </c>
      <c r="H1460" s="1">
        <v>1.1940999999999999</v>
      </c>
      <c r="I1460" s="1">
        <v>2.6150000000000002</v>
      </c>
      <c r="J1460" s="1">
        <v>5.5743</v>
      </c>
    </row>
    <row r="1461" spans="2:10" x14ac:dyDescent="0.3">
      <c r="B1461" s="10">
        <f t="shared" si="44"/>
        <v>2020</v>
      </c>
      <c r="C1461" s="10">
        <f t="shared" si="45"/>
        <v>10</v>
      </c>
      <c r="D1461" s="3">
        <v>44106</v>
      </c>
      <c r="E1461" s="1">
        <v>39.270000000000003</v>
      </c>
      <c r="F1461" s="1">
        <v>37.049999999999997</v>
      </c>
      <c r="G1461" s="1">
        <v>1.085</v>
      </c>
      <c r="H1461" s="1">
        <v>1.1234999999999999</v>
      </c>
      <c r="I1461" s="1">
        <v>2.4380000000000002</v>
      </c>
      <c r="J1461" s="1">
        <v>5.6851000000000003</v>
      </c>
    </row>
    <row r="1462" spans="2:10" x14ac:dyDescent="0.3">
      <c r="B1462" s="10">
        <f t="shared" si="44"/>
        <v>2020</v>
      </c>
      <c r="C1462" s="10">
        <f t="shared" si="45"/>
        <v>10</v>
      </c>
      <c r="D1462" s="3">
        <v>44105</v>
      </c>
      <c r="E1462" s="1">
        <v>40.93</v>
      </c>
      <c r="F1462" s="1">
        <v>38.72</v>
      </c>
      <c r="G1462" s="1">
        <v>1.125</v>
      </c>
      <c r="H1462" s="1">
        <v>1.1524000000000001</v>
      </c>
      <c r="I1462" s="1">
        <v>2.5270000000000001</v>
      </c>
      <c r="J1462" s="1">
        <v>5.6436999999999999</v>
      </c>
    </row>
    <row r="1463" spans="2:10" x14ac:dyDescent="0.3">
      <c r="B1463" s="10">
        <f t="shared" si="44"/>
        <v>2020</v>
      </c>
      <c r="C1463" s="10">
        <f t="shared" si="45"/>
        <v>9</v>
      </c>
      <c r="D1463" s="3">
        <v>44104</v>
      </c>
      <c r="E1463" s="1">
        <v>40.950000000000003</v>
      </c>
      <c r="F1463" s="1">
        <v>40.22</v>
      </c>
      <c r="G1463" s="1">
        <v>1.1454</v>
      </c>
      <c r="H1463" s="1">
        <v>1.2008000000000001</v>
      </c>
      <c r="I1463" s="1">
        <v>2.5270000000000001</v>
      </c>
      <c r="J1463" s="1">
        <v>5.6112000000000002</v>
      </c>
    </row>
    <row r="1464" spans="2:10" x14ac:dyDescent="0.3">
      <c r="B1464" s="10">
        <f t="shared" si="44"/>
        <v>2020</v>
      </c>
      <c r="C1464" s="10">
        <f t="shared" si="45"/>
        <v>9</v>
      </c>
      <c r="D1464" s="3">
        <v>44103</v>
      </c>
      <c r="E1464" s="1">
        <v>41.03</v>
      </c>
      <c r="F1464" s="1">
        <v>39.29</v>
      </c>
      <c r="G1464" s="1">
        <v>1.109</v>
      </c>
      <c r="H1464" s="1">
        <v>1.2017</v>
      </c>
      <c r="I1464" s="1">
        <v>2.5609999999999999</v>
      </c>
      <c r="J1464" s="1">
        <v>5.6344000000000003</v>
      </c>
    </row>
    <row r="1465" spans="2:10" x14ac:dyDescent="0.3">
      <c r="B1465" s="10">
        <f t="shared" si="44"/>
        <v>2020</v>
      </c>
      <c r="C1465" s="10">
        <f t="shared" si="45"/>
        <v>9</v>
      </c>
      <c r="D1465" s="3">
        <v>44102</v>
      </c>
      <c r="E1465" s="1">
        <v>42.43</v>
      </c>
      <c r="F1465" s="1">
        <v>40.6</v>
      </c>
      <c r="G1465" s="1">
        <v>1.1395</v>
      </c>
      <c r="H1465" s="1">
        <v>1.2465999999999999</v>
      </c>
      <c r="I1465" s="1">
        <v>2.101</v>
      </c>
      <c r="J1465" s="1">
        <v>5.6627000000000001</v>
      </c>
    </row>
    <row r="1466" spans="2:10" x14ac:dyDescent="0.3">
      <c r="B1466" s="10">
        <f t="shared" si="44"/>
        <v>2020</v>
      </c>
      <c r="C1466" s="10">
        <f t="shared" si="45"/>
        <v>9</v>
      </c>
      <c r="D1466" s="3">
        <v>44099</v>
      </c>
      <c r="E1466" s="1">
        <v>41.92</v>
      </c>
      <c r="F1466" s="1">
        <v>40.25</v>
      </c>
      <c r="G1466" s="1">
        <v>1.1262000000000001</v>
      </c>
      <c r="H1466" s="1">
        <v>1.2141999999999999</v>
      </c>
      <c r="I1466" s="1">
        <v>2.1389999999999998</v>
      </c>
      <c r="J1466" s="1">
        <v>5.5624000000000002</v>
      </c>
    </row>
    <row r="1467" spans="2:10" x14ac:dyDescent="0.3">
      <c r="B1467" s="10">
        <f t="shared" si="44"/>
        <v>2020</v>
      </c>
      <c r="C1467" s="10">
        <f t="shared" si="45"/>
        <v>9</v>
      </c>
      <c r="D1467" s="3">
        <v>44098</v>
      </c>
      <c r="E1467" s="1">
        <v>41.94</v>
      </c>
      <c r="F1467" s="1">
        <v>40.31</v>
      </c>
      <c r="G1467" s="1">
        <v>1.1167</v>
      </c>
      <c r="H1467" s="1">
        <v>1.1957</v>
      </c>
      <c r="I1467" s="1">
        <v>2.2480000000000002</v>
      </c>
      <c r="J1467" s="1">
        <v>5.5088999999999997</v>
      </c>
    </row>
    <row r="1468" spans="2:10" x14ac:dyDescent="0.3">
      <c r="B1468" s="10">
        <f t="shared" si="44"/>
        <v>2020</v>
      </c>
      <c r="C1468" s="10">
        <f t="shared" si="45"/>
        <v>9</v>
      </c>
      <c r="D1468" s="3">
        <v>44097</v>
      </c>
      <c r="E1468" s="1">
        <v>41.77</v>
      </c>
      <c r="F1468" s="1">
        <v>39.93</v>
      </c>
      <c r="G1468" s="1">
        <v>1.1074999999999999</v>
      </c>
      <c r="H1468" s="1">
        <v>1.1813</v>
      </c>
      <c r="I1468" s="1">
        <v>2.125</v>
      </c>
      <c r="J1468" s="1">
        <v>5.5942999999999996</v>
      </c>
    </row>
    <row r="1469" spans="2:10" x14ac:dyDescent="0.3">
      <c r="B1469" s="10">
        <f t="shared" si="44"/>
        <v>2020</v>
      </c>
      <c r="C1469" s="10">
        <f t="shared" si="45"/>
        <v>9</v>
      </c>
      <c r="D1469" s="3">
        <v>44096</v>
      </c>
      <c r="E1469" s="1">
        <v>41.72</v>
      </c>
      <c r="F1469" s="1">
        <v>39.6</v>
      </c>
      <c r="G1469" s="1">
        <v>1.0961000000000001</v>
      </c>
      <c r="H1469" s="1">
        <v>1.1642999999999999</v>
      </c>
      <c r="I1469" s="1">
        <v>1.8340000000000001</v>
      </c>
      <c r="J1469" s="1">
        <v>5.4703999999999997</v>
      </c>
    </row>
    <row r="1470" spans="2:10" x14ac:dyDescent="0.3">
      <c r="B1470" s="10">
        <f t="shared" si="44"/>
        <v>2020</v>
      </c>
      <c r="C1470" s="10">
        <f t="shared" si="45"/>
        <v>9</v>
      </c>
      <c r="D1470" s="3">
        <v>44095</v>
      </c>
      <c r="E1470" s="1">
        <v>41.44</v>
      </c>
      <c r="F1470" s="1">
        <v>39.31</v>
      </c>
      <c r="G1470" s="1">
        <v>1.1073</v>
      </c>
      <c r="H1470" s="1">
        <v>1.1771</v>
      </c>
      <c r="I1470" s="1">
        <v>1.835</v>
      </c>
      <c r="J1470" s="1">
        <v>5.4131</v>
      </c>
    </row>
    <row r="1471" spans="2:10" x14ac:dyDescent="0.3">
      <c r="B1471" s="10">
        <f t="shared" si="44"/>
        <v>2020</v>
      </c>
      <c r="C1471" s="10">
        <f t="shared" si="45"/>
        <v>9</v>
      </c>
      <c r="D1471" s="3">
        <v>44092</v>
      </c>
      <c r="E1471" s="1">
        <v>43.15</v>
      </c>
      <c r="F1471" s="1">
        <v>41.11</v>
      </c>
      <c r="G1471" s="1">
        <v>1.159</v>
      </c>
      <c r="H1471" s="1">
        <v>1.2365999999999999</v>
      </c>
      <c r="I1471" s="1">
        <v>2.048</v>
      </c>
      <c r="J1471" s="1">
        <v>5.3875999999999999</v>
      </c>
    </row>
    <row r="1472" spans="2:10" x14ac:dyDescent="0.3">
      <c r="B1472" s="10">
        <f t="shared" si="44"/>
        <v>2020</v>
      </c>
      <c r="C1472" s="10">
        <f t="shared" si="45"/>
        <v>9</v>
      </c>
      <c r="D1472" s="3">
        <v>44091</v>
      </c>
      <c r="E1472" s="1">
        <v>43.3</v>
      </c>
      <c r="F1472" s="1">
        <v>40.97</v>
      </c>
      <c r="G1472" s="1">
        <v>1.1597999999999999</v>
      </c>
      <c r="H1472" s="1">
        <v>1.2243999999999999</v>
      </c>
      <c r="I1472" s="1">
        <v>2.0419999999999998</v>
      </c>
      <c r="J1472" s="1">
        <v>5.2393999999999998</v>
      </c>
    </row>
    <row r="1473" spans="2:10" x14ac:dyDescent="0.3">
      <c r="B1473" s="10">
        <f t="shared" si="44"/>
        <v>2020</v>
      </c>
      <c r="C1473" s="10">
        <f t="shared" si="45"/>
        <v>9</v>
      </c>
      <c r="D1473" s="3">
        <v>44090</v>
      </c>
      <c r="E1473" s="1">
        <v>42.22</v>
      </c>
      <c r="F1473" s="1">
        <v>40.159999999999997</v>
      </c>
      <c r="G1473" s="1">
        <v>1.1163000000000001</v>
      </c>
      <c r="H1473" s="1">
        <v>1.1889000000000001</v>
      </c>
      <c r="I1473" s="1">
        <v>2.2669999999999999</v>
      </c>
      <c r="J1473" s="1">
        <v>5.2377000000000002</v>
      </c>
    </row>
    <row r="1474" spans="2:10" x14ac:dyDescent="0.3">
      <c r="B1474" s="10">
        <f t="shared" si="44"/>
        <v>2020</v>
      </c>
      <c r="C1474" s="10">
        <f t="shared" si="45"/>
        <v>9</v>
      </c>
      <c r="D1474" s="3">
        <v>44089</v>
      </c>
      <c r="E1474" s="1">
        <v>40.53</v>
      </c>
      <c r="F1474" s="1">
        <v>38.28</v>
      </c>
      <c r="G1474" s="1">
        <v>1.0992999999999999</v>
      </c>
      <c r="H1474" s="1">
        <v>1.1380999999999999</v>
      </c>
      <c r="I1474" s="1">
        <v>2.3620000000000001</v>
      </c>
      <c r="J1474" s="1">
        <v>5.2747999999999999</v>
      </c>
    </row>
    <row r="1475" spans="2:10" x14ac:dyDescent="0.3">
      <c r="B1475" s="10">
        <f t="shared" si="44"/>
        <v>2020</v>
      </c>
      <c r="C1475" s="10">
        <f t="shared" si="45"/>
        <v>9</v>
      </c>
      <c r="D1475" s="3">
        <v>44088</v>
      </c>
      <c r="E1475" s="1">
        <v>39.61</v>
      </c>
      <c r="F1475" s="1">
        <v>37.26</v>
      </c>
      <c r="G1475" s="1">
        <v>1.0933999999999999</v>
      </c>
      <c r="H1475" s="1">
        <v>1.1068</v>
      </c>
      <c r="I1475" s="1">
        <v>2.31</v>
      </c>
      <c r="J1475" s="1">
        <v>5.2706</v>
      </c>
    </row>
    <row r="1476" spans="2:10" x14ac:dyDescent="0.3">
      <c r="B1476" s="10">
        <f t="shared" si="44"/>
        <v>2020</v>
      </c>
      <c r="C1476" s="10">
        <f t="shared" si="45"/>
        <v>9</v>
      </c>
      <c r="D1476" s="3">
        <v>44085</v>
      </c>
      <c r="E1476" s="1">
        <v>39.83</v>
      </c>
      <c r="F1476" s="1">
        <v>37.33</v>
      </c>
      <c r="G1476" s="1">
        <v>1.0895999999999999</v>
      </c>
      <c r="H1476" s="1">
        <v>1.0949</v>
      </c>
      <c r="I1476" s="1">
        <v>2.2690000000000001</v>
      </c>
      <c r="J1476" s="1">
        <v>5.3189000000000002</v>
      </c>
    </row>
    <row r="1477" spans="2:10" x14ac:dyDescent="0.3">
      <c r="B1477" s="10">
        <f t="shared" si="44"/>
        <v>2020</v>
      </c>
      <c r="C1477" s="10">
        <f t="shared" si="45"/>
        <v>9</v>
      </c>
      <c r="D1477" s="3">
        <v>44084</v>
      </c>
      <c r="E1477" s="1">
        <v>40.06</v>
      </c>
      <c r="F1477" s="1">
        <v>37.299999999999997</v>
      </c>
      <c r="G1477" s="1">
        <v>1.0824</v>
      </c>
      <c r="H1477" s="1">
        <v>1.0976999999999999</v>
      </c>
      <c r="I1477" s="1">
        <v>2.323</v>
      </c>
      <c r="J1477" s="1">
        <v>5.3209999999999997</v>
      </c>
    </row>
    <row r="1478" spans="2:10" x14ac:dyDescent="0.3">
      <c r="B1478" s="10">
        <f t="shared" ref="B1478:B1541" si="46">YEAR(D1478)</f>
        <v>2020</v>
      </c>
      <c r="C1478" s="10">
        <f t="shared" ref="C1478:C1541" si="47">MONTH(D1478)</f>
        <v>9</v>
      </c>
      <c r="D1478" s="3">
        <v>44083</v>
      </c>
      <c r="E1478" s="1">
        <v>40.79</v>
      </c>
      <c r="F1478" s="1">
        <v>38.049999999999997</v>
      </c>
      <c r="G1478" s="1">
        <v>1.1061000000000001</v>
      </c>
      <c r="H1478" s="1">
        <v>1.1193</v>
      </c>
      <c r="I1478" s="1">
        <v>2.4060000000000001</v>
      </c>
      <c r="J1478" s="1">
        <v>5.3078000000000003</v>
      </c>
    </row>
    <row r="1479" spans="2:10" x14ac:dyDescent="0.3">
      <c r="B1479" s="10">
        <f t="shared" si="46"/>
        <v>2020</v>
      </c>
      <c r="C1479" s="10">
        <f t="shared" si="47"/>
        <v>9</v>
      </c>
      <c r="D1479" s="3">
        <v>44082</v>
      </c>
      <c r="E1479" s="1">
        <v>39.78</v>
      </c>
      <c r="F1479" s="1">
        <v>36.76</v>
      </c>
      <c r="G1479" s="1">
        <v>1.0768</v>
      </c>
      <c r="H1479" s="1">
        <v>1.1028</v>
      </c>
      <c r="I1479" s="1">
        <v>2.4</v>
      </c>
      <c r="J1479" s="1">
        <v>5.3638000000000003</v>
      </c>
    </row>
    <row r="1480" spans="2:10" x14ac:dyDescent="0.3">
      <c r="B1480" s="10">
        <f t="shared" si="46"/>
        <v>2020</v>
      </c>
      <c r="C1480" s="10">
        <f t="shared" si="47"/>
        <v>9</v>
      </c>
      <c r="D1480" s="3">
        <v>44081</v>
      </c>
      <c r="E1480" s="1">
        <v>42.01</v>
      </c>
      <c r="J1480" s="1">
        <v>5.2995000000000001</v>
      </c>
    </row>
    <row r="1481" spans="2:10" x14ac:dyDescent="0.3">
      <c r="B1481" s="10">
        <f t="shared" si="46"/>
        <v>2020</v>
      </c>
      <c r="C1481" s="10">
        <f t="shared" si="47"/>
        <v>9</v>
      </c>
      <c r="D1481" s="3">
        <v>44078</v>
      </c>
      <c r="E1481" s="1">
        <v>42.66</v>
      </c>
      <c r="F1481" s="1">
        <v>39.770000000000003</v>
      </c>
      <c r="G1481" s="1">
        <v>1.1515</v>
      </c>
      <c r="H1481" s="1">
        <v>1.1772</v>
      </c>
      <c r="I1481" s="1">
        <v>2.5880000000000001</v>
      </c>
      <c r="J1481" s="1">
        <v>5.3011999999999997</v>
      </c>
    </row>
    <row r="1482" spans="2:10" x14ac:dyDescent="0.3">
      <c r="B1482" s="10">
        <f t="shared" si="46"/>
        <v>2020</v>
      </c>
      <c r="C1482" s="10">
        <f t="shared" si="47"/>
        <v>9</v>
      </c>
      <c r="D1482" s="3">
        <v>44077</v>
      </c>
      <c r="E1482" s="1">
        <v>44.07</v>
      </c>
      <c r="F1482" s="1">
        <v>41.37</v>
      </c>
      <c r="G1482" s="1">
        <v>1.1677</v>
      </c>
      <c r="H1482" s="1">
        <v>1.2049000000000001</v>
      </c>
      <c r="I1482" s="1">
        <v>2.4870000000000001</v>
      </c>
      <c r="J1482" s="1">
        <v>5.2914000000000003</v>
      </c>
    </row>
    <row r="1483" spans="2:10" x14ac:dyDescent="0.3">
      <c r="B1483" s="10">
        <f t="shared" si="46"/>
        <v>2020</v>
      </c>
      <c r="C1483" s="10">
        <f t="shared" si="47"/>
        <v>9</v>
      </c>
      <c r="D1483" s="3">
        <v>44076</v>
      </c>
      <c r="E1483" s="1">
        <v>44.43</v>
      </c>
      <c r="F1483" s="1">
        <v>41.51</v>
      </c>
      <c r="G1483" s="1">
        <v>1.1884999999999999</v>
      </c>
      <c r="H1483" s="1">
        <v>1.202</v>
      </c>
      <c r="I1483" s="1">
        <v>2.4860000000000002</v>
      </c>
      <c r="J1483" s="1">
        <v>5.3403</v>
      </c>
    </row>
    <row r="1484" spans="2:10" x14ac:dyDescent="0.3">
      <c r="B1484" s="10">
        <f t="shared" si="46"/>
        <v>2020</v>
      </c>
      <c r="C1484" s="10">
        <f t="shared" si="47"/>
        <v>9</v>
      </c>
      <c r="D1484" s="3">
        <v>44075</v>
      </c>
      <c r="E1484" s="1">
        <v>45.58</v>
      </c>
      <c r="F1484" s="1">
        <v>42.76</v>
      </c>
      <c r="G1484" s="1">
        <v>1.2307999999999999</v>
      </c>
      <c r="H1484" s="1">
        <v>1.2246999999999999</v>
      </c>
      <c r="I1484" s="1">
        <v>2.5270000000000001</v>
      </c>
      <c r="J1484" s="1">
        <v>5.3959999999999999</v>
      </c>
    </row>
    <row r="1485" spans="2:10" x14ac:dyDescent="0.3">
      <c r="B1485" s="10">
        <f t="shared" si="46"/>
        <v>2020</v>
      </c>
      <c r="C1485" s="10">
        <f t="shared" si="47"/>
        <v>8</v>
      </c>
      <c r="D1485" s="3">
        <v>44074</v>
      </c>
      <c r="E1485" s="1">
        <v>45.28</v>
      </c>
      <c r="F1485" s="1">
        <v>42.61</v>
      </c>
      <c r="G1485" s="1">
        <v>1.1960999999999999</v>
      </c>
      <c r="H1485" s="1">
        <v>1.2761</v>
      </c>
      <c r="I1485" s="1">
        <v>2.63</v>
      </c>
      <c r="J1485" s="1">
        <v>5.4913999999999996</v>
      </c>
    </row>
    <row r="1486" spans="2:10" x14ac:dyDescent="0.3">
      <c r="B1486" s="10">
        <f t="shared" si="46"/>
        <v>2020</v>
      </c>
      <c r="C1486" s="10">
        <f t="shared" si="47"/>
        <v>8</v>
      </c>
      <c r="D1486" s="3">
        <v>44071</v>
      </c>
      <c r="E1486" s="1">
        <v>45.05</v>
      </c>
      <c r="F1486" s="1">
        <v>42.97</v>
      </c>
      <c r="G1486" s="1">
        <v>1.2161999999999999</v>
      </c>
      <c r="H1486" s="1">
        <v>1.3154999999999999</v>
      </c>
      <c r="I1486" s="1">
        <v>2.657</v>
      </c>
      <c r="J1486" s="1">
        <v>5.3880999999999997</v>
      </c>
    </row>
    <row r="1487" spans="2:10" x14ac:dyDescent="0.3">
      <c r="B1487" s="10">
        <f t="shared" si="46"/>
        <v>2020</v>
      </c>
      <c r="C1487" s="10">
        <f t="shared" si="47"/>
        <v>8</v>
      </c>
      <c r="D1487" s="3">
        <v>44070</v>
      </c>
      <c r="E1487" s="1">
        <v>45.09</v>
      </c>
      <c r="F1487" s="1">
        <v>43.04</v>
      </c>
      <c r="G1487" s="1">
        <v>1.2107000000000001</v>
      </c>
      <c r="H1487" s="1">
        <v>1.2845</v>
      </c>
      <c r="I1487" s="1">
        <v>2.5790000000000002</v>
      </c>
      <c r="J1487" s="1">
        <v>5.5690999999999997</v>
      </c>
    </row>
    <row r="1488" spans="2:10" x14ac:dyDescent="0.3">
      <c r="B1488" s="10">
        <f t="shared" si="46"/>
        <v>2020</v>
      </c>
      <c r="C1488" s="10">
        <f t="shared" si="47"/>
        <v>8</v>
      </c>
      <c r="D1488" s="3">
        <v>44069</v>
      </c>
      <c r="E1488" s="1">
        <v>45.64</v>
      </c>
      <c r="F1488" s="1">
        <v>43.39</v>
      </c>
      <c r="G1488" s="1">
        <v>1.2446999999999999</v>
      </c>
      <c r="H1488" s="1">
        <v>1.3606</v>
      </c>
      <c r="I1488" s="1">
        <v>2.4609999999999999</v>
      </c>
      <c r="J1488" s="1">
        <v>5.6054000000000004</v>
      </c>
    </row>
    <row r="1489" spans="2:10" x14ac:dyDescent="0.3">
      <c r="B1489" s="10">
        <f t="shared" si="46"/>
        <v>2020</v>
      </c>
      <c r="C1489" s="10">
        <f t="shared" si="47"/>
        <v>8</v>
      </c>
      <c r="D1489" s="3">
        <v>44068</v>
      </c>
      <c r="E1489" s="1">
        <v>45.86</v>
      </c>
      <c r="F1489" s="1">
        <v>43.35</v>
      </c>
      <c r="G1489" s="1">
        <v>1.2601</v>
      </c>
      <c r="H1489" s="1">
        <v>1.3958999999999999</v>
      </c>
      <c r="I1489" s="1">
        <v>2.4889999999999999</v>
      </c>
      <c r="J1489" s="1">
        <v>5.5075000000000003</v>
      </c>
    </row>
    <row r="1490" spans="2:10" x14ac:dyDescent="0.3">
      <c r="B1490" s="10">
        <f t="shared" si="46"/>
        <v>2020</v>
      </c>
      <c r="C1490" s="10">
        <f t="shared" si="47"/>
        <v>8</v>
      </c>
      <c r="D1490" s="3">
        <v>44067</v>
      </c>
      <c r="E1490" s="1">
        <v>45.13</v>
      </c>
      <c r="F1490" s="1">
        <v>42.62</v>
      </c>
      <c r="G1490" s="1">
        <v>1.2476</v>
      </c>
      <c r="H1490" s="1">
        <v>1.3671</v>
      </c>
      <c r="I1490" s="1">
        <v>2.5129999999999999</v>
      </c>
      <c r="J1490" s="1">
        <v>5.61</v>
      </c>
    </row>
    <row r="1491" spans="2:10" x14ac:dyDescent="0.3">
      <c r="B1491" s="10">
        <f t="shared" si="46"/>
        <v>2020</v>
      </c>
      <c r="C1491" s="10">
        <f t="shared" si="47"/>
        <v>8</v>
      </c>
      <c r="D1491" s="3">
        <v>44064</v>
      </c>
      <c r="E1491" s="1">
        <v>44.35</v>
      </c>
      <c r="F1491" s="1">
        <v>42.34</v>
      </c>
      <c r="G1491" s="1">
        <v>1.208</v>
      </c>
      <c r="H1491" s="1">
        <v>1.2841</v>
      </c>
      <c r="I1491" s="1">
        <v>2.448</v>
      </c>
      <c r="J1491" s="1">
        <v>5.6192000000000002</v>
      </c>
    </row>
    <row r="1492" spans="2:10" x14ac:dyDescent="0.3">
      <c r="B1492" s="10">
        <f t="shared" si="46"/>
        <v>2020</v>
      </c>
      <c r="C1492" s="10">
        <f t="shared" si="47"/>
        <v>8</v>
      </c>
      <c r="D1492" s="3">
        <v>44063</v>
      </c>
      <c r="E1492" s="1">
        <v>44.9</v>
      </c>
      <c r="F1492" s="1">
        <v>42.58</v>
      </c>
      <c r="G1492" s="1">
        <v>1.2466999999999999</v>
      </c>
      <c r="H1492" s="1">
        <v>1.2965</v>
      </c>
      <c r="I1492" s="1">
        <v>2.3519999999999999</v>
      </c>
      <c r="J1492" s="1">
        <v>5.5568</v>
      </c>
    </row>
    <row r="1493" spans="2:10" x14ac:dyDescent="0.3">
      <c r="B1493" s="10">
        <f t="shared" si="46"/>
        <v>2020</v>
      </c>
      <c r="C1493" s="10">
        <f t="shared" si="47"/>
        <v>8</v>
      </c>
      <c r="D1493" s="3">
        <v>44062</v>
      </c>
      <c r="E1493" s="1">
        <v>45.37</v>
      </c>
      <c r="F1493" s="1">
        <v>42.93</v>
      </c>
      <c r="G1493" s="1">
        <v>1.2509999999999999</v>
      </c>
      <c r="H1493" s="1">
        <v>1.2905</v>
      </c>
      <c r="I1493" s="1">
        <v>2.4260000000000002</v>
      </c>
      <c r="J1493" s="1">
        <v>5.5575000000000001</v>
      </c>
    </row>
    <row r="1494" spans="2:10" x14ac:dyDescent="0.3">
      <c r="B1494" s="10">
        <f t="shared" si="46"/>
        <v>2020</v>
      </c>
      <c r="C1494" s="10">
        <f t="shared" si="47"/>
        <v>8</v>
      </c>
      <c r="D1494" s="3">
        <v>44061</v>
      </c>
      <c r="E1494" s="1">
        <v>45.46</v>
      </c>
      <c r="F1494" s="1">
        <v>42.89</v>
      </c>
      <c r="G1494" s="1">
        <v>1.2604</v>
      </c>
      <c r="H1494" s="1">
        <v>1.2829999999999999</v>
      </c>
      <c r="I1494" s="1">
        <v>2.4169999999999998</v>
      </c>
      <c r="J1494" s="1">
        <v>5.4665999999999997</v>
      </c>
    </row>
    <row r="1495" spans="2:10" x14ac:dyDescent="0.3">
      <c r="B1495" s="10">
        <f t="shared" si="46"/>
        <v>2020</v>
      </c>
      <c r="C1495" s="10">
        <f t="shared" si="47"/>
        <v>8</v>
      </c>
      <c r="D1495" s="3">
        <v>44060</v>
      </c>
      <c r="E1495" s="1">
        <v>45.37</v>
      </c>
      <c r="F1495" s="1">
        <v>42.89</v>
      </c>
      <c r="G1495" s="1">
        <v>1.2391000000000001</v>
      </c>
      <c r="H1495" s="1">
        <v>1.27</v>
      </c>
      <c r="I1495" s="1">
        <v>2.339</v>
      </c>
      <c r="J1495" s="1">
        <v>5.5090000000000003</v>
      </c>
    </row>
    <row r="1496" spans="2:10" x14ac:dyDescent="0.3">
      <c r="B1496" s="10">
        <f t="shared" si="46"/>
        <v>2020</v>
      </c>
      <c r="C1496" s="10">
        <f t="shared" si="47"/>
        <v>8</v>
      </c>
      <c r="D1496" s="3">
        <v>44057</v>
      </c>
      <c r="E1496" s="1">
        <v>44.8</v>
      </c>
      <c r="F1496" s="1">
        <v>42.01</v>
      </c>
      <c r="G1496" s="1">
        <v>1.2366999999999999</v>
      </c>
      <c r="H1496" s="1">
        <v>1.2445999999999999</v>
      </c>
      <c r="I1496" s="1">
        <v>2.3559999999999999</v>
      </c>
      <c r="J1496" s="1">
        <v>5.4203999999999999</v>
      </c>
    </row>
    <row r="1497" spans="2:10" x14ac:dyDescent="0.3">
      <c r="B1497" s="10">
        <f t="shared" si="46"/>
        <v>2020</v>
      </c>
      <c r="C1497" s="10">
        <f t="shared" si="47"/>
        <v>8</v>
      </c>
      <c r="D1497" s="3">
        <v>44056</v>
      </c>
      <c r="E1497" s="1">
        <v>44.96</v>
      </c>
      <c r="F1497" s="1">
        <v>42.24</v>
      </c>
      <c r="G1497" s="1">
        <v>1.2381</v>
      </c>
      <c r="H1497" s="1">
        <v>1.2347999999999999</v>
      </c>
      <c r="I1497" s="1">
        <v>2.1819999999999999</v>
      </c>
      <c r="J1497" s="1">
        <v>5.3689999999999998</v>
      </c>
    </row>
    <row r="1498" spans="2:10" x14ac:dyDescent="0.3">
      <c r="B1498" s="10">
        <f t="shared" si="46"/>
        <v>2020</v>
      </c>
      <c r="C1498" s="10">
        <f t="shared" si="47"/>
        <v>8</v>
      </c>
      <c r="D1498" s="3">
        <v>44055</v>
      </c>
      <c r="E1498" s="1">
        <v>45.43</v>
      </c>
      <c r="F1498" s="1">
        <v>42.67</v>
      </c>
      <c r="G1498" s="1">
        <v>1.2572000000000001</v>
      </c>
      <c r="H1498" s="1">
        <v>1.2438</v>
      </c>
      <c r="I1498" s="1">
        <v>2.1520000000000001</v>
      </c>
      <c r="J1498" s="1">
        <v>5.4333</v>
      </c>
    </row>
    <row r="1499" spans="2:10" x14ac:dyDescent="0.3">
      <c r="B1499" s="10">
        <f t="shared" si="46"/>
        <v>2020</v>
      </c>
      <c r="C1499" s="10">
        <f t="shared" si="47"/>
        <v>8</v>
      </c>
      <c r="D1499" s="3">
        <v>44054</v>
      </c>
      <c r="E1499" s="1">
        <v>44.5</v>
      </c>
      <c r="F1499" s="1">
        <v>41.61</v>
      </c>
      <c r="G1499" s="1">
        <v>1.2383999999999999</v>
      </c>
      <c r="H1499" s="1">
        <v>1.2044999999999999</v>
      </c>
      <c r="I1499" s="1">
        <v>2.1709999999999998</v>
      </c>
      <c r="J1499" s="1">
        <v>5.38</v>
      </c>
    </row>
    <row r="1500" spans="2:10" x14ac:dyDescent="0.3">
      <c r="B1500" s="10">
        <f t="shared" si="46"/>
        <v>2020</v>
      </c>
      <c r="C1500" s="10">
        <f t="shared" si="47"/>
        <v>8</v>
      </c>
      <c r="D1500" s="3">
        <v>44053</v>
      </c>
      <c r="E1500" s="1">
        <v>44.99</v>
      </c>
      <c r="F1500" s="1">
        <v>41.94</v>
      </c>
      <c r="G1500" s="1">
        <v>1.2369000000000001</v>
      </c>
      <c r="H1500" s="1">
        <v>1.2293000000000001</v>
      </c>
      <c r="I1500" s="1">
        <v>2.153</v>
      </c>
      <c r="J1500" s="1">
        <v>5.4812000000000003</v>
      </c>
    </row>
    <row r="1501" spans="2:10" x14ac:dyDescent="0.3">
      <c r="B1501" s="10">
        <f t="shared" si="46"/>
        <v>2020</v>
      </c>
      <c r="C1501" s="10">
        <f t="shared" si="47"/>
        <v>8</v>
      </c>
      <c r="D1501" s="3">
        <v>44050</v>
      </c>
      <c r="E1501" s="1">
        <v>44.4</v>
      </c>
      <c r="F1501" s="1">
        <v>41.22</v>
      </c>
      <c r="G1501" s="1">
        <v>1.2199</v>
      </c>
      <c r="H1501" s="1">
        <v>1.2076</v>
      </c>
      <c r="I1501" s="1">
        <v>2.238</v>
      </c>
      <c r="J1501" s="1">
        <v>5.4382999999999999</v>
      </c>
    </row>
    <row r="1502" spans="2:10" x14ac:dyDescent="0.3">
      <c r="B1502" s="10">
        <f t="shared" si="46"/>
        <v>2020</v>
      </c>
      <c r="C1502" s="10">
        <f t="shared" si="47"/>
        <v>8</v>
      </c>
      <c r="D1502" s="3">
        <v>44049</v>
      </c>
      <c r="E1502" s="1">
        <v>45.09</v>
      </c>
      <c r="F1502" s="1">
        <v>41.95</v>
      </c>
      <c r="G1502" s="1">
        <v>1.2499</v>
      </c>
      <c r="H1502" s="1">
        <v>1.2281</v>
      </c>
      <c r="I1502" s="1">
        <v>2.165</v>
      </c>
      <c r="J1502" s="1">
        <v>5.3315000000000001</v>
      </c>
    </row>
    <row r="1503" spans="2:10" x14ac:dyDescent="0.3">
      <c r="B1503" s="10">
        <f t="shared" si="46"/>
        <v>2020</v>
      </c>
      <c r="C1503" s="10">
        <f t="shared" si="47"/>
        <v>8</v>
      </c>
      <c r="D1503" s="3">
        <v>44048</v>
      </c>
      <c r="E1503" s="1">
        <v>45.17</v>
      </c>
      <c r="F1503" s="1">
        <v>42.19</v>
      </c>
      <c r="G1503" s="1">
        <v>1.2630999999999999</v>
      </c>
      <c r="H1503" s="1">
        <v>1.2228000000000001</v>
      </c>
      <c r="I1503" s="1">
        <v>2.1909999999999998</v>
      </c>
      <c r="J1503" s="1">
        <v>5.2901999999999996</v>
      </c>
    </row>
    <row r="1504" spans="2:10" x14ac:dyDescent="0.3">
      <c r="B1504" s="10">
        <f t="shared" si="46"/>
        <v>2020</v>
      </c>
      <c r="C1504" s="10">
        <f t="shared" si="47"/>
        <v>8</v>
      </c>
      <c r="D1504" s="3">
        <v>44047</v>
      </c>
      <c r="E1504" s="1">
        <v>44.43</v>
      </c>
      <c r="F1504" s="1">
        <v>41.7</v>
      </c>
      <c r="G1504" s="1">
        <v>1.2584</v>
      </c>
      <c r="H1504" s="1">
        <v>1.2142999999999999</v>
      </c>
      <c r="I1504" s="1">
        <v>2.1930000000000001</v>
      </c>
      <c r="J1504" s="1">
        <v>5.29</v>
      </c>
    </row>
    <row r="1505" spans="2:10" x14ac:dyDescent="0.3">
      <c r="B1505" s="10">
        <f t="shared" si="46"/>
        <v>2020</v>
      </c>
      <c r="C1505" s="10">
        <f t="shared" si="47"/>
        <v>8</v>
      </c>
      <c r="D1505" s="3">
        <v>44046</v>
      </c>
      <c r="E1505" s="1">
        <v>44.15</v>
      </c>
      <c r="F1505" s="1">
        <v>41.01</v>
      </c>
      <c r="G1505" s="1">
        <v>1.2408999999999999</v>
      </c>
      <c r="H1505" s="1">
        <v>1.2131000000000001</v>
      </c>
      <c r="I1505" s="1">
        <v>2.101</v>
      </c>
      <c r="J1505" s="1">
        <v>5.3212999999999999</v>
      </c>
    </row>
    <row r="1506" spans="2:10" x14ac:dyDescent="0.3">
      <c r="B1506" s="10">
        <f t="shared" si="46"/>
        <v>2020</v>
      </c>
      <c r="C1506" s="10">
        <f t="shared" si="47"/>
        <v>7</v>
      </c>
      <c r="D1506" s="3">
        <v>44043</v>
      </c>
      <c r="E1506" s="1">
        <v>43.3</v>
      </c>
      <c r="F1506" s="1">
        <v>40.270000000000003</v>
      </c>
      <c r="G1506" s="1">
        <v>1.2171000000000001</v>
      </c>
      <c r="H1506" s="1">
        <v>1.1871</v>
      </c>
      <c r="I1506" s="1">
        <v>1.7989999999999999</v>
      </c>
      <c r="J1506" s="1">
        <v>5.2240000000000002</v>
      </c>
    </row>
    <row r="1507" spans="2:10" x14ac:dyDescent="0.3">
      <c r="B1507" s="10">
        <f t="shared" si="46"/>
        <v>2020</v>
      </c>
      <c r="C1507" s="10">
        <f t="shared" si="47"/>
        <v>7</v>
      </c>
      <c r="D1507" s="3">
        <v>44042</v>
      </c>
      <c r="E1507" s="1">
        <v>42.94</v>
      </c>
      <c r="F1507" s="1">
        <v>39.92</v>
      </c>
      <c r="G1507" s="1">
        <v>1.2119</v>
      </c>
      <c r="H1507" s="1">
        <v>1.2203999999999999</v>
      </c>
      <c r="I1507" s="1">
        <v>1.829</v>
      </c>
      <c r="J1507" s="1">
        <v>5.1534000000000004</v>
      </c>
    </row>
    <row r="1508" spans="2:10" x14ac:dyDescent="0.3">
      <c r="B1508" s="10">
        <f t="shared" si="46"/>
        <v>2020</v>
      </c>
      <c r="C1508" s="10">
        <f t="shared" si="47"/>
        <v>7</v>
      </c>
      <c r="D1508" s="3">
        <v>44041</v>
      </c>
      <c r="E1508" s="1">
        <v>43.75</v>
      </c>
      <c r="F1508" s="1">
        <v>41.27</v>
      </c>
      <c r="G1508" s="1">
        <v>1.2533000000000001</v>
      </c>
      <c r="H1508" s="1">
        <v>1.2415</v>
      </c>
      <c r="I1508" s="1">
        <v>1.8540000000000001</v>
      </c>
      <c r="J1508" s="1">
        <v>5.1692</v>
      </c>
    </row>
    <row r="1509" spans="2:10" x14ac:dyDescent="0.3">
      <c r="B1509" s="10">
        <f t="shared" si="46"/>
        <v>2020</v>
      </c>
      <c r="C1509" s="10">
        <f t="shared" si="47"/>
        <v>7</v>
      </c>
      <c r="D1509" s="3">
        <v>44040</v>
      </c>
      <c r="E1509" s="1">
        <v>43.22</v>
      </c>
      <c r="F1509" s="1">
        <v>41.04</v>
      </c>
      <c r="G1509" s="1">
        <v>1.2421</v>
      </c>
      <c r="H1509" s="1">
        <v>1.2656000000000001</v>
      </c>
      <c r="I1509" s="1">
        <v>1.8</v>
      </c>
      <c r="J1509" s="1">
        <v>5.1532999999999998</v>
      </c>
    </row>
    <row r="1510" spans="2:10" x14ac:dyDescent="0.3">
      <c r="B1510" s="10">
        <f t="shared" si="46"/>
        <v>2020</v>
      </c>
      <c r="C1510" s="10">
        <f t="shared" si="47"/>
        <v>7</v>
      </c>
      <c r="D1510" s="3">
        <v>44039</v>
      </c>
      <c r="E1510" s="1">
        <v>43.41</v>
      </c>
      <c r="F1510" s="1">
        <v>41.6</v>
      </c>
      <c r="G1510" s="1">
        <v>1.2541</v>
      </c>
      <c r="H1510" s="1">
        <v>1.2746999999999999</v>
      </c>
      <c r="I1510" s="1">
        <v>1.734</v>
      </c>
      <c r="J1510" s="1">
        <v>5.1447000000000003</v>
      </c>
    </row>
    <row r="1511" spans="2:10" x14ac:dyDescent="0.3">
      <c r="B1511" s="10">
        <f t="shared" si="46"/>
        <v>2020</v>
      </c>
      <c r="C1511" s="10">
        <f t="shared" si="47"/>
        <v>7</v>
      </c>
      <c r="D1511" s="3">
        <v>44036</v>
      </c>
      <c r="E1511" s="1">
        <v>43.34</v>
      </c>
      <c r="F1511" s="1">
        <v>41.29</v>
      </c>
      <c r="G1511" s="1">
        <v>1.2563</v>
      </c>
      <c r="H1511" s="1">
        <v>1.2847999999999999</v>
      </c>
      <c r="I1511" s="1">
        <v>1.8080000000000001</v>
      </c>
      <c r="J1511" s="1">
        <v>5.2328999999999999</v>
      </c>
    </row>
    <row r="1512" spans="2:10" x14ac:dyDescent="0.3">
      <c r="B1512" s="10">
        <f t="shared" si="46"/>
        <v>2020</v>
      </c>
      <c r="C1512" s="10">
        <f t="shared" si="47"/>
        <v>7</v>
      </c>
      <c r="D1512" s="3">
        <v>44035</v>
      </c>
      <c r="E1512" s="1">
        <v>43.31</v>
      </c>
      <c r="F1512" s="1">
        <v>41.07</v>
      </c>
      <c r="G1512" s="1">
        <v>1.2541</v>
      </c>
      <c r="H1512" s="1">
        <v>1.2585999999999999</v>
      </c>
      <c r="I1512" s="1">
        <v>1.7849999999999999</v>
      </c>
      <c r="J1512" s="1">
        <v>5.2111999999999998</v>
      </c>
    </row>
    <row r="1513" spans="2:10" x14ac:dyDescent="0.3">
      <c r="B1513" s="10">
        <f t="shared" si="46"/>
        <v>2020</v>
      </c>
      <c r="C1513" s="10">
        <f t="shared" si="47"/>
        <v>7</v>
      </c>
      <c r="D1513" s="3">
        <v>44034</v>
      </c>
      <c r="E1513" s="1">
        <v>44.29</v>
      </c>
      <c r="F1513" s="1">
        <v>41.9</v>
      </c>
      <c r="G1513" s="1">
        <v>1.2706999999999999</v>
      </c>
      <c r="H1513" s="1">
        <v>1.2827999999999999</v>
      </c>
      <c r="I1513" s="1">
        <v>1.681</v>
      </c>
      <c r="J1513" s="1">
        <v>5.1166</v>
      </c>
    </row>
    <row r="1514" spans="2:10" x14ac:dyDescent="0.3">
      <c r="B1514" s="10">
        <f t="shared" si="46"/>
        <v>2020</v>
      </c>
      <c r="C1514" s="10">
        <f t="shared" si="47"/>
        <v>7</v>
      </c>
      <c r="D1514" s="3">
        <v>44033</v>
      </c>
      <c r="E1514" s="1">
        <v>44.32</v>
      </c>
      <c r="F1514" s="1">
        <v>41.96</v>
      </c>
      <c r="G1514" s="1">
        <v>1.28</v>
      </c>
      <c r="H1514" s="1">
        <v>1.2797000000000001</v>
      </c>
      <c r="I1514" s="1">
        <v>1.675</v>
      </c>
      <c r="J1514" s="1">
        <v>5.1712999999999996</v>
      </c>
    </row>
    <row r="1515" spans="2:10" x14ac:dyDescent="0.3">
      <c r="B1515" s="10">
        <f t="shared" si="46"/>
        <v>2020</v>
      </c>
      <c r="C1515" s="10">
        <f t="shared" si="47"/>
        <v>7</v>
      </c>
      <c r="D1515" s="3">
        <v>44032</v>
      </c>
      <c r="E1515" s="1">
        <v>43.28</v>
      </c>
      <c r="F1515" s="1">
        <v>40.81</v>
      </c>
      <c r="G1515" s="1">
        <v>1.2355</v>
      </c>
      <c r="H1515" s="1">
        <v>1.2284999999999999</v>
      </c>
      <c r="I1515" s="1">
        <v>1.641</v>
      </c>
      <c r="J1515" s="1">
        <v>5.3282999999999996</v>
      </c>
    </row>
    <row r="1516" spans="2:10" x14ac:dyDescent="0.3">
      <c r="B1516" s="10">
        <f t="shared" si="46"/>
        <v>2020</v>
      </c>
      <c r="C1516" s="10">
        <f t="shared" si="47"/>
        <v>7</v>
      </c>
      <c r="D1516" s="3">
        <v>44029</v>
      </c>
      <c r="E1516" s="1">
        <v>43.14</v>
      </c>
      <c r="F1516" s="1">
        <v>40.590000000000003</v>
      </c>
      <c r="G1516" s="1">
        <v>1.2191000000000001</v>
      </c>
      <c r="H1516" s="1">
        <v>1.2244999999999999</v>
      </c>
      <c r="I1516" s="1">
        <v>1.718</v>
      </c>
      <c r="J1516" s="1">
        <v>5.3849</v>
      </c>
    </row>
    <row r="1517" spans="2:10" x14ac:dyDescent="0.3">
      <c r="B1517" s="10">
        <f t="shared" si="46"/>
        <v>2020</v>
      </c>
      <c r="C1517" s="10">
        <f t="shared" si="47"/>
        <v>7</v>
      </c>
      <c r="D1517" s="3">
        <v>44028</v>
      </c>
      <c r="E1517" s="1">
        <v>43.37</v>
      </c>
      <c r="F1517" s="1">
        <v>40.75</v>
      </c>
      <c r="G1517" s="1">
        <v>1.2279</v>
      </c>
      <c r="H1517" s="1">
        <v>1.2339</v>
      </c>
      <c r="I1517" s="1">
        <v>1.7230000000000001</v>
      </c>
      <c r="J1517" s="1">
        <v>5.3311000000000002</v>
      </c>
    </row>
    <row r="1518" spans="2:10" x14ac:dyDescent="0.3">
      <c r="B1518" s="10">
        <f t="shared" si="46"/>
        <v>2020</v>
      </c>
      <c r="C1518" s="10">
        <f t="shared" si="47"/>
        <v>7</v>
      </c>
      <c r="D1518" s="3">
        <v>44027</v>
      </c>
      <c r="E1518" s="1">
        <v>43.79</v>
      </c>
      <c r="F1518" s="1">
        <v>41.2</v>
      </c>
      <c r="G1518" s="1">
        <v>1.2447999999999999</v>
      </c>
      <c r="H1518" s="1">
        <v>1.2645</v>
      </c>
      <c r="I1518" s="1">
        <v>1.778</v>
      </c>
      <c r="J1518" s="1">
        <v>5.3697999999999997</v>
      </c>
    </row>
    <row r="1519" spans="2:10" x14ac:dyDescent="0.3">
      <c r="B1519" s="10">
        <f t="shared" si="46"/>
        <v>2020</v>
      </c>
      <c r="C1519" s="10">
        <f t="shared" si="47"/>
        <v>7</v>
      </c>
      <c r="D1519" s="3">
        <v>44026</v>
      </c>
      <c r="E1519" s="1">
        <v>42.9</v>
      </c>
      <c r="F1519" s="1">
        <v>40.29</v>
      </c>
      <c r="G1519" s="1">
        <v>1.2208000000000001</v>
      </c>
      <c r="H1519" s="1">
        <v>1.2474000000000001</v>
      </c>
      <c r="I1519" s="1">
        <v>1.746</v>
      </c>
      <c r="J1519" s="1">
        <v>5.3673999999999999</v>
      </c>
    </row>
    <row r="1520" spans="2:10" x14ac:dyDescent="0.3">
      <c r="B1520" s="10">
        <f t="shared" si="46"/>
        <v>2020</v>
      </c>
      <c r="C1520" s="10">
        <f t="shared" si="47"/>
        <v>7</v>
      </c>
      <c r="D1520" s="3">
        <v>44025</v>
      </c>
      <c r="E1520" s="1">
        <v>42.72</v>
      </c>
      <c r="F1520" s="1">
        <v>40.1</v>
      </c>
      <c r="G1520" s="1">
        <v>1.2235</v>
      </c>
      <c r="H1520" s="1">
        <v>1.2734000000000001</v>
      </c>
      <c r="I1520" s="1">
        <v>1.7390000000000001</v>
      </c>
      <c r="J1520" s="1">
        <v>5.4039999999999999</v>
      </c>
    </row>
    <row r="1521" spans="2:10" x14ac:dyDescent="0.3">
      <c r="B1521" s="10">
        <f t="shared" si="46"/>
        <v>2020</v>
      </c>
      <c r="C1521" s="10">
        <f t="shared" si="47"/>
        <v>7</v>
      </c>
      <c r="D1521" s="3">
        <v>44022</v>
      </c>
      <c r="E1521" s="1">
        <v>43.24</v>
      </c>
      <c r="F1521" s="1">
        <v>40.549999999999997</v>
      </c>
      <c r="G1521" s="1">
        <v>1.2412000000000001</v>
      </c>
      <c r="H1521" s="1">
        <v>1.2830999999999999</v>
      </c>
      <c r="I1521" s="1">
        <v>1.8049999999999999</v>
      </c>
      <c r="J1521" s="1">
        <v>5.3238000000000003</v>
      </c>
    </row>
    <row r="1522" spans="2:10" x14ac:dyDescent="0.3">
      <c r="B1522" s="10">
        <f t="shared" si="46"/>
        <v>2020</v>
      </c>
      <c r="C1522" s="10">
        <f t="shared" si="47"/>
        <v>7</v>
      </c>
      <c r="D1522" s="3">
        <v>44021</v>
      </c>
      <c r="E1522" s="1">
        <v>42.35</v>
      </c>
      <c r="F1522" s="1">
        <v>39.619999999999997</v>
      </c>
      <c r="G1522" s="1">
        <v>1.2239</v>
      </c>
      <c r="H1522" s="1">
        <v>1.2504999999999999</v>
      </c>
      <c r="I1522" s="1">
        <v>1.7789999999999999</v>
      </c>
      <c r="J1522" s="1">
        <v>5.3413000000000004</v>
      </c>
    </row>
    <row r="1523" spans="2:10" x14ac:dyDescent="0.3">
      <c r="B1523" s="10">
        <f t="shared" si="46"/>
        <v>2020</v>
      </c>
      <c r="C1523" s="10">
        <f t="shared" si="47"/>
        <v>7</v>
      </c>
      <c r="D1523" s="3">
        <v>44020</v>
      </c>
      <c r="E1523" s="1">
        <v>43.29</v>
      </c>
      <c r="F1523" s="1">
        <v>40.9</v>
      </c>
      <c r="G1523" s="1">
        <v>1.2343999999999999</v>
      </c>
      <c r="H1523" s="1">
        <v>1.2908999999999999</v>
      </c>
      <c r="I1523" s="1">
        <v>1.8240000000000001</v>
      </c>
      <c r="J1523" s="1">
        <v>5.3422000000000001</v>
      </c>
    </row>
    <row r="1524" spans="2:10" x14ac:dyDescent="0.3">
      <c r="B1524" s="10">
        <f t="shared" si="46"/>
        <v>2020</v>
      </c>
      <c r="C1524" s="10">
        <f t="shared" si="47"/>
        <v>7</v>
      </c>
      <c r="D1524" s="3">
        <v>44019</v>
      </c>
      <c r="E1524" s="1">
        <v>43.08</v>
      </c>
      <c r="F1524" s="1">
        <v>40.619999999999997</v>
      </c>
      <c r="G1524" s="1">
        <v>1.2433000000000001</v>
      </c>
      <c r="H1524" s="1">
        <v>1.2749999999999999</v>
      </c>
      <c r="I1524" s="1">
        <v>1.8759999999999999</v>
      </c>
      <c r="J1524" s="1">
        <v>5.3789999999999996</v>
      </c>
    </row>
    <row r="1525" spans="2:10" x14ac:dyDescent="0.3">
      <c r="B1525" s="10">
        <f t="shared" si="46"/>
        <v>2020</v>
      </c>
      <c r="C1525" s="10">
        <f t="shared" si="47"/>
        <v>7</v>
      </c>
      <c r="D1525" s="3">
        <v>44018</v>
      </c>
      <c r="E1525" s="1">
        <v>43.1</v>
      </c>
      <c r="F1525" s="1">
        <v>40.630000000000003</v>
      </c>
      <c r="G1525" s="1">
        <v>1.2417</v>
      </c>
      <c r="H1525" s="1">
        <v>1.2407999999999999</v>
      </c>
      <c r="I1525" s="1">
        <v>1.83</v>
      </c>
      <c r="J1525" s="1">
        <v>5.3562000000000003</v>
      </c>
    </row>
    <row r="1526" spans="2:10" x14ac:dyDescent="0.3">
      <c r="B1526" s="10">
        <f t="shared" si="46"/>
        <v>2020</v>
      </c>
      <c r="C1526" s="10">
        <f t="shared" si="47"/>
        <v>7</v>
      </c>
      <c r="D1526" s="3">
        <v>44015</v>
      </c>
      <c r="E1526" s="1">
        <v>42.8</v>
      </c>
      <c r="J1526" s="1">
        <v>5.3158000000000003</v>
      </c>
    </row>
    <row r="1527" spans="2:10" x14ac:dyDescent="0.3">
      <c r="B1527" s="10">
        <f t="shared" si="46"/>
        <v>2020</v>
      </c>
      <c r="C1527" s="10">
        <f t="shared" si="47"/>
        <v>7</v>
      </c>
      <c r="D1527" s="3">
        <v>44014</v>
      </c>
      <c r="E1527" s="1">
        <v>43.14</v>
      </c>
      <c r="F1527" s="1">
        <v>40.65</v>
      </c>
      <c r="G1527" s="1">
        <v>1.2311000000000001</v>
      </c>
      <c r="H1527" s="1">
        <v>1.2592000000000001</v>
      </c>
      <c r="I1527" s="1">
        <v>1.734</v>
      </c>
      <c r="J1527" s="1">
        <v>5.3596000000000004</v>
      </c>
    </row>
    <row r="1528" spans="2:10" x14ac:dyDescent="0.3">
      <c r="B1528" s="10">
        <f t="shared" si="46"/>
        <v>2020</v>
      </c>
      <c r="C1528" s="10">
        <f t="shared" si="47"/>
        <v>7</v>
      </c>
      <c r="D1528" s="3">
        <v>44013</v>
      </c>
      <c r="E1528" s="1">
        <v>42.03</v>
      </c>
      <c r="F1528" s="1">
        <v>39.82</v>
      </c>
      <c r="G1528" s="1">
        <v>1.1996</v>
      </c>
      <c r="H1528" s="1">
        <v>1.2169000000000001</v>
      </c>
      <c r="I1528" s="1">
        <v>1.671</v>
      </c>
      <c r="J1528" s="1">
        <v>5.3174000000000001</v>
      </c>
    </row>
    <row r="1529" spans="2:10" x14ac:dyDescent="0.3">
      <c r="B1529" s="10">
        <f t="shared" si="46"/>
        <v>2020</v>
      </c>
      <c r="C1529" s="10">
        <f t="shared" si="47"/>
        <v>6</v>
      </c>
      <c r="D1529" s="3">
        <v>44012</v>
      </c>
      <c r="E1529" s="1">
        <v>41.15</v>
      </c>
      <c r="F1529" s="1">
        <v>39.270000000000003</v>
      </c>
      <c r="G1529" s="1">
        <v>1.1780999999999999</v>
      </c>
      <c r="H1529" s="1">
        <v>1.2000999999999999</v>
      </c>
      <c r="I1529" s="1">
        <v>1.7509999999999999</v>
      </c>
      <c r="J1529" s="1">
        <v>5.4661</v>
      </c>
    </row>
    <row r="1530" spans="2:10" x14ac:dyDescent="0.3">
      <c r="B1530" s="10">
        <f t="shared" si="46"/>
        <v>2020</v>
      </c>
      <c r="C1530" s="10">
        <f t="shared" si="47"/>
        <v>6</v>
      </c>
      <c r="D1530" s="3">
        <v>44011</v>
      </c>
      <c r="E1530" s="1">
        <v>41.71</v>
      </c>
      <c r="F1530" s="1">
        <v>39.700000000000003</v>
      </c>
      <c r="G1530" s="1">
        <v>1.1654</v>
      </c>
      <c r="H1530" s="1">
        <v>1.1840999999999999</v>
      </c>
      <c r="I1530" s="1">
        <v>1.7090000000000001</v>
      </c>
      <c r="J1530" s="1">
        <v>5.4034000000000004</v>
      </c>
    </row>
    <row r="1531" spans="2:10" x14ac:dyDescent="0.3">
      <c r="B1531" s="10">
        <f t="shared" si="46"/>
        <v>2020</v>
      </c>
      <c r="C1531" s="10">
        <f t="shared" si="47"/>
        <v>6</v>
      </c>
      <c r="D1531" s="3">
        <v>44008</v>
      </c>
      <c r="E1531" s="1">
        <v>41.02</v>
      </c>
      <c r="F1531" s="1">
        <v>38.49</v>
      </c>
      <c r="G1531" s="1">
        <v>1.1363000000000001</v>
      </c>
      <c r="H1531" s="1">
        <v>1.1533</v>
      </c>
      <c r="I1531" s="1">
        <v>1.4950000000000001</v>
      </c>
      <c r="J1531" s="1">
        <v>5.484</v>
      </c>
    </row>
    <row r="1532" spans="2:10" x14ac:dyDescent="0.3">
      <c r="B1532" s="10">
        <f t="shared" si="46"/>
        <v>2020</v>
      </c>
      <c r="C1532" s="10">
        <f t="shared" si="47"/>
        <v>6</v>
      </c>
      <c r="D1532" s="3">
        <v>44007</v>
      </c>
      <c r="E1532" s="1">
        <v>41.05</v>
      </c>
      <c r="F1532" s="1">
        <v>38.72</v>
      </c>
      <c r="G1532" s="1">
        <v>1.1556</v>
      </c>
      <c r="H1532" s="1">
        <v>1.1941999999999999</v>
      </c>
      <c r="I1532" s="1">
        <v>1.482</v>
      </c>
      <c r="J1532" s="1">
        <v>5.3560999999999996</v>
      </c>
    </row>
    <row r="1533" spans="2:10" x14ac:dyDescent="0.3">
      <c r="B1533" s="10">
        <f t="shared" si="46"/>
        <v>2020</v>
      </c>
      <c r="C1533" s="10">
        <f t="shared" si="47"/>
        <v>6</v>
      </c>
      <c r="D1533" s="3">
        <v>44006</v>
      </c>
      <c r="E1533" s="1">
        <v>40.31</v>
      </c>
      <c r="F1533" s="1">
        <v>38.01</v>
      </c>
      <c r="G1533" s="1">
        <v>1.1508</v>
      </c>
      <c r="H1533" s="1">
        <v>1.1963999999999999</v>
      </c>
      <c r="I1533" s="1">
        <v>1.597</v>
      </c>
      <c r="J1533" s="1">
        <v>5.3467000000000002</v>
      </c>
    </row>
    <row r="1534" spans="2:10" x14ac:dyDescent="0.3">
      <c r="B1534" s="10">
        <f t="shared" si="46"/>
        <v>2020</v>
      </c>
      <c r="C1534" s="10">
        <f t="shared" si="47"/>
        <v>6</v>
      </c>
      <c r="D1534" s="3">
        <v>44005</v>
      </c>
      <c r="E1534" s="1">
        <v>42.63</v>
      </c>
      <c r="F1534" s="1">
        <v>40.369999999999997</v>
      </c>
      <c r="G1534" s="1">
        <v>1.2030000000000001</v>
      </c>
      <c r="H1534" s="1">
        <v>1.2994000000000001</v>
      </c>
      <c r="I1534" s="1">
        <v>1.637</v>
      </c>
      <c r="J1534" s="1">
        <v>5.1542000000000003</v>
      </c>
    </row>
    <row r="1535" spans="2:10" x14ac:dyDescent="0.3">
      <c r="B1535" s="10">
        <f t="shared" si="46"/>
        <v>2020</v>
      </c>
      <c r="C1535" s="10">
        <f t="shared" si="47"/>
        <v>6</v>
      </c>
      <c r="D1535" s="3">
        <v>44004</v>
      </c>
      <c r="E1535" s="1">
        <v>43.08</v>
      </c>
      <c r="F1535" s="1">
        <v>40.46</v>
      </c>
      <c r="G1535" s="1">
        <v>1.2185999999999999</v>
      </c>
      <c r="H1535" s="1">
        <v>1.2912999999999999</v>
      </c>
      <c r="I1535" s="1">
        <v>1.6639999999999999</v>
      </c>
      <c r="J1535" s="1">
        <v>5.2523999999999997</v>
      </c>
    </row>
    <row r="1536" spans="2:10" x14ac:dyDescent="0.3">
      <c r="B1536" s="10">
        <f t="shared" si="46"/>
        <v>2020</v>
      </c>
      <c r="C1536" s="10">
        <f t="shared" si="47"/>
        <v>6</v>
      </c>
      <c r="D1536" s="3">
        <v>44001</v>
      </c>
      <c r="E1536" s="1">
        <v>42.19</v>
      </c>
      <c r="F1536" s="1">
        <v>39.75</v>
      </c>
      <c r="G1536" s="1">
        <v>1.2114</v>
      </c>
      <c r="H1536" s="1">
        <v>1.2716000000000001</v>
      </c>
      <c r="I1536" s="1">
        <v>1.669</v>
      </c>
      <c r="J1536" s="1">
        <v>5.3105000000000002</v>
      </c>
    </row>
    <row r="1537" spans="2:10" x14ac:dyDescent="0.3">
      <c r="B1537" s="10">
        <f t="shared" si="46"/>
        <v>2020</v>
      </c>
      <c r="C1537" s="10">
        <f t="shared" si="47"/>
        <v>6</v>
      </c>
      <c r="D1537" s="3">
        <v>44000</v>
      </c>
      <c r="E1537" s="1">
        <v>41.51</v>
      </c>
      <c r="F1537" s="1">
        <v>38.840000000000003</v>
      </c>
      <c r="G1537" s="1">
        <v>1.1986000000000001</v>
      </c>
      <c r="H1537" s="1">
        <v>1.2577</v>
      </c>
      <c r="I1537" s="1">
        <v>1.6379999999999999</v>
      </c>
      <c r="J1537" s="1">
        <v>5.3776000000000002</v>
      </c>
    </row>
    <row r="1538" spans="2:10" x14ac:dyDescent="0.3">
      <c r="B1538" s="10">
        <f t="shared" si="46"/>
        <v>2020</v>
      </c>
      <c r="C1538" s="10">
        <f t="shared" si="47"/>
        <v>6</v>
      </c>
      <c r="D1538" s="3">
        <v>43999</v>
      </c>
      <c r="E1538" s="1">
        <v>40.71</v>
      </c>
      <c r="F1538" s="1">
        <v>37.96</v>
      </c>
      <c r="G1538" s="1">
        <v>1.1819999999999999</v>
      </c>
      <c r="H1538" s="1">
        <v>1.2153</v>
      </c>
      <c r="I1538" s="1">
        <v>1.6379999999999999</v>
      </c>
      <c r="J1538" s="1">
        <v>5.2286000000000001</v>
      </c>
    </row>
    <row r="1539" spans="2:10" x14ac:dyDescent="0.3">
      <c r="B1539" s="10">
        <f t="shared" si="46"/>
        <v>2020</v>
      </c>
      <c r="C1539" s="10">
        <f t="shared" si="47"/>
        <v>6</v>
      </c>
      <c r="D1539" s="3">
        <v>43998</v>
      </c>
      <c r="E1539" s="1">
        <v>40.96</v>
      </c>
      <c r="F1539" s="1">
        <v>38.380000000000003</v>
      </c>
      <c r="G1539" s="1">
        <v>1.1821999999999999</v>
      </c>
      <c r="H1539" s="1">
        <v>1.2073</v>
      </c>
      <c r="I1539" s="1">
        <v>1.6140000000000001</v>
      </c>
      <c r="J1539" s="1">
        <v>5.2430000000000003</v>
      </c>
    </row>
    <row r="1540" spans="2:10" x14ac:dyDescent="0.3">
      <c r="B1540" s="10">
        <f t="shared" si="46"/>
        <v>2020</v>
      </c>
      <c r="C1540" s="10">
        <f t="shared" si="47"/>
        <v>6</v>
      </c>
      <c r="D1540" s="3">
        <v>43997</v>
      </c>
      <c r="E1540" s="1">
        <v>39.72</v>
      </c>
      <c r="F1540" s="1">
        <v>37.119999999999997</v>
      </c>
      <c r="G1540" s="1">
        <v>1.137</v>
      </c>
      <c r="H1540" s="1">
        <v>1.1657</v>
      </c>
      <c r="I1540" s="1">
        <v>1.669</v>
      </c>
      <c r="J1540" s="1">
        <v>5.1557000000000004</v>
      </c>
    </row>
    <row r="1541" spans="2:10" x14ac:dyDescent="0.3">
      <c r="B1541" s="10">
        <f t="shared" si="46"/>
        <v>2020</v>
      </c>
      <c r="C1541" s="10">
        <f t="shared" si="47"/>
        <v>6</v>
      </c>
      <c r="D1541" s="3">
        <v>43994</v>
      </c>
      <c r="E1541" s="1">
        <v>38.729999999999997</v>
      </c>
      <c r="F1541" s="1">
        <v>36.26</v>
      </c>
      <c r="G1541" s="1">
        <v>1.1013999999999999</v>
      </c>
      <c r="H1541" s="1">
        <v>1.1243000000000001</v>
      </c>
      <c r="I1541" s="1">
        <v>1.7310000000000001</v>
      </c>
      <c r="J1541" s="1">
        <v>5.0505000000000004</v>
      </c>
    </row>
    <row r="1542" spans="2:10" x14ac:dyDescent="0.3">
      <c r="B1542" s="10">
        <f t="shared" ref="B1542:B1605" si="48">YEAR(D1542)</f>
        <v>2020</v>
      </c>
      <c r="C1542" s="10">
        <f t="shared" ref="C1542:C1605" si="49">MONTH(D1542)</f>
        <v>6</v>
      </c>
      <c r="D1542" s="3">
        <v>43993</v>
      </c>
      <c r="E1542" s="1">
        <v>38.549999999999997</v>
      </c>
      <c r="F1542" s="1">
        <v>36.340000000000003</v>
      </c>
      <c r="G1542" s="1">
        <v>1.0880000000000001</v>
      </c>
      <c r="H1542" s="1">
        <v>1.1188</v>
      </c>
      <c r="I1542" s="1">
        <v>1.8129999999999999</v>
      </c>
      <c r="J1542" s="1">
        <v>4.976</v>
      </c>
    </row>
    <row r="1543" spans="2:10" x14ac:dyDescent="0.3">
      <c r="B1543" s="10">
        <f t="shared" si="48"/>
        <v>2020</v>
      </c>
      <c r="C1543" s="10">
        <f t="shared" si="49"/>
        <v>6</v>
      </c>
      <c r="D1543" s="3">
        <v>43992</v>
      </c>
      <c r="E1543" s="1">
        <v>41.73</v>
      </c>
      <c r="F1543" s="1">
        <v>39.6</v>
      </c>
      <c r="G1543" s="1">
        <v>1.173</v>
      </c>
      <c r="H1543" s="1">
        <v>1.2099</v>
      </c>
      <c r="I1543" s="1">
        <v>1.78</v>
      </c>
      <c r="J1543" s="1">
        <v>4.9732000000000003</v>
      </c>
    </row>
    <row r="1544" spans="2:10" x14ac:dyDescent="0.3">
      <c r="B1544" s="10">
        <f t="shared" si="48"/>
        <v>2020</v>
      </c>
      <c r="C1544" s="10">
        <f t="shared" si="49"/>
        <v>6</v>
      </c>
      <c r="D1544" s="3">
        <v>43991</v>
      </c>
      <c r="E1544" s="1">
        <v>41.18</v>
      </c>
      <c r="F1544" s="1">
        <v>38.94</v>
      </c>
      <c r="G1544" s="1">
        <v>1.1547000000000001</v>
      </c>
      <c r="H1544" s="1">
        <v>1.2102999999999999</v>
      </c>
      <c r="I1544" s="1">
        <v>1.7669999999999999</v>
      </c>
      <c r="J1544" s="1">
        <v>4.8992000000000004</v>
      </c>
    </row>
    <row r="1545" spans="2:10" x14ac:dyDescent="0.3">
      <c r="B1545" s="10">
        <f t="shared" si="48"/>
        <v>2020</v>
      </c>
      <c r="C1545" s="10">
        <f t="shared" si="49"/>
        <v>6</v>
      </c>
      <c r="D1545" s="3">
        <v>43990</v>
      </c>
      <c r="E1545" s="1">
        <v>40.799999999999997</v>
      </c>
      <c r="F1545" s="1">
        <v>38.19</v>
      </c>
      <c r="G1545" s="1">
        <v>1.1213</v>
      </c>
      <c r="H1545" s="1">
        <v>1.1950000000000001</v>
      </c>
      <c r="I1545" s="1">
        <v>1.7889999999999999</v>
      </c>
      <c r="J1545" s="1">
        <v>4.8230000000000004</v>
      </c>
    </row>
    <row r="1546" spans="2:10" x14ac:dyDescent="0.3">
      <c r="B1546" s="10">
        <f t="shared" si="48"/>
        <v>2020</v>
      </c>
      <c r="C1546" s="10">
        <f t="shared" si="49"/>
        <v>6</v>
      </c>
      <c r="D1546" s="3">
        <v>43987</v>
      </c>
      <c r="E1546" s="1">
        <v>42.3</v>
      </c>
      <c r="F1546" s="1">
        <v>39.549999999999997</v>
      </c>
      <c r="G1546" s="1">
        <v>1.1506000000000001</v>
      </c>
      <c r="H1546" s="1">
        <v>1.2136</v>
      </c>
      <c r="I1546" s="1">
        <v>1.782</v>
      </c>
      <c r="J1546" s="1">
        <v>4.9584999999999999</v>
      </c>
    </row>
    <row r="1547" spans="2:10" x14ac:dyDescent="0.3">
      <c r="B1547" s="10">
        <f t="shared" si="48"/>
        <v>2020</v>
      </c>
      <c r="C1547" s="10">
        <f t="shared" si="49"/>
        <v>6</v>
      </c>
      <c r="D1547" s="3">
        <v>43986</v>
      </c>
      <c r="E1547" s="1">
        <v>39.99</v>
      </c>
      <c r="F1547" s="1">
        <v>37.409999999999997</v>
      </c>
      <c r="G1547" s="1">
        <v>1.0741000000000001</v>
      </c>
      <c r="H1547" s="1">
        <v>1.149</v>
      </c>
      <c r="I1547" s="1">
        <v>1.8220000000000001</v>
      </c>
      <c r="J1547" s="1">
        <v>5.1189999999999998</v>
      </c>
    </row>
    <row r="1548" spans="2:10" x14ac:dyDescent="0.3">
      <c r="B1548" s="10">
        <f t="shared" si="48"/>
        <v>2020</v>
      </c>
      <c r="C1548" s="10">
        <f t="shared" si="49"/>
        <v>6</v>
      </c>
      <c r="D1548" s="3">
        <v>43985</v>
      </c>
      <c r="E1548" s="1">
        <v>39.79</v>
      </c>
      <c r="F1548" s="1">
        <v>37.29</v>
      </c>
      <c r="G1548" s="1">
        <v>1.0646</v>
      </c>
      <c r="H1548" s="1">
        <v>1.1193</v>
      </c>
      <c r="I1548" s="1">
        <v>1.821</v>
      </c>
      <c r="J1548" s="1">
        <v>5.0621999999999998</v>
      </c>
    </row>
    <row r="1549" spans="2:10" x14ac:dyDescent="0.3">
      <c r="B1549" s="10">
        <f t="shared" si="48"/>
        <v>2020</v>
      </c>
      <c r="C1549" s="10">
        <f t="shared" si="49"/>
        <v>6</v>
      </c>
      <c r="D1549" s="3">
        <v>43984</v>
      </c>
      <c r="E1549" s="1">
        <v>39.57</v>
      </c>
      <c r="F1549" s="1">
        <v>36.81</v>
      </c>
      <c r="G1549" s="1">
        <v>1.0921000000000001</v>
      </c>
      <c r="H1549" s="1">
        <v>1.1183000000000001</v>
      </c>
      <c r="I1549" s="1">
        <v>1.7769999999999999</v>
      </c>
      <c r="J1549" s="1">
        <v>5.2013999999999996</v>
      </c>
    </row>
    <row r="1550" spans="2:10" x14ac:dyDescent="0.3">
      <c r="B1550" s="10">
        <f t="shared" si="48"/>
        <v>2020</v>
      </c>
      <c r="C1550" s="10">
        <f t="shared" si="49"/>
        <v>6</v>
      </c>
      <c r="D1550" s="3">
        <v>43983</v>
      </c>
      <c r="E1550" s="1">
        <v>38.32</v>
      </c>
      <c r="F1550" s="1">
        <v>35.44</v>
      </c>
      <c r="G1550" s="1">
        <v>1.0289999999999999</v>
      </c>
      <c r="H1550" s="1">
        <v>1.0667</v>
      </c>
      <c r="I1550" s="1">
        <v>1.774</v>
      </c>
      <c r="J1550" s="1">
        <v>5.3632999999999997</v>
      </c>
    </row>
    <row r="1551" spans="2:10" x14ac:dyDescent="0.3">
      <c r="B1551" s="10">
        <f t="shared" si="48"/>
        <v>2020</v>
      </c>
      <c r="C1551" s="10">
        <f t="shared" si="49"/>
        <v>5</v>
      </c>
      <c r="D1551" s="3">
        <v>43980</v>
      </c>
      <c r="E1551" s="1">
        <v>35.33</v>
      </c>
      <c r="F1551" s="1">
        <v>35.49</v>
      </c>
      <c r="G1551" s="1">
        <v>0.9647</v>
      </c>
      <c r="H1551" s="1">
        <v>1.0259</v>
      </c>
      <c r="I1551" s="1">
        <v>1.849</v>
      </c>
      <c r="J1551" s="1">
        <v>5.3361000000000001</v>
      </c>
    </row>
    <row r="1552" spans="2:10" x14ac:dyDescent="0.3">
      <c r="B1552" s="10">
        <f t="shared" si="48"/>
        <v>2020</v>
      </c>
      <c r="C1552" s="10">
        <f t="shared" si="49"/>
        <v>5</v>
      </c>
      <c r="D1552" s="3">
        <v>43979</v>
      </c>
      <c r="E1552" s="1">
        <v>35.29</v>
      </c>
      <c r="F1552" s="1">
        <v>33.71</v>
      </c>
      <c r="G1552" s="1">
        <v>0.92559999999999998</v>
      </c>
      <c r="H1552" s="1">
        <v>0.99850000000000005</v>
      </c>
      <c r="I1552" s="1">
        <v>1.827</v>
      </c>
      <c r="J1552" s="1">
        <v>5.4044999999999996</v>
      </c>
    </row>
    <row r="1553" spans="2:10" x14ac:dyDescent="0.3">
      <c r="B1553" s="10">
        <f t="shared" si="48"/>
        <v>2020</v>
      </c>
      <c r="C1553" s="10">
        <f t="shared" si="49"/>
        <v>5</v>
      </c>
      <c r="D1553" s="3">
        <v>43978</v>
      </c>
      <c r="E1553" s="1">
        <v>34.74</v>
      </c>
      <c r="F1553" s="1">
        <v>32.81</v>
      </c>
      <c r="G1553" s="1">
        <v>0.97209999999999996</v>
      </c>
      <c r="H1553" s="1">
        <v>0.99329999999999996</v>
      </c>
      <c r="I1553" s="1">
        <v>1.722</v>
      </c>
      <c r="J1553" s="1">
        <v>5.2732999999999999</v>
      </c>
    </row>
    <row r="1554" spans="2:10" x14ac:dyDescent="0.3">
      <c r="B1554" s="10">
        <f t="shared" si="48"/>
        <v>2020</v>
      </c>
      <c r="C1554" s="10">
        <f t="shared" si="49"/>
        <v>5</v>
      </c>
      <c r="D1554" s="3">
        <v>43977</v>
      </c>
      <c r="E1554" s="1">
        <v>36.17</v>
      </c>
      <c r="F1554" s="1">
        <v>34.35</v>
      </c>
      <c r="G1554" s="1">
        <v>0.99080000000000001</v>
      </c>
      <c r="H1554" s="1">
        <v>1.0488999999999999</v>
      </c>
      <c r="I1554" s="1">
        <v>1.7929999999999999</v>
      </c>
      <c r="J1554" s="1">
        <v>5.3449999999999998</v>
      </c>
    </row>
    <row r="1555" spans="2:10" x14ac:dyDescent="0.3">
      <c r="B1555" s="10">
        <f t="shared" si="48"/>
        <v>2020</v>
      </c>
      <c r="C1555" s="10">
        <f t="shared" si="49"/>
        <v>5</v>
      </c>
      <c r="D1555" s="3">
        <v>43976</v>
      </c>
      <c r="E1555" s="1">
        <v>35.53</v>
      </c>
      <c r="J1555" s="1">
        <v>5.4461000000000004</v>
      </c>
    </row>
    <row r="1556" spans="2:10" x14ac:dyDescent="0.3">
      <c r="B1556" s="10">
        <f t="shared" si="48"/>
        <v>2020</v>
      </c>
      <c r="C1556" s="10">
        <f t="shared" si="49"/>
        <v>5</v>
      </c>
      <c r="D1556" s="3">
        <v>43973</v>
      </c>
      <c r="E1556" s="1">
        <v>35.130000000000003</v>
      </c>
      <c r="F1556" s="1">
        <v>33.25</v>
      </c>
      <c r="G1556" s="1">
        <v>0.98199999999999998</v>
      </c>
      <c r="H1556" s="1">
        <v>1.0382</v>
      </c>
      <c r="I1556" s="1">
        <v>1.7310000000000001</v>
      </c>
      <c r="J1556" s="1">
        <v>5.5338000000000003</v>
      </c>
    </row>
    <row r="1557" spans="2:10" x14ac:dyDescent="0.3">
      <c r="B1557" s="10">
        <f t="shared" si="48"/>
        <v>2020</v>
      </c>
      <c r="C1557" s="10">
        <f t="shared" si="49"/>
        <v>5</v>
      </c>
      <c r="D1557" s="3">
        <v>43972</v>
      </c>
      <c r="E1557" s="1">
        <v>36.06</v>
      </c>
      <c r="F1557" s="1">
        <v>33.92</v>
      </c>
      <c r="G1557" s="1">
        <v>0.98899999999999999</v>
      </c>
      <c r="H1557" s="1">
        <v>1.0450999999999999</v>
      </c>
      <c r="I1557" s="1">
        <v>1.71</v>
      </c>
      <c r="J1557" s="1">
        <v>5.5507</v>
      </c>
    </row>
    <row r="1558" spans="2:10" x14ac:dyDescent="0.3">
      <c r="B1558" s="10">
        <f t="shared" si="48"/>
        <v>2020</v>
      </c>
      <c r="C1558" s="10">
        <f t="shared" si="49"/>
        <v>5</v>
      </c>
      <c r="D1558" s="3">
        <v>43971</v>
      </c>
      <c r="E1558" s="1">
        <v>35.75</v>
      </c>
      <c r="F1558" s="1">
        <v>33.49</v>
      </c>
      <c r="G1558" s="1">
        <v>0.99060000000000004</v>
      </c>
      <c r="H1558" s="1">
        <v>1.0438000000000001</v>
      </c>
      <c r="I1558" s="1">
        <v>1.7709999999999999</v>
      </c>
      <c r="J1558" s="1">
        <v>5.6924999999999999</v>
      </c>
    </row>
    <row r="1559" spans="2:10" x14ac:dyDescent="0.3">
      <c r="B1559" s="10">
        <f t="shared" si="48"/>
        <v>2020</v>
      </c>
      <c r="C1559" s="10">
        <f t="shared" si="49"/>
        <v>5</v>
      </c>
      <c r="D1559" s="3">
        <v>43970</v>
      </c>
      <c r="E1559" s="1">
        <v>34.65</v>
      </c>
      <c r="F1559" s="1">
        <v>32.5</v>
      </c>
      <c r="G1559" s="1">
        <v>0.97360000000000002</v>
      </c>
      <c r="H1559" s="1">
        <v>1.0451999999999999</v>
      </c>
      <c r="I1559" s="1">
        <v>1.83</v>
      </c>
      <c r="J1559" s="1">
        <v>5.7539999999999996</v>
      </c>
    </row>
    <row r="1560" spans="2:10" x14ac:dyDescent="0.3">
      <c r="B1560" s="10">
        <f t="shared" si="48"/>
        <v>2020</v>
      </c>
      <c r="C1560" s="10">
        <f t="shared" si="49"/>
        <v>5</v>
      </c>
      <c r="D1560" s="3">
        <v>43969</v>
      </c>
      <c r="E1560" s="1">
        <v>34.81</v>
      </c>
      <c r="F1560" s="1">
        <v>31.82</v>
      </c>
      <c r="G1560" s="1">
        <v>1.0064</v>
      </c>
      <c r="H1560" s="1">
        <v>1.0258</v>
      </c>
      <c r="I1560" s="1">
        <v>1.7829999999999999</v>
      </c>
      <c r="J1560" s="1">
        <v>5.7190000000000003</v>
      </c>
    </row>
    <row r="1561" spans="2:10" x14ac:dyDescent="0.3">
      <c r="B1561" s="10">
        <f t="shared" si="48"/>
        <v>2020</v>
      </c>
      <c r="C1561" s="10">
        <f t="shared" si="49"/>
        <v>5</v>
      </c>
      <c r="D1561" s="3">
        <v>43966</v>
      </c>
      <c r="E1561" s="1">
        <v>32.5</v>
      </c>
      <c r="F1561" s="1">
        <v>29.43</v>
      </c>
      <c r="G1561" s="1">
        <v>0.9204</v>
      </c>
      <c r="H1561" s="1">
        <v>0.97019999999999995</v>
      </c>
      <c r="I1561" s="1">
        <v>1.6459999999999999</v>
      </c>
      <c r="J1561" s="1">
        <v>5.8554000000000004</v>
      </c>
    </row>
    <row r="1562" spans="2:10" x14ac:dyDescent="0.3">
      <c r="B1562" s="10">
        <f t="shared" si="48"/>
        <v>2020</v>
      </c>
      <c r="C1562" s="10">
        <f t="shared" si="49"/>
        <v>5</v>
      </c>
      <c r="D1562" s="3">
        <v>43965</v>
      </c>
      <c r="E1562" s="1">
        <v>31.13</v>
      </c>
      <c r="F1562" s="1">
        <v>27.56</v>
      </c>
      <c r="G1562" s="1">
        <v>0.89480000000000004</v>
      </c>
      <c r="H1562" s="1">
        <v>0.91449999999999998</v>
      </c>
      <c r="I1562" s="1">
        <v>1.681</v>
      </c>
      <c r="J1562" s="1">
        <v>5.8114999999999997</v>
      </c>
    </row>
    <row r="1563" spans="2:10" x14ac:dyDescent="0.3">
      <c r="B1563" s="10">
        <f t="shared" si="48"/>
        <v>2020</v>
      </c>
      <c r="C1563" s="10">
        <f t="shared" si="49"/>
        <v>5</v>
      </c>
      <c r="D1563" s="3">
        <v>43964</v>
      </c>
      <c r="E1563" s="1">
        <v>29.19</v>
      </c>
      <c r="F1563" s="1">
        <v>25.29</v>
      </c>
      <c r="G1563" s="1">
        <v>0.83140000000000003</v>
      </c>
      <c r="H1563" s="1">
        <v>0.85270000000000001</v>
      </c>
      <c r="I1563" s="1">
        <v>1.6160000000000001</v>
      </c>
      <c r="J1563" s="1">
        <v>5.8852000000000002</v>
      </c>
    </row>
    <row r="1564" spans="2:10" x14ac:dyDescent="0.3">
      <c r="B1564" s="10">
        <f t="shared" si="48"/>
        <v>2020</v>
      </c>
      <c r="C1564" s="10">
        <f t="shared" si="49"/>
        <v>5</v>
      </c>
      <c r="D1564" s="3">
        <v>43963</v>
      </c>
      <c r="E1564" s="1">
        <v>29.98</v>
      </c>
      <c r="F1564" s="1">
        <v>25.78</v>
      </c>
      <c r="G1564" s="1">
        <v>0.83840000000000003</v>
      </c>
      <c r="H1564" s="1">
        <v>0.91849999999999998</v>
      </c>
      <c r="I1564" s="1">
        <v>1.72</v>
      </c>
      <c r="J1564" s="1">
        <v>5.8856000000000002</v>
      </c>
    </row>
    <row r="1565" spans="2:10" x14ac:dyDescent="0.3">
      <c r="B1565" s="10">
        <f t="shared" si="48"/>
        <v>2020</v>
      </c>
      <c r="C1565" s="10">
        <f t="shared" si="49"/>
        <v>5</v>
      </c>
      <c r="D1565" s="3">
        <v>43962</v>
      </c>
      <c r="E1565" s="1">
        <v>29.63</v>
      </c>
      <c r="F1565" s="1">
        <v>24.14</v>
      </c>
      <c r="G1565" s="1">
        <v>0.86870000000000003</v>
      </c>
      <c r="H1565" s="1">
        <v>0.92420000000000002</v>
      </c>
      <c r="I1565" s="1">
        <v>1.8260000000000001</v>
      </c>
      <c r="J1565" s="1">
        <v>5.8179999999999996</v>
      </c>
    </row>
    <row r="1566" spans="2:10" x14ac:dyDescent="0.3">
      <c r="B1566" s="10">
        <f t="shared" si="48"/>
        <v>2020</v>
      </c>
      <c r="C1566" s="10">
        <f t="shared" si="49"/>
        <v>5</v>
      </c>
      <c r="D1566" s="3">
        <v>43959</v>
      </c>
      <c r="E1566" s="1">
        <v>30.97</v>
      </c>
      <c r="F1566" s="1">
        <v>24.74</v>
      </c>
      <c r="G1566" s="1">
        <v>0.89929999999999999</v>
      </c>
      <c r="H1566" s="1">
        <v>0.95220000000000005</v>
      </c>
      <c r="I1566" s="1">
        <v>1.823</v>
      </c>
      <c r="J1566" s="1">
        <v>5.7319000000000004</v>
      </c>
    </row>
    <row r="1567" spans="2:10" x14ac:dyDescent="0.3">
      <c r="B1567" s="10">
        <f t="shared" si="48"/>
        <v>2020</v>
      </c>
      <c r="C1567" s="10">
        <f t="shared" si="49"/>
        <v>5</v>
      </c>
      <c r="D1567" s="3">
        <v>43958</v>
      </c>
      <c r="E1567" s="1">
        <v>29.46</v>
      </c>
      <c r="F1567" s="1">
        <v>23.55</v>
      </c>
      <c r="G1567" s="1">
        <v>0.83709999999999996</v>
      </c>
      <c r="H1567" s="1">
        <v>0.93140000000000001</v>
      </c>
      <c r="I1567" s="1">
        <v>1.8939999999999999</v>
      </c>
      <c r="J1567" s="1">
        <v>5.8307000000000002</v>
      </c>
    </row>
    <row r="1568" spans="2:10" x14ac:dyDescent="0.3">
      <c r="B1568" s="10">
        <f t="shared" si="48"/>
        <v>2020</v>
      </c>
      <c r="C1568" s="10">
        <f t="shared" si="49"/>
        <v>5</v>
      </c>
      <c r="D1568" s="3">
        <v>43957</v>
      </c>
      <c r="E1568" s="1">
        <v>29.72</v>
      </c>
      <c r="F1568" s="1">
        <v>23.99</v>
      </c>
      <c r="G1568" s="1">
        <v>0.82399999999999995</v>
      </c>
      <c r="H1568" s="1">
        <v>0.87690000000000001</v>
      </c>
      <c r="I1568" s="1">
        <v>1.944</v>
      </c>
      <c r="J1568" s="1">
        <v>5.7140000000000004</v>
      </c>
    </row>
    <row r="1569" spans="2:10" x14ac:dyDescent="0.3">
      <c r="B1569" s="10">
        <f t="shared" si="48"/>
        <v>2020</v>
      </c>
      <c r="C1569" s="10">
        <f t="shared" si="49"/>
        <v>5</v>
      </c>
      <c r="D1569" s="3">
        <v>43956</v>
      </c>
      <c r="E1569" s="1">
        <v>30.97</v>
      </c>
      <c r="F1569" s="1">
        <v>24.56</v>
      </c>
      <c r="G1569" s="1">
        <v>0.89600000000000002</v>
      </c>
      <c r="H1569" s="1">
        <v>0.90129999999999999</v>
      </c>
      <c r="I1569" s="1">
        <v>2.1339999999999999</v>
      </c>
      <c r="J1569" s="1">
        <v>5.5782999999999996</v>
      </c>
    </row>
    <row r="1570" spans="2:10" x14ac:dyDescent="0.3">
      <c r="B1570" s="10">
        <f t="shared" si="48"/>
        <v>2020</v>
      </c>
      <c r="C1570" s="10">
        <f t="shared" si="49"/>
        <v>5</v>
      </c>
      <c r="D1570" s="3">
        <v>43955</v>
      </c>
      <c r="E1570" s="1">
        <v>27.2</v>
      </c>
      <c r="F1570" s="1">
        <v>20.39</v>
      </c>
      <c r="G1570" s="1">
        <v>0.80310000000000004</v>
      </c>
      <c r="H1570" s="1">
        <v>0.82150000000000001</v>
      </c>
      <c r="I1570" s="1">
        <v>1.9930000000000001</v>
      </c>
      <c r="J1570" s="1">
        <v>5.5449999999999999</v>
      </c>
    </row>
    <row r="1571" spans="2:10" x14ac:dyDescent="0.3">
      <c r="B1571" s="10">
        <f t="shared" si="48"/>
        <v>2020</v>
      </c>
      <c r="C1571" s="10">
        <f t="shared" si="49"/>
        <v>5</v>
      </c>
      <c r="D1571" s="3">
        <v>43952</v>
      </c>
      <c r="E1571" s="1">
        <v>26.44</v>
      </c>
      <c r="F1571" s="1">
        <v>19.78</v>
      </c>
      <c r="G1571" s="1">
        <v>0.79610000000000003</v>
      </c>
      <c r="H1571" s="1">
        <v>0.76629999999999998</v>
      </c>
      <c r="I1571" s="1">
        <v>1.89</v>
      </c>
      <c r="J1571" s="1">
        <v>5.4855999999999998</v>
      </c>
    </row>
    <row r="1572" spans="2:10" x14ac:dyDescent="0.3">
      <c r="B1572" s="10">
        <f t="shared" si="48"/>
        <v>2020</v>
      </c>
      <c r="C1572" s="10">
        <f t="shared" si="49"/>
        <v>4</v>
      </c>
      <c r="D1572" s="3">
        <v>43951</v>
      </c>
      <c r="E1572" s="1">
        <v>25.27</v>
      </c>
      <c r="F1572" s="1">
        <v>18.84</v>
      </c>
      <c r="G1572" s="1">
        <v>0.7319</v>
      </c>
      <c r="H1572" s="1">
        <v>0.69779999999999998</v>
      </c>
      <c r="I1572" s="1">
        <v>1.9490000000000001</v>
      </c>
      <c r="J1572" s="1">
        <v>5.4858000000000002</v>
      </c>
    </row>
    <row r="1573" spans="2:10" x14ac:dyDescent="0.3">
      <c r="B1573" s="10">
        <f t="shared" si="48"/>
        <v>2020</v>
      </c>
      <c r="C1573" s="10">
        <f t="shared" si="49"/>
        <v>4</v>
      </c>
      <c r="D1573" s="3">
        <v>43950</v>
      </c>
      <c r="E1573" s="1">
        <v>22.54</v>
      </c>
      <c r="F1573" s="1">
        <v>15.06</v>
      </c>
      <c r="G1573" s="1">
        <v>0.69450000000000001</v>
      </c>
      <c r="H1573" s="1">
        <v>0.72719999999999996</v>
      </c>
      <c r="I1573" s="1">
        <v>1.869</v>
      </c>
      <c r="J1573" s="1">
        <v>5.3348000000000004</v>
      </c>
    </row>
    <row r="1574" spans="2:10" x14ac:dyDescent="0.3">
      <c r="B1574" s="10">
        <f t="shared" si="48"/>
        <v>2020</v>
      </c>
      <c r="C1574" s="10">
        <f t="shared" si="49"/>
        <v>4</v>
      </c>
      <c r="D1574" s="3">
        <v>43949</v>
      </c>
      <c r="E1574" s="1">
        <v>20.46</v>
      </c>
      <c r="F1574" s="1">
        <v>12.34</v>
      </c>
      <c r="G1574" s="1">
        <v>0.63080000000000003</v>
      </c>
      <c r="H1574" s="1">
        <v>0.66720000000000002</v>
      </c>
      <c r="I1574" s="1">
        <v>1.794</v>
      </c>
      <c r="J1574" s="1">
        <v>5.4999000000000002</v>
      </c>
    </row>
    <row r="1575" spans="2:10" x14ac:dyDescent="0.3">
      <c r="B1575" s="10">
        <f t="shared" si="48"/>
        <v>2020</v>
      </c>
      <c r="C1575" s="10">
        <f t="shared" si="49"/>
        <v>4</v>
      </c>
      <c r="D1575" s="3">
        <v>43948</v>
      </c>
      <c r="E1575" s="1">
        <v>19.989999999999998</v>
      </c>
      <c r="F1575" s="1">
        <v>12.78</v>
      </c>
      <c r="G1575" s="1">
        <v>0.61040000000000005</v>
      </c>
      <c r="H1575" s="1">
        <v>0.64829999999999999</v>
      </c>
      <c r="I1575" s="1">
        <v>1.819</v>
      </c>
      <c r="J1575" s="1">
        <v>5.6525999999999996</v>
      </c>
    </row>
    <row r="1576" spans="2:10" x14ac:dyDescent="0.3">
      <c r="B1576" s="10">
        <f t="shared" si="48"/>
        <v>2020</v>
      </c>
      <c r="C1576" s="10">
        <f t="shared" si="49"/>
        <v>4</v>
      </c>
      <c r="D1576" s="3">
        <v>43945</v>
      </c>
      <c r="E1576" s="1">
        <v>21.44</v>
      </c>
      <c r="F1576" s="1">
        <v>16.940000000000001</v>
      </c>
      <c r="G1576" s="1">
        <v>0.64670000000000005</v>
      </c>
      <c r="H1576" s="1">
        <v>0.66120000000000001</v>
      </c>
      <c r="I1576" s="1">
        <v>1.746</v>
      </c>
      <c r="J1576" s="1">
        <v>5.5907</v>
      </c>
    </row>
    <row r="1577" spans="2:10" x14ac:dyDescent="0.3">
      <c r="B1577" s="10">
        <f t="shared" si="48"/>
        <v>2020</v>
      </c>
      <c r="C1577" s="10">
        <f t="shared" si="49"/>
        <v>4</v>
      </c>
      <c r="D1577" s="3">
        <v>43944</v>
      </c>
      <c r="E1577" s="1">
        <v>21.33</v>
      </c>
      <c r="F1577" s="1">
        <v>16.5</v>
      </c>
      <c r="G1577" s="1">
        <v>0.73450000000000004</v>
      </c>
      <c r="H1577" s="1">
        <v>0.64359999999999995</v>
      </c>
      <c r="I1577" s="1">
        <v>1.8149999999999999</v>
      </c>
      <c r="J1577" s="1">
        <v>5.5335000000000001</v>
      </c>
    </row>
    <row r="1578" spans="2:10" x14ac:dyDescent="0.3">
      <c r="B1578" s="10">
        <f t="shared" si="48"/>
        <v>2020</v>
      </c>
      <c r="C1578" s="10">
        <f t="shared" si="49"/>
        <v>4</v>
      </c>
      <c r="D1578" s="3">
        <v>43943</v>
      </c>
      <c r="E1578" s="1">
        <v>20.37</v>
      </c>
      <c r="F1578" s="1">
        <v>13.78</v>
      </c>
      <c r="G1578" s="1">
        <v>0.73109999999999997</v>
      </c>
      <c r="H1578" s="1">
        <v>0.63839999999999997</v>
      </c>
      <c r="I1578" s="1">
        <v>1.9390000000000001</v>
      </c>
      <c r="J1578" s="1">
        <v>5.4580000000000002</v>
      </c>
    </row>
    <row r="1579" spans="2:10" x14ac:dyDescent="0.3">
      <c r="B1579" s="10">
        <f t="shared" si="48"/>
        <v>2020</v>
      </c>
      <c r="C1579" s="10">
        <f t="shared" si="49"/>
        <v>4</v>
      </c>
      <c r="D1579" s="3">
        <v>43942</v>
      </c>
      <c r="E1579" s="1">
        <v>19.329999999999998</v>
      </c>
      <c r="F1579" s="1">
        <v>10.01</v>
      </c>
      <c r="G1579" s="1">
        <v>0.72689999999999999</v>
      </c>
      <c r="H1579" s="1">
        <v>0.51029999999999998</v>
      </c>
      <c r="I1579" s="1">
        <v>1.821</v>
      </c>
      <c r="J1579" s="1">
        <v>5.3163</v>
      </c>
    </row>
    <row r="1580" spans="2:10" x14ac:dyDescent="0.3">
      <c r="B1580" s="10">
        <f t="shared" si="48"/>
        <v>2020</v>
      </c>
      <c r="C1580" s="10">
        <f t="shared" si="49"/>
        <v>4</v>
      </c>
      <c r="D1580" s="3">
        <v>43941</v>
      </c>
      <c r="E1580" s="1">
        <v>25.57</v>
      </c>
      <c r="F1580" s="1">
        <v>-37.630000000000003</v>
      </c>
      <c r="G1580" s="1">
        <v>0.88780000000000003</v>
      </c>
      <c r="H1580" s="1">
        <v>0.66830000000000001</v>
      </c>
      <c r="I1580" s="1">
        <v>1.9239999999999999</v>
      </c>
      <c r="J1580" s="1">
        <v>5.3167999999999997</v>
      </c>
    </row>
    <row r="1581" spans="2:10" x14ac:dyDescent="0.3">
      <c r="B1581" s="10">
        <f t="shared" si="48"/>
        <v>2020</v>
      </c>
      <c r="C1581" s="10">
        <f t="shared" si="49"/>
        <v>4</v>
      </c>
      <c r="D1581" s="3">
        <v>43938</v>
      </c>
      <c r="E1581" s="1">
        <v>28.08</v>
      </c>
      <c r="F1581" s="1">
        <v>18.27</v>
      </c>
      <c r="G1581" s="1">
        <v>0.95630000000000004</v>
      </c>
      <c r="H1581" s="1">
        <v>0.7107</v>
      </c>
      <c r="I1581" s="1">
        <v>1.7529999999999999</v>
      </c>
      <c r="J1581" s="1">
        <v>5.2363</v>
      </c>
    </row>
    <row r="1582" spans="2:10" x14ac:dyDescent="0.3">
      <c r="B1582" s="10">
        <f t="shared" si="48"/>
        <v>2020</v>
      </c>
      <c r="C1582" s="10">
        <f t="shared" si="49"/>
        <v>4</v>
      </c>
      <c r="D1582" s="3">
        <v>43937</v>
      </c>
      <c r="E1582" s="1">
        <v>27.82</v>
      </c>
      <c r="F1582" s="1">
        <v>19.87</v>
      </c>
      <c r="G1582" s="1">
        <v>0.94630000000000003</v>
      </c>
      <c r="H1582" s="1">
        <v>0.70509999999999995</v>
      </c>
      <c r="I1582" s="1">
        <v>1.6859999999999999</v>
      </c>
      <c r="J1582" s="1">
        <v>5.2332999999999998</v>
      </c>
    </row>
    <row r="1583" spans="2:10" x14ac:dyDescent="0.3">
      <c r="B1583" s="10">
        <f t="shared" si="48"/>
        <v>2020</v>
      </c>
      <c r="C1583" s="10">
        <f t="shared" si="49"/>
        <v>4</v>
      </c>
      <c r="D1583" s="3">
        <v>43936</v>
      </c>
      <c r="E1583" s="1">
        <v>27.69</v>
      </c>
      <c r="F1583" s="1">
        <v>19.87</v>
      </c>
      <c r="G1583" s="1">
        <v>0.91379999999999995</v>
      </c>
      <c r="H1583" s="1">
        <v>0.72040000000000004</v>
      </c>
      <c r="I1583" s="1">
        <v>1.5980000000000001</v>
      </c>
      <c r="J1583" s="1">
        <v>5.2366999999999999</v>
      </c>
    </row>
    <row r="1584" spans="2:10" x14ac:dyDescent="0.3">
      <c r="B1584" s="10">
        <f t="shared" si="48"/>
        <v>2020</v>
      </c>
      <c r="C1584" s="10">
        <f t="shared" si="49"/>
        <v>4</v>
      </c>
      <c r="D1584" s="3">
        <v>43935</v>
      </c>
      <c r="E1584" s="1">
        <v>29.6</v>
      </c>
      <c r="F1584" s="1">
        <v>20.11</v>
      </c>
      <c r="G1584" s="1">
        <v>0.94420000000000004</v>
      </c>
      <c r="H1584" s="1">
        <v>0.72</v>
      </c>
      <c r="I1584" s="1">
        <v>1.65</v>
      </c>
      <c r="J1584" s="1">
        <v>5.1620999999999997</v>
      </c>
    </row>
    <row r="1585" spans="2:10" x14ac:dyDescent="0.3">
      <c r="B1585" s="10">
        <f t="shared" si="48"/>
        <v>2020</v>
      </c>
      <c r="C1585" s="10">
        <f t="shared" si="49"/>
        <v>4</v>
      </c>
      <c r="D1585" s="3">
        <v>43934</v>
      </c>
      <c r="E1585" s="1">
        <v>31.74</v>
      </c>
      <c r="F1585" s="1">
        <v>22.41</v>
      </c>
      <c r="G1585" s="1">
        <v>0.99460000000000004</v>
      </c>
      <c r="H1585" s="1">
        <v>0.70330000000000004</v>
      </c>
      <c r="I1585" s="1">
        <v>1.724</v>
      </c>
      <c r="J1585" s="1">
        <v>5.1993999999999998</v>
      </c>
    </row>
    <row r="1586" spans="2:10" x14ac:dyDescent="0.3">
      <c r="B1586" s="10">
        <f t="shared" si="48"/>
        <v>2020</v>
      </c>
      <c r="C1586" s="10">
        <f t="shared" si="49"/>
        <v>4</v>
      </c>
      <c r="D1586" s="3">
        <v>43931</v>
      </c>
      <c r="J1586" s="1">
        <v>5.1063000000000001</v>
      </c>
    </row>
    <row r="1587" spans="2:10" x14ac:dyDescent="0.3">
      <c r="B1587" s="10">
        <f t="shared" si="48"/>
        <v>2020</v>
      </c>
      <c r="C1587" s="10">
        <f t="shared" si="49"/>
        <v>4</v>
      </c>
      <c r="D1587" s="3">
        <v>43930</v>
      </c>
      <c r="E1587" s="1">
        <v>31.48</v>
      </c>
      <c r="F1587" s="1">
        <v>22.76</v>
      </c>
      <c r="G1587" s="1">
        <v>0.97260000000000002</v>
      </c>
      <c r="H1587" s="1">
        <v>0.67730000000000001</v>
      </c>
      <c r="I1587" s="1">
        <v>1.7330000000000001</v>
      </c>
      <c r="J1587" s="1">
        <v>5.1070000000000002</v>
      </c>
    </row>
    <row r="1588" spans="2:10" x14ac:dyDescent="0.3">
      <c r="B1588" s="10">
        <f t="shared" si="48"/>
        <v>2020</v>
      </c>
      <c r="C1588" s="10">
        <f t="shared" si="49"/>
        <v>4</v>
      </c>
      <c r="D1588" s="3">
        <v>43929</v>
      </c>
      <c r="E1588" s="1">
        <v>32.840000000000003</v>
      </c>
      <c r="F1588" s="1">
        <v>25.09</v>
      </c>
      <c r="G1588" s="1">
        <v>1.0106999999999999</v>
      </c>
      <c r="H1588" s="1">
        <v>0.67800000000000005</v>
      </c>
      <c r="I1588" s="1">
        <v>1.7829999999999999</v>
      </c>
      <c r="J1588" s="1">
        <v>5.1233000000000004</v>
      </c>
    </row>
    <row r="1589" spans="2:10" x14ac:dyDescent="0.3">
      <c r="B1589" s="10">
        <f t="shared" si="48"/>
        <v>2020</v>
      </c>
      <c r="C1589" s="10">
        <f t="shared" si="49"/>
        <v>4</v>
      </c>
      <c r="D1589" s="3">
        <v>43928</v>
      </c>
      <c r="E1589" s="1">
        <v>31.87</v>
      </c>
      <c r="F1589" s="1">
        <v>23.63</v>
      </c>
      <c r="G1589" s="1">
        <v>1.0275000000000001</v>
      </c>
      <c r="H1589" s="1">
        <v>0.6482</v>
      </c>
      <c r="I1589" s="1">
        <v>1.8520000000000001</v>
      </c>
      <c r="J1589" s="1">
        <v>5.2214</v>
      </c>
    </row>
    <row r="1590" spans="2:10" x14ac:dyDescent="0.3">
      <c r="B1590" s="10">
        <f t="shared" si="48"/>
        <v>2020</v>
      </c>
      <c r="C1590" s="10">
        <f t="shared" si="49"/>
        <v>4</v>
      </c>
      <c r="D1590" s="3">
        <v>43927</v>
      </c>
      <c r="E1590" s="1">
        <v>33.049999999999997</v>
      </c>
      <c r="F1590" s="1">
        <v>26.08</v>
      </c>
      <c r="G1590" s="1">
        <v>1.0457000000000001</v>
      </c>
      <c r="H1590" s="1">
        <v>0.7016</v>
      </c>
      <c r="I1590" s="1">
        <v>1.7310000000000001</v>
      </c>
      <c r="J1590" s="1">
        <v>5.2862999999999998</v>
      </c>
    </row>
    <row r="1591" spans="2:10" x14ac:dyDescent="0.3">
      <c r="B1591" s="10">
        <f t="shared" si="48"/>
        <v>2020</v>
      </c>
      <c r="C1591" s="10">
        <f t="shared" si="49"/>
        <v>4</v>
      </c>
      <c r="D1591" s="3">
        <v>43924</v>
      </c>
      <c r="E1591" s="1">
        <v>34.11</v>
      </c>
      <c r="F1591" s="1">
        <v>28.34</v>
      </c>
      <c r="G1591" s="1">
        <v>1.0706</v>
      </c>
      <c r="H1591" s="1">
        <v>0.69159999999999999</v>
      </c>
      <c r="I1591" s="1">
        <v>1.621</v>
      </c>
      <c r="J1591" s="1">
        <v>5.3506</v>
      </c>
    </row>
    <row r="1592" spans="2:10" x14ac:dyDescent="0.3">
      <c r="B1592" s="10">
        <f t="shared" si="48"/>
        <v>2020</v>
      </c>
      <c r="C1592" s="10">
        <f t="shared" si="49"/>
        <v>4</v>
      </c>
      <c r="D1592" s="3">
        <v>43923</v>
      </c>
      <c r="E1592" s="1">
        <v>29.94</v>
      </c>
      <c r="F1592" s="1">
        <v>25.32</v>
      </c>
      <c r="G1592" s="1">
        <v>0.99509999999999998</v>
      </c>
      <c r="H1592" s="1">
        <v>0.66279999999999994</v>
      </c>
      <c r="I1592" s="1">
        <v>1.552</v>
      </c>
      <c r="J1592" s="1">
        <v>5.2533000000000003</v>
      </c>
    </row>
    <row r="1593" spans="2:10" x14ac:dyDescent="0.3">
      <c r="B1593" s="10">
        <f t="shared" si="48"/>
        <v>2020</v>
      </c>
      <c r="C1593" s="10">
        <f t="shared" si="49"/>
        <v>4</v>
      </c>
      <c r="D1593" s="3">
        <v>43922</v>
      </c>
      <c r="E1593" s="1">
        <v>24.74</v>
      </c>
      <c r="F1593" s="1">
        <v>20.309999999999999</v>
      </c>
      <c r="G1593" s="1">
        <v>0.93230000000000002</v>
      </c>
      <c r="H1593" s="1">
        <v>0.54649999999999999</v>
      </c>
      <c r="I1593" s="1">
        <v>1.587</v>
      </c>
      <c r="J1593" s="1">
        <v>5.2492999999999999</v>
      </c>
    </row>
    <row r="1594" spans="2:10" x14ac:dyDescent="0.3">
      <c r="B1594" s="10">
        <f t="shared" si="48"/>
        <v>2020</v>
      </c>
      <c r="C1594" s="10">
        <f t="shared" si="49"/>
        <v>3</v>
      </c>
      <c r="D1594" s="3">
        <v>43921</v>
      </c>
      <c r="E1594" s="1">
        <v>22.74</v>
      </c>
      <c r="F1594" s="1">
        <v>20.48</v>
      </c>
      <c r="G1594" s="1">
        <v>1.0121</v>
      </c>
      <c r="H1594" s="1">
        <v>0.57320000000000004</v>
      </c>
      <c r="I1594" s="1">
        <v>1.64</v>
      </c>
      <c r="J1594" s="1">
        <v>5.2046000000000001</v>
      </c>
    </row>
    <row r="1595" spans="2:10" x14ac:dyDescent="0.3">
      <c r="B1595" s="10">
        <f t="shared" si="48"/>
        <v>2020</v>
      </c>
      <c r="C1595" s="10">
        <f t="shared" si="49"/>
        <v>3</v>
      </c>
      <c r="D1595" s="3">
        <v>43920</v>
      </c>
      <c r="E1595" s="1">
        <v>22.76</v>
      </c>
      <c r="F1595" s="1">
        <v>20.09</v>
      </c>
      <c r="G1595" s="1">
        <v>1.0194000000000001</v>
      </c>
      <c r="H1595" s="1">
        <v>0.58550000000000002</v>
      </c>
      <c r="I1595" s="1">
        <v>1.69</v>
      </c>
      <c r="J1595" s="1">
        <v>5.1936</v>
      </c>
    </row>
    <row r="1596" spans="2:10" x14ac:dyDescent="0.3">
      <c r="B1596" s="10">
        <f t="shared" si="48"/>
        <v>2020</v>
      </c>
      <c r="C1596" s="10">
        <f t="shared" si="49"/>
        <v>3</v>
      </c>
      <c r="D1596" s="3">
        <v>43917</v>
      </c>
      <c r="E1596" s="1">
        <v>24.93</v>
      </c>
      <c r="F1596" s="1">
        <v>21.51</v>
      </c>
      <c r="G1596" s="1">
        <v>1.0685</v>
      </c>
      <c r="H1596" s="1">
        <v>0.57369999999999999</v>
      </c>
      <c r="I1596" s="1">
        <v>1.6339999999999999</v>
      </c>
      <c r="J1596" s="1">
        <v>5.0997000000000003</v>
      </c>
    </row>
    <row r="1597" spans="2:10" x14ac:dyDescent="0.3">
      <c r="B1597" s="10">
        <f t="shared" si="48"/>
        <v>2020</v>
      </c>
      <c r="C1597" s="10">
        <f t="shared" si="49"/>
        <v>3</v>
      </c>
      <c r="D1597" s="3">
        <v>43916</v>
      </c>
      <c r="E1597" s="1">
        <v>26.34</v>
      </c>
      <c r="F1597" s="1">
        <v>22.6</v>
      </c>
      <c r="G1597" s="1">
        <v>1.0503</v>
      </c>
      <c r="H1597" s="1">
        <v>0.54379999999999995</v>
      </c>
      <c r="I1597" s="1">
        <v>1.637</v>
      </c>
      <c r="J1597" s="1">
        <v>5.0212000000000003</v>
      </c>
    </row>
    <row r="1598" spans="2:10" x14ac:dyDescent="0.3">
      <c r="B1598" s="10">
        <f t="shared" si="48"/>
        <v>2020</v>
      </c>
      <c r="C1598" s="10">
        <f t="shared" si="49"/>
        <v>3</v>
      </c>
      <c r="D1598" s="3">
        <v>43915</v>
      </c>
      <c r="E1598" s="1">
        <v>27.39</v>
      </c>
      <c r="F1598" s="1">
        <v>24.49</v>
      </c>
      <c r="G1598" s="1">
        <v>1.0978000000000001</v>
      </c>
      <c r="H1598" s="1">
        <v>0.54679999999999995</v>
      </c>
      <c r="I1598" s="1">
        <v>1.659</v>
      </c>
      <c r="J1598" s="1">
        <v>5.0353000000000003</v>
      </c>
    </row>
    <row r="1599" spans="2:10" x14ac:dyDescent="0.3">
      <c r="B1599" s="10">
        <f t="shared" si="48"/>
        <v>2020</v>
      </c>
      <c r="C1599" s="10">
        <f t="shared" si="49"/>
        <v>3</v>
      </c>
      <c r="D1599" s="3">
        <v>43914</v>
      </c>
      <c r="E1599" s="1">
        <v>27.15</v>
      </c>
      <c r="F1599" s="1">
        <v>24.01</v>
      </c>
      <c r="G1599" s="1">
        <v>1.0803</v>
      </c>
      <c r="H1599" s="1">
        <v>0.44369999999999998</v>
      </c>
      <c r="I1599" s="1">
        <v>1.653</v>
      </c>
      <c r="J1599" s="1">
        <v>5.0983000000000001</v>
      </c>
    </row>
    <row r="1600" spans="2:10" x14ac:dyDescent="0.3">
      <c r="B1600" s="10">
        <f t="shared" si="48"/>
        <v>2020</v>
      </c>
      <c r="C1600" s="10">
        <f t="shared" si="49"/>
        <v>3</v>
      </c>
      <c r="D1600" s="3">
        <v>43913</v>
      </c>
      <c r="E1600" s="1">
        <v>27.03</v>
      </c>
      <c r="F1600" s="1">
        <v>23.36</v>
      </c>
      <c r="G1600" s="1">
        <v>1.0161</v>
      </c>
      <c r="H1600" s="1">
        <v>0.4118</v>
      </c>
      <c r="I1600" s="1">
        <v>1.6020000000000001</v>
      </c>
      <c r="J1600" s="1">
        <v>5.1444000000000001</v>
      </c>
    </row>
    <row r="1601" spans="2:10" x14ac:dyDescent="0.3">
      <c r="B1601" s="10">
        <f t="shared" si="48"/>
        <v>2020</v>
      </c>
      <c r="C1601" s="10">
        <f t="shared" si="49"/>
        <v>3</v>
      </c>
      <c r="D1601" s="3">
        <v>43910</v>
      </c>
      <c r="E1601" s="1">
        <v>26.98</v>
      </c>
      <c r="F1601" s="1">
        <v>22.43</v>
      </c>
      <c r="G1601" s="1">
        <v>1.0063</v>
      </c>
      <c r="H1601" s="1">
        <v>0.60540000000000005</v>
      </c>
      <c r="I1601" s="1">
        <v>1.6040000000000001</v>
      </c>
      <c r="J1601" s="1">
        <v>5.0627000000000004</v>
      </c>
    </row>
    <row r="1602" spans="2:10" x14ac:dyDescent="0.3">
      <c r="B1602" s="10">
        <f t="shared" si="48"/>
        <v>2020</v>
      </c>
      <c r="C1602" s="10">
        <f t="shared" si="49"/>
        <v>3</v>
      </c>
      <c r="D1602" s="3">
        <v>43909</v>
      </c>
      <c r="E1602" s="1">
        <v>28.47</v>
      </c>
      <c r="F1602" s="1">
        <v>25.22</v>
      </c>
      <c r="G1602" s="1">
        <v>1.0417000000000001</v>
      </c>
      <c r="H1602" s="1">
        <v>0.68500000000000005</v>
      </c>
      <c r="I1602" s="1">
        <v>1.6539999999999999</v>
      </c>
      <c r="J1602" s="1">
        <v>5.0956999999999999</v>
      </c>
    </row>
    <row r="1603" spans="2:10" x14ac:dyDescent="0.3">
      <c r="B1603" s="10">
        <f t="shared" si="48"/>
        <v>2020</v>
      </c>
      <c r="C1603" s="10">
        <f t="shared" si="49"/>
        <v>3</v>
      </c>
      <c r="D1603" s="3">
        <v>43908</v>
      </c>
      <c r="E1603" s="1">
        <v>24.88</v>
      </c>
      <c r="F1603" s="1">
        <v>20.37</v>
      </c>
      <c r="G1603" s="1">
        <v>0.95420000000000005</v>
      </c>
      <c r="H1603" s="1">
        <v>0.63770000000000004</v>
      </c>
      <c r="I1603" s="1">
        <v>1.6040000000000001</v>
      </c>
      <c r="J1603" s="1">
        <v>5.1063999999999998</v>
      </c>
    </row>
    <row r="1604" spans="2:10" x14ac:dyDescent="0.3">
      <c r="B1604" s="10">
        <f t="shared" si="48"/>
        <v>2020</v>
      </c>
      <c r="C1604" s="10">
        <f t="shared" si="49"/>
        <v>3</v>
      </c>
      <c r="D1604" s="3">
        <v>43907</v>
      </c>
      <c r="E1604" s="1">
        <v>28.73</v>
      </c>
      <c r="F1604" s="1">
        <v>26.95</v>
      </c>
      <c r="G1604" s="1">
        <v>1.0357000000000001</v>
      </c>
      <c r="H1604" s="1">
        <v>0.71140000000000003</v>
      </c>
      <c r="I1604" s="1">
        <v>1.7290000000000001</v>
      </c>
      <c r="J1604" s="1">
        <v>5.0084</v>
      </c>
    </row>
    <row r="1605" spans="2:10" x14ac:dyDescent="0.3">
      <c r="B1605" s="10">
        <f t="shared" si="48"/>
        <v>2020</v>
      </c>
      <c r="C1605" s="10">
        <f t="shared" si="49"/>
        <v>3</v>
      </c>
      <c r="D1605" s="3">
        <v>43906</v>
      </c>
      <c r="E1605" s="1">
        <v>30.05</v>
      </c>
      <c r="F1605" s="1">
        <v>28.7</v>
      </c>
      <c r="G1605" s="1">
        <v>1.0466</v>
      </c>
      <c r="H1605" s="1">
        <v>0.68989999999999996</v>
      </c>
      <c r="I1605" s="1">
        <v>1.8149999999999999</v>
      </c>
      <c r="J1605" s="1">
        <v>5.0002000000000004</v>
      </c>
    </row>
    <row r="1606" spans="2:10" x14ac:dyDescent="0.3">
      <c r="B1606" s="10">
        <f t="shared" ref="B1606:B1669" si="50">YEAR(D1606)</f>
        <v>2020</v>
      </c>
      <c r="C1606" s="10">
        <f t="shared" ref="C1606:C1669" si="51">MONTH(D1606)</f>
        <v>3</v>
      </c>
      <c r="D1606" s="3">
        <v>43903</v>
      </c>
      <c r="E1606" s="1">
        <v>33.85</v>
      </c>
      <c r="F1606" s="1">
        <v>31.73</v>
      </c>
      <c r="G1606" s="1">
        <v>1.1374</v>
      </c>
      <c r="H1606" s="1">
        <v>0.8992</v>
      </c>
      <c r="I1606" s="1">
        <v>1.869</v>
      </c>
      <c r="J1606" s="1">
        <v>4.8579999999999997</v>
      </c>
    </row>
    <row r="1607" spans="2:10" x14ac:dyDescent="0.3">
      <c r="B1607" s="10">
        <f t="shared" si="50"/>
        <v>2020</v>
      </c>
      <c r="C1607" s="10">
        <f t="shared" si="51"/>
        <v>3</v>
      </c>
      <c r="D1607" s="3">
        <v>43902</v>
      </c>
      <c r="E1607" s="1">
        <v>33.22</v>
      </c>
      <c r="F1607" s="1">
        <v>31.5</v>
      </c>
      <c r="G1607" s="1">
        <v>1.1597999999999999</v>
      </c>
      <c r="H1607" s="1">
        <v>0.89749999999999996</v>
      </c>
      <c r="I1607" s="1">
        <v>1.841</v>
      </c>
      <c r="J1607" s="1">
        <v>4.7910000000000004</v>
      </c>
    </row>
    <row r="1608" spans="2:10" x14ac:dyDescent="0.3">
      <c r="B1608" s="10">
        <f t="shared" si="50"/>
        <v>2020</v>
      </c>
      <c r="C1608" s="10">
        <f t="shared" si="51"/>
        <v>3</v>
      </c>
      <c r="D1608" s="3">
        <v>43901</v>
      </c>
      <c r="E1608" s="1">
        <v>35.79</v>
      </c>
      <c r="F1608" s="1">
        <v>32.979999999999997</v>
      </c>
      <c r="G1608" s="1">
        <v>1.238</v>
      </c>
      <c r="H1608" s="1">
        <v>1.1103000000000001</v>
      </c>
      <c r="I1608" s="1">
        <v>1.8779999999999999</v>
      </c>
      <c r="J1608" s="1">
        <v>4.8136000000000001</v>
      </c>
    </row>
    <row r="1609" spans="2:10" x14ac:dyDescent="0.3">
      <c r="B1609" s="10">
        <f t="shared" si="50"/>
        <v>2020</v>
      </c>
      <c r="C1609" s="10">
        <f t="shared" si="51"/>
        <v>3</v>
      </c>
      <c r="D1609" s="3">
        <v>43900</v>
      </c>
      <c r="E1609" s="1">
        <v>37.22</v>
      </c>
      <c r="F1609" s="1">
        <v>34.36</v>
      </c>
      <c r="G1609" s="1">
        <v>1.2499</v>
      </c>
      <c r="H1609" s="1">
        <v>1.1571</v>
      </c>
      <c r="I1609" s="1">
        <v>1.9359999999999999</v>
      </c>
      <c r="J1609" s="1">
        <v>4.6425000000000001</v>
      </c>
    </row>
    <row r="1610" spans="2:10" x14ac:dyDescent="0.3">
      <c r="B1610" s="10">
        <f t="shared" si="50"/>
        <v>2020</v>
      </c>
      <c r="C1610" s="10">
        <f t="shared" si="51"/>
        <v>3</v>
      </c>
      <c r="D1610" s="3">
        <v>43899</v>
      </c>
      <c r="E1610" s="1">
        <v>34.36</v>
      </c>
      <c r="F1610" s="1">
        <v>31.13</v>
      </c>
      <c r="G1610" s="1">
        <v>1.1629</v>
      </c>
      <c r="H1610" s="1">
        <v>1.1369</v>
      </c>
      <c r="I1610" s="1">
        <v>1.778</v>
      </c>
      <c r="J1610" s="1">
        <v>4.7230999999999996</v>
      </c>
    </row>
    <row r="1611" spans="2:10" x14ac:dyDescent="0.3">
      <c r="B1611" s="10">
        <f t="shared" si="50"/>
        <v>2020</v>
      </c>
      <c r="C1611" s="10">
        <f t="shared" si="51"/>
        <v>3</v>
      </c>
      <c r="D1611" s="3">
        <v>43896</v>
      </c>
      <c r="E1611" s="1">
        <v>45.27</v>
      </c>
      <c r="F1611" s="1">
        <v>41.28</v>
      </c>
      <c r="G1611" s="1">
        <v>1.3852</v>
      </c>
      <c r="H1611" s="1">
        <v>1.389</v>
      </c>
      <c r="I1611" s="1">
        <v>1.708</v>
      </c>
      <c r="J1611" s="1">
        <v>4.6269</v>
      </c>
    </row>
    <row r="1612" spans="2:10" x14ac:dyDescent="0.3">
      <c r="B1612" s="10">
        <f t="shared" si="50"/>
        <v>2020</v>
      </c>
      <c r="C1612" s="10">
        <f t="shared" si="51"/>
        <v>3</v>
      </c>
      <c r="D1612" s="3">
        <v>43895</v>
      </c>
      <c r="E1612" s="1">
        <v>49.99</v>
      </c>
      <c r="F1612" s="1">
        <v>45.9</v>
      </c>
      <c r="G1612" s="1">
        <v>1.4884999999999999</v>
      </c>
      <c r="H1612" s="1">
        <v>1.5218</v>
      </c>
      <c r="I1612" s="1">
        <v>1.772</v>
      </c>
      <c r="J1612" s="1">
        <v>4.6073000000000004</v>
      </c>
    </row>
    <row r="1613" spans="2:10" x14ac:dyDescent="0.3">
      <c r="B1613" s="10">
        <f t="shared" si="50"/>
        <v>2020</v>
      </c>
      <c r="C1613" s="10">
        <f t="shared" si="51"/>
        <v>3</v>
      </c>
      <c r="D1613" s="3">
        <v>43894</v>
      </c>
      <c r="E1613" s="1">
        <v>51.13</v>
      </c>
      <c r="F1613" s="1">
        <v>46.78</v>
      </c>
      <c r="G1613" s="1">
        <v>1.5331999999999999</v>
      </c>
      <c r="H1613" s="1">
        <v>1.5555000000000001</v>
      </c>
      <c r="I1613" s="1">
        <v>1.827</v>
      </c>
      <c r="J1613" s="1">
        <v>4.5846999999999998</v>
      </c>
    </row>
    <row r="1614" spans="2:10" x14ac:dyDescent="0.3">
      <c r="B1614" s="10">
        <f t="shared" si="50"/>
        <v>2020</v>
      </c>
      <c r="C1614" s="10">
        <f t="shared" si="51"/>
        <v>3</v>
      </c>
      <c r="D1614" s="3">
        <v>43893</v>
      </c>
      <c r="E1614" s="1">
        <v>51.86</v>
      </c>
      <c r="F1614" s="1">
        <v>47.18</v>
      </c>
      <c r="G1614" s="1">
        <v>1.5329999999999999</v>
      </c>
      <c r="H1614" s="1">
        <v>1.5313000000000001</v>
      </c>
      <c r="I1614" s="1">
        <v>1.8</v>
      </c>
      <c r="J1614" s="1">
        <v>4.5144000000000002</v>
      </c>
    </row>
    <row r="1615" spans="2:10" x14ac:dyDescent="0.3">
      <c r="B1615" s="10">
        <f t="shared" si="50"/>
        <v>2020</v>
      </c>
      <c r="C1615" s="10">
        <f t="shared" si="51"/>
        <v>3</v>
      </c>
      <c r="D1615" s="3">
        <v>43892</v>
      </c>
      <c r="E1615" s="1">
        <v>51.9</v>
      </c>
      <c r="F1615" s="1">
        <v>46.75</v>
      </c>
      <c r="G1615" s="1">
        <v>1.5286999999999999</v>
      </c>
      <c r="H1615" s="1">
        <v>1.5396000000000001</v>
      </c>
      <c r="I1615" s="1">
        <v>1.756</v>
      </c>
      <c r="J1615" s="1">
        <v>4.4740000000000002</v>
      </c>
    </row>
    <row r="1616" spans="2:10" x14ac:dyDescent="0.3">
      <c r="B1616" s="10">
        <f t="shared" si="50"/>
        <v>2020</v>
      </c>
      <c r="C1616" s="10">
        <f t="shared" si="51"/>
        <v>2</v>
      </c>
      <c r="D1616" s="3">
        <v>43889</v>
      </c>
      <c r="E1616" s="1">
        <v>50.52</v>
      </c>
      <c r="F1616" s="1">
        <v>44.76</v>
      </c>
      <c r="G1616" s="1">
        <v>1.4905999999999999</v>
      </c>
      <c r="H1616" s="1">
        <v>1.3955</v>
      </c>
      <c r="I1616" s="1">
        <v>1.6839999999999999</v>
      </c>
      <c r="J1616" s="1">
        <v>4.4733000000000001</v>
      </c>
    </row>
    <row r="1617" spans="2:10" x14ac:dyDescent="0.3">
      <c r="B1617" s="10">
        <f t="shared" si="50"/>
        <v>2020</v>
      </c>
      <c r="C1617" s="10">
        <f t="shared" si="51"/>
        <v>2</v>
      </c>
      <c r="D1617" s="3">
        <v>43888</v>
      </c>
      <c r="E1617" s="1">
        <v>52.18</v>
      </c>
      <c r="F1617" s="1">
        <v>47.09</v>
      </c>
      <c r="G1617" s="1">
        <v>1.4892000000000001</v>
      </c>
      <c r="H1617" s="1">
        <v>1.4106000000000001</v>
      </c>
      <c r="I1617" s="1">
        <v>1.752</v>
      </c>
      <c r="J1617" s="1">
        <v>4.4861000000000004</v>
      </c>
    </row>
    <row r="1618" spans="2:10" x14ac:dyDescent="0.3">
      <c r="B1618" s="10">
        <f t="shared" si="50"/>
        <v>2020</v>
      </c>
      <c r="C1618" s="10">
        <f t="shared" si="51"/>
        <v>2</v>
      </c>
      <c r="D1618" s="3">
        <v>43887</v>
      </c>
      <c r="E1618" s="1">
        <v>53.43</v>
      </c>
      <c r="F1618" s="1">
        <v>48.73</v>
      </c>
      <c r="G1618" s="1">
        <v>1.4994000000000001</v>
      </c>
      <c r="H1618" s="1">
        <v>1.4549000000000001</v>
      </c>
      <c r="I1618" s="1">
        <v>1.821</v>
      </c>
      <c r="J1618" s="1">
        <v>4.4501999999999997</v>
      </c>
    </row>
    <row r="1619" spans="2:10" x14ac:dyDescent="0.3">
      <c r="B1619" s="10">
        <f t="shared" si="50"/>
        <v>2020</v>
      </c>
      <c r="C1619" s="10">
        <f t="shared" si="51"/>
        <v>2</v>
      </c>
      <c r="D1619" s="3">
        <v>43886</v>
      </c>
      <c r="E1619" s="1">
        <v>54.95</v>
      </c>
      <c r="F1619" s="1">
        <v>49.9</v>
      </c>
      <c r="G1619" s="1">
        <v>1.5685</v>
      </c>
      <c r="H1619" s="1">
        <v>1.5324</v>
      </c>
      <c r="I1619" s="1">
        <v>1.847</v>
      </c>
      <c r="J1619" s="1">
        <v>4.3878000000000004</v>
      </c>
    </row>
    <row r="1620" spans="2:10" x14ac:dyDescent="0.3">
      <c r="B1620" s="10">
        <f t="shared" si="50"/>
        <v>2020</v>
      </c>
      <c r="C1620" s="10">
        <f t="shared" si="51"/>
        <v>2</v>
      </c>
      <c r="D1620" s="3">
        <v>43885</v>
      </c>
      <c r="E1620" s="1">
        <v>56.3</v>
      </c>
      <c r="F1620" s="1">
        <v>51.43</v>
      </c>
      <c r="G1620" s="1">
        <v>1.6132</v>
      </c>
      <c r="H1620" s="1">
        <v>1.6091</v>
      </c>
      <c r="I1620" s="1">
        <v>1.827</v>
      </c>
      <c r="J1620" s="1">
        <v>4.3878000000000004</v>
      </c>
    </row>
    <row r="1621" spans="2:10" x14ac:dyDescent="0.3">
      <c r="B1621" s="10">
        <f t="shared" si="50"/>
        <v>2020</v>
      </c>
      <c r="C1621" s="10">
        <f t="shared" si="51"/>
        <v>2</v>
      </c>
      <c r="D1621" s="3">
        <v>43882</v>
      </c>
      <c r="E1621" s="1">
        <v>58.5</v>
      </c>
      <c r="F1621" s="1">
        <v>53.38</v>
      </c>
      <c r="G1621" s="1">
        <v>1.6866000000000001</v>
      </c>
      <c r="H1621" s="1">
        <v>1.6506000000000001</v>
      </c>
      <c r="I1621" s="1">
        <v>1.905</v>
      </c>
      <c r="J1621" s="1">
        <v>4.3895</v>
      </c>
    </row>
    <row r="1622" spans="2:10" x14ac:dyDescent="0.3">
      <c r="B1622" s="10">
        <f t="shared" si="50"/>
        <v>2020</v>
      </c>
      <c r="C1622" s="10">
        <f t="shared" si="51"/>
        <v>2</v>
      </c>
      <c r="D1622" s="3">
        <v>43881</v>
      </c>
      <c r="E1622" s="1">
        <v>59.31</v>
      </c>
      <c r="F1622" s="1">
        <v>53.78</v>
      </c>
      <c r="G1622" s="1">
        <v>1.6976</v>
      </c>
      <c r="H1622" s="1">
        <v>1.6697</v>
      </c>
      <c r="I1622" s="1">
        <v>1.92</v>
      </c>
      <c r="J1622" s="1">
        <v>4.3933</v>
      </c>
    </row>
    <row r="1623" spans="2:10" x14ac:dyDescent="0.3">
      <c r="B1623" s="10">
        <f t="shared" si="50"/>
        <v>2020</v>
      </c>
      <c r="C1623" s="10">
        <f t="shared" si="51"/>
        <v>2</v>
      </c>
      <c r="D1623" s="3">
        <v>43880</v>
      </c>
      <c r="E1623" s="1">
        <v>59.12</v>
      </c>
      <c r="F1623" s="1">
        <v>53.29</v>
      </c>
      <c r="G1623" s="1">
        <v>1.7068000000000001</v>
      </c>
      <c r="H1623" s="1">
        <v>1.6633</v>
      </c>
      <c r="I1623" s="1">
        <v>1.9550000000000001</v>
      </c>
      <c r="J1623" s="1">
        <v>4.3648999999999996</v>
      </c>
    </row>
    <row r="1624" spans="2:10" x14ac:dyDescent="0.3">
      <c r="B1624" s="10">
        <f t="shared" si="50"/>
        <v>2020</v>
      </c>
      <c r="C1624" s="10">
        <f t="shared" si="51"/>
        <v>2</v>
      </c>
      <c r="D1624" s="3">
        <v>43879</v>
      </c>
      <c r="E1624" s="1">
        <v>57.75</v>
      </c>
      <c r="F1624" s="1">
        <v>52.05</v>
      </c>
      <c r="G1624" s="1">
        <v>1.6724000000000001</v>
      </c>
      <c r="H1624" s="1">
        <v>1.6148</v>
      </c>
      <c r="I1624" s="1">
        <v>1.9810000000000001</v>
      </c>
      <c r="J1624" s="1">
        <v>4.3556999999999997</v>
      </c>
    </row>
    <row r="1625" spans="2:10" x14ac:dyDescent="0.3">
      <c r="B1625" s="10">
        <f t="shared" si="50"/>
        <v>2020</v>
      </c>
      <c r="C1625" s="10">
        <f t="shared" si="51"/>
        <v>2</v>
      </c>
      <c r="D1625" s="3">
        <v>43878</v>
      </c>
      <c r="E1625" s="1">
        <v>57.67</v>
      </c>
      <c r="J1625" s="1">
        <v>4.327</v>
      </c>
    </row>
    <row r="1626" spans="2:10" x14ac:dyDescent="0.3">
      <c r="B1626" s="10">
        <f t="shared" si="50"/>
        <v>2020</v>
      </c>
      <c r="C1626" s="10">
        <f t="shared" si="51"/>
        <v>2</v>
      </c>
      <c r="D1626" s="3">
        <v>43875</v>
      </c>
      <c r="E1626" s="1">
        <v>57.32</v>
      </c>
      <c r="F1626" s="1">
        <v>52.05</v>
      </c>
      <c r="G1626" s="1">
        <v>1.6981999999999999</v>
      </c>
      <c r="H1626" s="1">
        <v>1.5832999999999999</v>
      </c>
      <c r="I1626" s="1">
        <v>1.837</v>
      </c>
      <c r="J1626" s="1">
        <v>4.2973999999999997</v>
      </c>
    </row>
    <row r="1627" spans="2:10" x14ac:dyDescent="0.3">
      <c r="B1627" s="10">
        <f t="shared" si="50"/>
        <v>2020</v>
      </c>
      <c r="C1627" s="10">
        <f t="shared" si="51"/>
        <v>2</v>
      </c>
      <c r="D1627" s="3">
        <v>43874</v>
      </c>
      <c r="E1627" s="1">
        <v>56.34</v>
      </c>
      <c r="F1627" s="1">
        <v>51.42</v>
      </c>
      <c r="G1627" s="1">
        <v>1.6805000000000001</v>
      </c>
      <c r="H1627" s="1">
        <v>1.5802</v>
      </c>
      <c r="I1627" s="1">
        <v>1.8260000000000001</v>
      </c>
      <c r="J1627" s="1">
        <v>4.3498000000000001</v>
      </c>
    </row>
    <row r="1628" spans="2:10" x14ac:dyDescent="0.3">
      <c r="B1628" s="10">
        <f t="shared" si="50"/>
        <v>2020</v>
      </c>
      <c r="C1628" s="10">
        <f t="shared" si="51"/>
        <v>2</v>
      </c>
      <c r="D1628" s="3">
        <v>43873</v>
      </c>
      <c r="E1628" s="1">
        <v>55.79</v>
      </c>
      <c r="F1628" s="1">
        <v>51.17</v>
      </c>
      <c r="G1628" s="1">
        <v>1.6757</v>
      </c>
      <c r="H1628" s="1">
        <v>1.581</v>
      </c>
      <c r="I1628" s="1">
        <v>1.8440000000000001</v>
      </c>
      <c r="J1628" s="1">
        <v>4.3548</v>
      </c>
    </row>
    <row r="1629" spans="2:10" x14ac:dyDescent="0.3">
      <c r="B1629" s="10">
        <f t="shared" si="50"/>
        <v>2020</v>
      </c>
      <c r="C1629" s="10">
        <f t="shared" si="51"/>
        <v>2</v>
      </c>
      <c r="D1629" s="3">
        <v>43872</v>
      </c>
      <c r="E1629" s="1">
        <v>54.01</v>
      </c>
      <c r="F1629" s="1">
        <v>49.94</v>
      </c>
      <c r="G1629" s="1">
        <v>1.6267</v>
      </c>
      <c r="H1629" s="1">
        <v>1.5142</v>
      </c>
      <c r="I1629" s="1">
        <v>1.788</v>
      </c>
      <c r="J1629" s="1">
        <v>4.3315999999999999</v>
      </c>
    </row>
    <row r="1630" spans="2:10" x14ac:dyDescent="0.3">
      <c r="B1630" s="10">
        <f t="shared" si="50"/>
        <v>2020</v>
      </c>
      <c r="C1630" s="10">
        <f t="shared" si="51"/>
        <v>2</v>
      </c>
      <c r="D1630" s="3">
        <v>43871</v>
      </c>
      <c r="E1630" s="1">
        <v>53.27</v>
      </c>
      <c r="F1630" s="1">
        <v>49.57</v>
      </c>
      <c r="G1630" s="1">
        <v>1.6125</v>
      </c>
      <c r="H1630" s="1">
        <v>1.5213000000000001</v>
      </c>
      <c r="I1630" s="1">
        <v>1.766</v>
      </c>
      <c r="J1630" s="1">
        <v>4.3247999999999998</v>
      </c>
    </row>
    <row r="1631" spans="2:10" x14ac:dyDescent="0.3">
      <c r="B1631" s="10">
        <f t="shared" si="50"/>
        <v>2020</v>
      </c>
      <c r="C1631" s="10">
        <f t="shared" si="51"/>
        <v>2</v>
      </c>
      <c r="D1631" s="3">
        <v>43868</v>
      </c>
      <c r="E1631" s="1">
        <v>54.47</v>
      </c>
      <c r="F1631" s="1">
        <v>50.32</v>
      </c>
      <c r="G1631" s="1">
        <v>1.6433</v>
      </c>
      <c r="H1631" s="1">
        <v>1.5239</v>
      </c>
      <c r="I1631" s="1">
        <v>1.8580000000000001</v>
      </c>
      <c r="J1631" s="1">
        <v>4.3202999999999996</v>
      </c>
    </row>
    <row r="1632" spans="2:10" x14ac:dyDescent="0.3">
      <c r="B1632" s="10">
        <f t="shared" si="50"/>
        <v>2020</v>
      </c>
      <c r="C1632" s="10">
        <f t="shared" si="51"/>
        <v>2</v>
      </c>
      <c r="D1632" s="3">
        <v>43867</v>
      </c>
      <c r="E1632" s="1">
        <v>54.93</v>
      </c>
      <c r="F1632" s="1">
        <v>50.95</v>
      </c>
      <c r="G1632" s="1">
        <v>1.6654</v>
      </c>
      <c r="H1632" s="1">
        <v>1.498</v>
      </c>
      <c r="I1632" s="1">
        <v>1.8620000000000001</v>
      </c>
      <c r="J1632" s="1">
        <v>4.2821999999999996</v>
      </c>
    </row>
    <row r="1633" spans="2:10" x14ac:dyDescent="0.3">
      <c r="B1633" s="10">
        <f t="shared" si="50"/>
        <v>2020</v>
      </c>
      <c r="C1633" s="10">
        <f t="shared" si="51"/>
        <v>2</v>
      </c>
      <c r="D1633" s="3">
        <v>43866</v>
      </c>
      <c r="E1633" s="1">
        <v>55.28</v>
      </c>
      <c r="F1633" s="1">
        <v>50.75</v>
      </c>
      <c r="G1633" s="1">
        <v>1.6454</v>
      </c>
      <c r="H1633" s="1">
        <v>1.4863</v>
      </c>
      <c r="I1633" s="1">
        <v>1.861</v>
      </c>
      <c r="J1633" s="1">
        <v>4.2352999999999996</v>
      </c>
    </row>
    <row r="1634" spans="2:10" x14ac:dyDescent="0.3">
      <c r="B1634" s="10">
        <f t="shared" si="50"/>
        <v>2020</v>
      </c>
      <c r="C1634" s="10">
        <f t="shared" si="51"/>
        <v>2</v>
      </c>
      <c r="D1634" s="3">
        <v>43865</v>
      </c>
      <c r="E1634" s="1">
        <v>53.96</v>
      </c>
      <c r="F1634" s="1">
        <v>49.61</v>
      </c>
      <c r="G1634" s="1">
        <v>1.5839000000000001</v>
      </c>
      <c r="H1634" s="1">
        <v>1.4432</v>
      </c>
      <c r="I1634" s="1">
        <v>1.8720000000000001</v>
      </c>
      <c r="J1634" s="1">
        <v>4.2545000000000002</v>
      </c>
    </row>
    <row r="1635" spans="2:10" x14ac:dyDescent="0.3">
      <c r="B1635" s="10">
        <f t="shared" si="50"/>
        <v>2020</v>
      </c>
      <c r="C1635" s="10">
        <f t="shared" si="51"/>
        <v>2</v>
      </c>
      <c r="D1635" s="3">
        <v>43864</v>
      </c>
      <c r="E1635" s="1">
        <v>54.45</v>
      </c>
      <c r="F1635" s="1">
        <v>50.11</v>
      </c>
      <c r="G1635" s="1">
        <v>1.5779000000000001</v>
      </c>
      <c r="H1635" s="1">
        <v>1.4737</v>
      </c>
      <c r="I1635" s="1">
        <v>1.819</v>
      </c>
      <c r="J1635" s="1">
        <v>4.2476000000000003</v>
      </c>
    </row>
    <row r="1636" spans="2:10" x14ac:dyDescent="0.3">
      <c r="B1636" s="10">
        <f t="shared" si="50"/>
        <v>2020</v>
      </c>
      <c r="C1636" s="10">
        <f t="shared" si="51"/>
        <v>1</v>
      </c>
      <c r="D1636" s="3">
        <v>43861</v>
      </c>
      <c r="E1636" s="1">
        <v>58.16</v>
      </c>
      <c r="F1636" s="1">
        <v>51.56</v>
      </c>
      <c r="G1636" s="1">
        <v>1.6245000000000001</v>
      </c>
      <c r="H1636" s="1">
        <v>1.4886999999999999</v>
      </c>
      <c r="I1636" s="1">
        <v>1.841</v>
      </c>
      <c r="J1636" s="1">
        <v>4.282</v>
      </c>
    </row>
    <row r="1637" spans="2:10" x14ac:dyDescent="0.3">
      <c r="B1637" s="10">
        <f t="shared" si="50"/>
        <v>2020</v>
      </c>
      <c r="C1637" s="10">
        <f t="shared" si="51"/>
        <v>1</v>
      </c>
      <c r="D1637" s="3">
        <v>43860</v>
      </c>
      <c r="E1637" s="1">
        <v>58.29</v>
      </c>
      <c r="F1637" s="1">
        <v>52.14</v>
      </c>
      <c r="G1637" s="1">
        <v>1.6395999999999999</v>
      </c>
      <c r="H1637" s="1">
        <v>1.4937</v>
      </c>
      <c r="I1637" s="1">
        <v>1.829</v>
      </c>
      <c r="J1637" s="1">
        <v>4.2430000000000003</v>
      </c>
    </row>
    <row r="1638" spans="2:10" x14ac:dyDescent="0.3">
      <c r="B1638" s="10">
        <f t="shared" si="50"/>
        <v>2020</v>
      </c>
      <c r="C1638" s="10">
        <f t="shared" si="51"/>
        <v>1</v>
      </c>
      <c r="D1638" s="3">
        <v>43859</v>
      </c>
      <c r="E1638" s="1">
        <v>59.81</v>
      </c>
      <c r="F1638" s="1">
        <v>53.33</v>
      </c>
      <c r="G1638" s="1">
        <v>1.7035</v>
      </c>
      <c r="H1638" s="1">
        <v>1.5307999999999999</v>
      </c>
      <c r="I1638" s="1">
        <v>1.877</v>
      </c>
      <c r="J1638" s="1">
        <v>4.2302999999999997</v>
      </c>
    </row>
    <row r="1639" spans="2:10" x14ac:dyDescent="0.3">
      <c r="B1639" s="10">
        <f t="shared" si="50"/>
        <v>2020</v>
      </c>
      <c r="C1639" s="10">
        <f t="shared" si="51"/>
        <v>1</v>
      </c>
      <c r="D1639" s="3">
        <v>43858</v>
      </c>
      <c r="E1639" s="1">
        <v>59.51</v>
      </c>
      <c r="F1639" s="1">
        <v>53.48</v>
      </c>
      <c r="G1639" s="1">
        <v>1.7159</v>
      </c>
      <c r="H1639" s="1">
        <v>1.5032000000000001</v>
      </c>
      <c r="I1639" s="1">
        <v>1.9339999999999999</v>
      </c>
      <c r="J1639" s="1">
        <v>4.1943000000000001</v>
      </c>
    </row>
    <row r="1640" spans="2:10" x14ac:dyDescent="0.3">
      <c r="B1640" s="10">
        <f t="shared" si="50"/>
        <v>2020</v>
      </c>
      <c r="C1640" s="10">
        <f t="shared" si="51"/>
        <v>1</v>
      </c>
      <c r="D1640" s="3">
        <v>43857</v>
      </c>
      <c r="E1640" s="1">
        <v>59.32</v>
      </c>
      <c r="F1640" s="1">
        <v>53.14</v>
      </c>
      <c r="G1640" s="1">
        <v>1.6795</v>
      </c>
      <c r="H1640" s="1">
        <v>1.484</v>
      </c>
      <c r="I1640" s="1">
        <v>1.9019999999999999</v>
      </c>
      <c r="J1640" s="1">
        <v>4.2073999999999998</v>
      </c>
    </row>
    <row r="1641" spans="2:10" x14ac:dyDescent="0.3">
      <c r="B1641" s="10">
        <f t="shared" si="50"/>
        <v>2020</v>
      </c>
      <c r="C1641" s="10">
        <f t="shared" si="51"/>
        <v>1</v>
      </c>
      <c r="D1641" s="3">
        <v>43854</v>
      </c>
      <c r="E1641" s="1">
        <v>60.69</v>
      </c>
      <c r="F1641" s="1">
        <v>54.19</v>
      </c>
      <c r="G1641" s="1">
        <v>1.734</v>
      </c>
      <c r="H1641" s="1">
        <v>1.5152000000000001</v>
      </c>
      <c r="I1641" s="1">
        <v>1.893</v>
      </c>
      <c r="J1641" s="1">
        <v>4.1814</v>
      </c>
    </row>
    <row r="1642" spans="2:10" x14ac:dyDescent="0.3">
      <c r="B1642" s="10">
        <f t="shared" si="50"/>
        <v>2020</v>
      </c>
      <c r="C1642" s="10">
        <f t="shared" si="51"/>
        <v>1</v>
      </c>
      <c r="D1642" s="3">
        <v>43853</v>
      </c>
      <c r="E1642" s="1">
        <v>62.04</v>
      </c>
      <c r="F1642" s="1">
        <v>55.59</v>
      </c>
      <c r="G1642" s="1">
        <v>1.7916000000000001</v>
      </c>
      <c r="H1642" s="1">
        <v>1.5602</v>
      </c>
      <c r="I1642" s="1">
        <v>1.9259999999999999</v>
      </c>
      <c r="J1642" s="1">
        <v>4.1703000000000001</v>
      </c>
    </row>
    <row r="1643" spans="2:10" x14ac:dyDescent="0.3">
      <c r="B1643" s="10">
        <f t="shared" si="50"/>
        <v>2020</v>
      </c>
      <c r="C1643" s="10">
        <f t="shared" si="51"/>
        <v>1</v>
      </c>
      <c r="D1643" s="3">
        <v>43852</v>
      </c>
      <c r="E1643" s="1">
        <v>63.21</v>
      </c>
      <c r="F1643" s="1">
        <v>56.74</v>
      </c>
      <c r="G1643" s="1">
        <v>1.8002</v>
      </c>
      <c r="H1643" s="1">
        <v>1.5795999999999999</v>
      </c>
      <c r="I1643" s="1">
        <v>1.905</v>
      </c>
      <c r="J1643" s="1">
        <v>4.1825999999999999</v>
      </c>
    </row>
    <row r="1644" spans="2:10" x14ac:dyDescent="0.3">
      <c r="B1644" s="10">
        <f t="shared" si="50"/>
        <v>2020</v>
      </c>
      <c r="C1644" s="10">
        <f t="shared" si="51"/>
        <v>1</v>
      </c>
      <c r="D1644" s="3">
        <v>43851</v>
      </c>
      <c r="E1644" s="1">
        <v>64.59</v>
      </c>
      <c r="F1644" s="1">
        <v>58.34</v>
      </c>
      <c r="G1644" s="1">
        <v>1.8291999999999999</v>
      </c>
      <c r="H1644" s="1">
        <v>1.6365000000000001</v>
      </c>
      <c r="I1644" s="1">
        <v>1.895</v>
      </c>
      <c r="J1644" s="1">
        <v>4.2122999999999999</v>
      </c>
    </row>
    <row r="1645" spans="2:10" x14ac:dyDescent="0.3">
      <c r="B1645" s="10">
        <f t="shared" si="50"/>
        <v>2020</v>
      </c>
      <c r="C1645" s="10">
        <f t="shared" si="51"/>
        <v>1</v>
      </c>
      <c r="D1645" s="3">
        <v>43850</v>
      </c>
      <c r="E1645" s="1">
        <v>65.2</v>
      </c>
      <c r="J1645" s="1">
        <v>4.1898</v>
      </c>
    </row>
    <row r="1646" spans="2:10" x14ac:dyDescent="0.3">
      <c r="B1646" s="10">
        <f t="shared" si="50"/>
        <v>2020</v>
      </c>
      <c r="C1646" s="10">
        <f t="shared" si="51"/>
        <v>1</v>
      </c>
      <c r="D1646" s="3">
        <v>43847</v>
      </c>
      <c r="E1646" s="1">
        <v>64.849999999999994</v>
      </c>
      <c r="F1646" s="1">
        <v>58.54</v>
      </c>
      <c r="G1646" s="1">
        <v>1.8592</v>
      </c>
      <c r="H1646" s="1">
        <v>1.6406000000000001</v>
      </c>
      <c r="I1646" s="1">
        <v>2.0030000000000001</v>
      </c>
      <c r="J1646" s="1">
        <v>4.1616</v>
      </c>
    </row>
    <row r="1647" spans="2:10" x14ac:dyDescent="0.3">
      <c r="B1647" s="10">
        <f t="shared" si="50"/>
        <v>2020</v>
      </c>
      <c r="C1647" s="10">
        <f t="shared" si="51"/>
        <v>1</v>
      </c>
      <c r="D1647" s="3">
        <v>43846</v>
      </c>
      <c r="E1647" s="1">
        <v>64.62</v>
      </c>
      <c r="F1647" s="1">
        <v>58.52</v>
      </c>
      <c r="G1647" s="1">
        <v>1.86</v>
      </c>
      <c r="H1647" s="1">
        <v>1.6548</v>
      </c>
      <c r="I1647" s="1">
        <v>2.077</v>
      </c>
      <c r="J1647" s="1">
        <v>4.1847000000000003</v>
      </c>
    </row>
    <row r="1648" spans="2:10" x14ac:dyDescent="0.3">
      <c r="B1648" s="10">
        <f t="shared" si="50"/>
        <v>2020</v>
      </c>
      <c r="C1648" s="10">
        <f t="shared" si="51"/>
        <v>1</v>
      </c>
      <c r="D1648" s="3">
        <v>43845</v>
      </c>
      <c r="E1648" s="1">
        <v>64</v>
      </c>
      <c r="F1648" s="1">
        <v>57.81</v>
      </c>
      <c r="G1648" s="1">
        <v>1.8778999999999999</v>
      </c>
      <c r="H1648" s="1">
        <v>1.6368</v>
      </c>
      <c r="I1648" s="1">
        <v>2.12</v>
      </c>
      <c r="J1648" s="1">
        <v>4.1753</v>
      </c>
    </row>
    <row r="1649" spans="2:10" x14ac:dyDescent="0.3">
      <c r="B1649" s="10">
        <f t="shared" si="50"/>
        <v>2020</v>
      </c>
      <c r="C1649" s="10">
        <f t="shared" si="51"/>
        <v>1</v>
      </c>
      <c r="D1649" s="3">
        <v>43844</v>
      </c>
      <c r="E1649" s="1">
        <v>64.489999999999995</v>
      </c>
      <c r="F1649" s="1">
        <v>58.23</v>
      </c>
      <c r="G1649" s="1">
        <v>1.9103000000000001</v>
      </c>
      <c r="H1649" s="1">
        <v>1.6544000000000001</v>
      </c>
      <c r="I1649" s="1">
        <v>2.1869999999999998</v>
      </c>
      <c r="J1649" s="1">
        <v>4.1326000000000001</v>
      </c>
    </row>
    <row r="1650" spans="2:10" x14ac:dyDescent="0.3">
      <c r="B1650" s="10">
        <f t="shared" si="50"/>
        <v>2020</v>
      </c>
      <c r="C1650" s="10">
        <f t="shared" si="51"/>
        <v>1</v>
      </c>
      <c r="D1650" s="3">
        <v>43843</v>
      </c>
      <c r="E1650" s="1">
        <v>64.2</v>
      </c>
      <c r="F1650" s="1">
        <v>58.08</v>
      </c>
      <c r="G1650" s="1">
        <v>1.8979999999999999</v>
      </c>
      <c r="H1650" s="1">
        <v>1.6573</v>
      </c>
      <c r="I1650" s="1">
        <v>2.1819999999999999</v>
      </c>
      <c r="J1650" s="1">
        <v>4.1466000000000003</v>
      </c>
    </row>
    <row r="1651" spans="2:10" x14ac:dyDescent="0.3">
      <c r="B1651" s="10">
        <f t="shared" si="50"/>
        <v>2020</v>
      </c>
      <c r="C1651" s="10">
        <f t="shared" si="51"/>
        <v>1</v>
      </c>
      <c r="D1651" s="3">
        <v>43840</v>
      </c>
      <c r="E1651" s="1">
        <v>64.98</v>
      </c>
      <c r="F1651" s="1">
        <v>59.04</v>
      </c>
      <c r="G1651" s="1">
        <v>1.9283999999999999</v>
      </c>
      <c r="H1651" s="1">
        <v>1.6596</v>
      </c>
      <c r="I1651" s="1">
        <v>2.202</v>
      </c>
      <c r="J1651" s="1">
        <v>4.0960000000000001</v>
      </c>
    </row>
    <row r="1652" spans="2:10" x14ac:dyDescent="0.3">
      <c r="B1652" s="10">
        <f t="shared" si="50"/>
        <v>2020</v>
      </c>
      <c r="C1652" s="10">
        <f t="shared" si="51"/>
        <v>1</v>
      </c>
      <c r="D1652" s="3">
        <v>43839</v>
      </c>
      <c r="E1652" s="1">
        <v>65.37</v>
      </c>
      <c r="F1652" s="1">
        <v>59.56</v>
      </c>
      <c r="G1652" s="1">
        <v>1.9500999999999999</v>
      </c>
      <c r="H1652" s="1">
        <v>1.6527000000000001</v>
      </c>
      <c r="I1652" s="1">
        <v>2.1659999999999999</v>
      </c>
      <c r="J1652" s="1">
        <v>4.0925000000000002</v>
      </c>
    </row>
    <row r="1653" spans="2:10" x14ac:dyDescent="0.3">
      <c r="B1653" s="10">
        <f t="shared" si="50"/>
        <v>2020</v>
      </c>
      <c r="C1653" s="10">
        <f t="shared" si="51"/>
        <v>1</v>
      </c>
      <c r="D1653" s="3">
        <v>43838</v>
      </c>
      <c r="E1653" s="1">
        <v>65.44</v>
      </c>
      <c r="F1653" s="1">
        <v>59.61</v>
      </c>
      <c r="G1653" s="1">
        <v>1.9581999999999999</v>
      </c>
      <c r="H1653" s="1">
        <v>1.6488</v>
      </c>
      <c r="I1653" s="1">
        <v>2.141</v>
      </c>
      <c r="J1653" s="1">
        <v>4.0647000000000002</v>
      </c>
    </row>
    <row r="1654" spans="2:10" x14ac:dyDescent="0.3">
      <c r="B1654" s="10">
        <f t="shared" si="50"/>
        <v>2020</v>
      </c>
      <c r="C1654" s="10">
        <f t="shared" si="51"/>
        <v>1</v>
      </c>
      <c r="D1654" s="3">
        <v>43837</v>
      </c>
      <c r="E1654" s="1">
        <v>68.27</v>
      </c>
      <c r="F1654" s="1">
        <v>62.7</v>
      </c>
      <c r="G1654" s="1">
        <v>2.0324</v>
      </c>
      <c r="H1654" s="1">
        <v>1.7222</v>
      </c>
      <c r="I1654" s="1">
        <v>2.1619999999999999</v>
      </c>
      <c r="J1654" s="1">
        <v>4.0675999999999997</v>
      </c>
    </row>
    <row r="1655" spans="2:10" x14ac:dyDescent="0.3">
      <c r="B1655" s="10">
        <f t="shared" si="50"/>
        <v>2020</v>
      </c>
      <c r="C1655" s="10">
        <f t="shared" si="51"/>
        <v>1</v>
      </c>
      <c r="D1655" s="3">
        <v>43836</v>
      </c>
      <c r="E1655" s="1">
        <v>68.91</v>
      </c>
      <c r="F1655" s="1">
        <v>63.27</v>
      </c>
      <c r="G1655" s="1">
        <v>2.0339</v>
      </c>
      <c r="H1655" s="1">
        <v>1.7544</v>
      </c>
      <c r="I1655" s="1">
        <v>2.1349999999999998</v>
      </c>
      <c r="J1655" s="1">
        <v>4.0616000000000003</v>
      </c>
    </row>
    <row r="1656" spans="2:10" x14ac:dyDescent="0.3">
      <c r="B1656" s="10">
        <f t="shared" si="50"/>
        <v>2020</v>
      </c>
      <c r="C1656" s="10">
        <f t="shared" si="51"/>
        <v>1</v>
      </c>
      <c r="D1656" s="3">
        <v>43833</v>
      </c>
      <c r="E1656" s="1">
        <v>68.599999999999994</v>
      </c>
      <c r="F1656" s="1">
        <v>63.05</v>
      </c>
      <c r="G1656" s="1">
        <v>2.0613999999999999</v>
      </c>
      <c r="H1656" s="1">
        <v>1.7487999999999999</v>
      </c>
      <c r="I1656" s="1">
        <v>2.13</v>
      </c>
      <c r="J1656" s="1">
        <v>4.0669000000000004</v>
      </c>
    </row>
    <row r="1657" spans="2:10" x14ac:dyDescent="0.3">
      <c r="B1657" s="10">
        <f t="shared" si="50"/>
        <v>2020</v>
      </c>
      <c r="C1657" s="10">
        <f t="shared" si="51"/>
        <v>1</v>
      </c>
      <c r="D1657" s="3">
        <v>43832</v>
      </c>
      <c r="E1657" s="1">
        <v>66.25</v>
      </c>
      <c r="F1657" s="1">
        <v>61.18</v>
      </c>
      <c r="G1657" s="1">
        <v>2.0240999999999998</v>
      </c>
      <c r="H1657" s="1">
        <v>1.7041999999999999</v>
      </c>
      <c r="I1657" s="1">
        <v>2.1219999999999999</v>
      </c>
      <c r="J1657" s="1">
        <v>4.0259999999999998</v>
      </c>
    </row>
    <row r="1658" spans="2:10" x14ac:dyDescent="0.3">
      <c r="B1658" s="10">
        <f t="shared" si="50"/>
        <v>2020</v>
      </c>
      <c r="C1658" s="10">
        <f t="shared" si="51"/>
        <v>1</v>
      </c>
      <c r="D1658" s="3">
        <v>43831</v>
      </c>
      <c r="J1658" s="1">
        <v>4.0190000000000001</v>
      </c>
    </row>
    <row r="1659" spans="2:10" x14ac:dyDescent="0.3">
      <c r="B1659" s="10">
        <f t="shared" si="50"/>
        <v>2019</v>
      </c>
      <c r="C1659" s="10">
        <f t="shared" si="51"/>
        <v>12</v>
      </c>
      <c r="D1659" s="3">
        <v>43830</v>
      </c>
      <c r="E1659" s="1">
        <v>66</v>
      </c>
      <c r="F1659" s="1">
        <v>61.06</v>
      </c>
      <c r="G1659" s="1">
        <v>2.0283000000000002</v>
      </c>
      <c r="H1659" s="1">
        <v>1.6978</v>
      </c>
      <c r="I1659" s="1">
        <v>2.1890000000000001</v>
      </c>
      <c r="J1659" s="1">
        <v>4.0190000000000001</v>
      </c>
    </row>
    <row r="1660" spans="2:10" x14ac:dyDescent="0.3">
      <c r="B1660" s="10">
        <f t="shared" si="50"/>
        <v>2019</v>
      </c>
      <c r="C1660" s="10">
        <f t="shared" si="51"/>
        <v>12</v>
      </c>
      <c r="D1660" s="3">
        <v>43829</v>
      </c>
      <c r="E1660" s="1">
        <v>68.44</v>
      </c>
      <c r="F1660" s="1">
        <v>61.68</v>
      </c>
      <c r="G1660" s="1">
        <v>2.0406</v>
      </c>
      <c r="H1660" s="1">
        <v>1.7282999999999999</v>
      </c>
      <c r="I1660" s="1">
        <v>2.1859999999999999</v>
      </c>
      <c r="J1660" s="1">
        <v>4.0190999999999999</v>
      </c>
    </row>
    <row r="1661" spans="2:10" x14ac:dyDescent="0.3">
      <c r="B1661" s="10">
        <f t="shared" si="50"/>
        <v>2019</v>
      </c>
      <c r="C1661" s="10">
        <f t="shared" si="51"/>
        <v>12</v>
      </c>
      <c r="D1661" s="3">
        <v>43826</v>
      </c>
      <c r="E1661" s="1">
        <v>68.16</v>
      </c>
      <c r="F1661" s="1">
        <v>61.72</v>
      </c>
      <c r="G1661" s="1">
        <v>2.0495999999999999</v>
      </c>
      <c r="H1661" s="1">
        <v>1.7473000000000001</v>
      </c>
      <c r="I1661" s="1">
        <v>2.1579999999999999</v>
      </c>
      <c r="J1661" s="1">
        <v>4.0456000000000003</v>
      </c>
    </row>
    <row r="1662" spans="2:10" x14ac:dyDescent="0.3">
      <c r="B1662" s="10">
        <f t="shared" si="50"/>
        <v>2019</v>
      </c>
      <c r="C1662" s="10">
        <f t="shared" si="51"/>
        <v>12</v>
      </c>
      <c r="D1662" s="3">
        <v>43825</v>
      </c>
      <c r="E1662" s="1">
        <v>67.92</v>
      </c>
      <c r="F1662" s="1">
        <v>61.68</v>
      </c>
      <c r="G1662" s="1">
        <v>2.0520999999999998</v>
      </c>
      <c r="H1662" s="1">
        <v>1.7537</v>
      </c>
      <c r="I1662" s="1">
        <v>2.294</v>
      </c>
      <c r="J1662" s="1">
        <v>4.0556999999999999</v>
      </c>
    </row>
    <row r="1663" spans="2:10" x14ac:dyDescent="0.3">
      <c r="B1663" s="10">
        <f t="shared" si="50"/>
        <v>2019</v>
      </c>
      <c r="C1663" s="10">
        <f t="shared" si="51"/>
        <v>12</v>
      </c>
      <c r="D1663" s="3">
        <v>43824</v>
      </c>
      <c r="J1663" s="1">
        <v>4.0833000000000004</v>
      </c>
    </row>
    <row r="1664" spans="2:10" x14ac:dyDescent="0.3">
      <c r="B1664" s="10">
        <f t="shared" si="50"/>
        <v>2019</v>
      </c>
      <c r="C1664" s="10">
        <f t="shared" si="51"/>
        <v>12</v>
      </c>
      <c r="D1664" s="3">
        <v>43823</v>
      </c>
      <c r="E1664" s="1">
        <v>67.2</v>
      </c>
      <c r="F1664" s="1">
        <v>61.11</v>
      </c>
      <c r="G1664" s="1">
        <v>2.0363000000000002</v>
      </c>
      <c r="H1664" s="1">
        <v>1.7270000000000001</v>
      </c>
      <c r="I1664" s="1">
        <v>2.1720000000000002</v>
      </c>
      <c r="J1664" s="1">
        <v>4.0833000000000004</v>
      </c>
    </row>
    <row r="1665" spans="2:10" x14ac:dyDescent="0.3">
      <c r="B1665" s="10">
        <f t="shared" si="50"/>
        <v>2019</v>
      </c>
      <c r="C1665" s="10">
        <f t="shared" si="51"/>
        <v>12</v>
      </c>
      <c r="D1665" s="3">
        <v>43822</v>
      </c>
      <c r="E1665" s="1">
        <v>66.39</v>
      </c>
      <c r="F1665" s="1">
        <v>60.52</v>
      </c>
      <c r="G1665" s="1">
        <v>2.0222000000000002</v>
      </c>
      <c r="H1665" s="1">
        <v>1.7051000000000001</v>
      </c>
      <c r="I1665" s="1">
        <v>2.214</v>
      </c>
      <c r="J1665" s="1">
        <v>4.0833000000000004</v>
      </c>
    </row>
    <row r="1666" spans="2:10" x14ac:dyDescent="0.3">
      <c r="B1666" s="10">
        <f t="shared" si="50"/>
        <v>2019</v>
      </c>
      <c r="C1666" s="10">
        <f t="shared" si="51"/>
        <v>12</v>
      </c>
      <c r="D1666" s="3">
        <v>43819</v>
      </c>
      <c r="E1666" s="1">
        <v>66.14</v>
      </c>
      <c r="F1666" s="1">
        <v>60.44</v>
      </c>
      <c r="G1666" s="1">
        <v>2.0217999999999998</v>
      </c>
      <c r="H1666" s="1">
        <v>1.7058</v>
      </c>
      <c r="I1666" s="1">
        <v>2.3279999999999998</v>
      </c>
      <c r="J1666" s="1">
        <v>4.1021999999999998</v>
      </c>
    </row>
    <row r="1667" spans="2:10" x14ac:dyDescent="0.3">
      <c r="B1667" s="10">
        <f t="shared" si="50"/>
        <v>2019</v>
      </c>
      <c r="C1667" s="10">
        <f t="shared" si="51"/>
        <v>12</v>
      </c>
      <c r="D1667" s="3">
        <v>43818</v>
      </c>
      <c r="E1667" s="1">
        <v>66.540000000000006</v>
      </c>
      <c r="F1667" s="1">
        <v>61.22</v>
      </c>
      <c r="G1667" s="1">
        <v>2.0295000000000001</v>
      </c>
      <c r="H1667" s="1">
        <v>1.7068000000000001</v>
      </c>
      <c r="I1667" s="1">
        <v>2.2730000000000001</v>
      </c>
      <c r="J1667" s="1">
        <v>4.0693999999999999</v>
      </c>
    </row>
    <row r="1668" spans="2:10" x14ac:dyDescent="0.3">
      <c r="B1668" s="10">
        <f t="shared" si="50"/>
        <v>2019</v>
      </c>
      <c r="C1668" s="10">
        <f t="shared" si="51"/>
        <v>12</v>
      </c>
      <c r="D1668" s="3">
        <v>43817</v>
      </c>
      <c r="E1668" s="1">
        <v>66.17</v>
      </c>
      <c r="F1668" s="1">
        <v>60.93</v>
      </c>
      <c r="G1668" s="1">
        <v>2.0203000000000002</v>
      </c>
      <c r="H1668" s="1">
        <v>1.6838</v>
      </c>
      <c r="I1668" s="1">
        <v>2.286</v>
      </c>
      <c r="J1668" s="1">
        <v>4.0629999999999997</v>
      </c>
    </row>
    <row r="1669" spans="2:10" x14ac:dyDescent="0.3">
      <c r="B1669" s="10">
        <f t="shared" si="50"/>
        <v>2019</v>
      </c>
      <c r="C1669" s="10">
        <f t="shared" si="51"/>
        <v>12</v>
      </c>
      <c r="D1669" s="3">
        <v>43816</v>
      </c>
      <c r="E1669" s="1">
        <v>66.099999999999994</v>
      </c>
      <c r="F1669" s="1">
        <v>60.94</v>
      </c>
      <c r="G1669" s="1">
        <v>2.0333999999999999</v>
      </c>
      <c r="H1669" s="1">
        <v>1.6857</v>
      </c>
      <c r="I1669" s="1">
        <v>2.319</v>
      </c>
      <c r="J1669" s="1">
        <v>4.0716000000000001</v>
      </c>
    </row>
    <row r="1670" spans="2:10" x14ac:dyDescent="0.3">
      <c r="B1670" s="10">
        <f t="shared" ref="B1670:B1733" si="52">YEAR(D1670)</f>
        <v>2019</v>
      </c>
      <c r="C1670" s="10">
        <f t="shared" ref="C1670:C1733" si="53">MONTH(D1670)</f>
        <v>12</v>
      </c>
      <c r="D1670" s="3">
        <v>43815</v>
      </c>
      <c r="E1670" s="1">
        <v>65.34</v>
      </c>
      <c r="F1670" s="1">
        <v>60.21</v>
      </c>
      <c r="G1670" s="1">
        <v>2.0045000000000002</v>
      </c>
      <c r="H1670" s="1">
        <v>1.6627000000000001</v>
      </c>
      <c r="I1670" s="1">
        <v>2.3410000000000002</v>
      </c>
      <c r="J1670" s="1">
        <v>4.0628000000000002</v>
      </c>
    </row>
    <row r="1671" spans="2:10" x14ac:dyDescent="0.3">
      <c r="B1671" s="10">
        <f t="shared" si="52"/>
        <v>2019</v>
      </c>
      <c r="C1671" s="10">
        <f t="shared" si="53"/>
        <v>12</v>
      </c>
      <c r="D1671" s="3">
        <v>43812</v>
      </c>
      <c r="E1671" s="1">
        <v>65.22</v>
      </c>
      <c r="F1671" s="1">
        <v>60.07</v>
      </c>
      <c r="G1671" s="1">
        <v>1.9863999999999999</v>
      </c>
      <c r="H1671" s="1">
        <v>1.6632</v>
      </c>
      <c r="I1671" s="1">
        <v>2.2959999999999998</v>
      </c>
      <c r="J1671" s="1">
        <v>4.1079999999999997</v>
      </c>
    </row>
    <row r="1672" spans="2:10" x14ac:dyDescent="0.3">
      <c r="B1672" s="10">
        <f t="shared" si="52"/>
        <v>2019</v>
      </c>
      <c r="C1672" s="10">
        <f t="shared" si="53"/>
        <v>12</v>
      </c>
      <c r="D1672" s="3">
        <v>43811</v>
      </c>
      <c r="E1672" s="1">
        <v>64.2</v>
      </c>
      <c r="F1672" s="1">
        <v>59.18</v>
      </c>
      <c r="G1672" s="1">
        <v>1.9508000000000001</v>
      </c>
      <c r="H1672" s="1">
        <v>1.6283000000000001</v>
      </c>
      <c r="I1672" s="1">
        <v>2.3279999999999998</v>
      </c>
      <c r="J1672" s="1">
        <v>4.0904999999999996</v>
      </c>
    </row>
    <row r="1673" spans="2:10" x14ac:dyDescent="0.3">
      <c r="B1673" s="10">
        <f t="shared" si="52"/>
        <v>2019</v>
      </c>
      <c r="C1673" s="10">
        <f t="shared" si="53"/>
        <v>12</v>
      </c>
      <c r="D1673" s="3">
        <v>43810</v>
      </c>
      <c r="E1673" s="1">
        <v>63.72</v>
      </c>
      <c r="F1673" s="1">
        <v>58.76</v>
      </c>
      <c r="G1673" s="1">
        <v>1.9288000000000001</v>
      </c>
      <c r="H1673" s="1">
        <v>1.6261000000000001</v>
      </c>
      <c r="I1673" s="1">
        <v>2.2429999999999999</v>
      </c>
      <c r="J1673" s="1">
        <v>4.1238000000000001</v>
      </c>
    </row>
    <row r="1674" spans="2:10" x14ac:dyDescent="0.3">
      <c r="B1674" s="10">
        <f t="shared" si="52"/>
        <v>2019</v>
      </c>
      <c r="C1674" s="10">
        <f t="shared" si="53"/>
        <v>12</v>
      </c>
      <c r="D1674" s="3">
        <v>43809</v>
      </c>
      <c r="E1674" s="1">
        <v>64.34</v>
      </c>
      <c r="F1674" s="1">
        <v>59.24</v>
      </c>
      <c r="G1674" s="1">
        <v>1.9655</v>
      </c>
      <c r="H1674" s="1">
        <v>1.6525000000000001</v>
      </c>
      <c r="I1674" s="1">
        <v>2.2639999999999998</v>
      </c>
      <c r="J1674" s="1">
        <v>4.1467000000000001</v>
      </c>
    </row>
    <row r="1675" spans="2:10" x14ac:dyDescent="0.3">
      <c r="B1675" s="10">
        <f t="shared" si="52"/>
        <v>2019</v>
      </c>
      <c r="C1675" s="10">
        <f t="shared" si="53"/>
        <v>12</v>
      </c>
      <c r="D1675" s="3">
        <v>43808</v>
      </c>
      <c r="E1675" s="1">
        <v>64.25</v>
      </c>
      <c r="F1675" s="1">
        <v>59.02</v>
      </c>
      <c r="G1675" s="1">
        <v>1.9441999999999999</v>
      </c>
      <c r="H1675" s="1">
        <v>1.6548</v>
      </c>
      <c r="I1675" s="1">
        <v>2.2320000000000002</v>
      </c>
      <c r="J1675" s="1">
        <v>4.1421999999999999</v>
      </c>
    </row>
    <row r="1676" spans="2:10" x14ac:dyDescent="0.3">
      <c r="B1676" s="10">
        <f t="shared" si="52"/>
        <v>2019</v>
      </c>
      <c r="C1676" s="10">
        <f t="shared" si="53"/>
        <v>12</v>
      </c>
      <c r="D1676" s="3">
        <v>43805</v>
      </c>
      <c r="E1676" s="1">
        <v>64.39</v>
      </c>
      <c r="F1676" s="1">
        <v>59.2</v>
      </c>
      <c r="G1676" s="1">
        <v>1.9520999999999999</v>
      </c>
      <c r="H1676" s="1">
        <v>1.6474</v>
      </c>
      <c r="I1676" s="1">
        <v>2.3340000000000001</v>
      </c>
      <c r="J1676" s="1">
        <v>4.1410999999999998</v>
      </c>
    </row>
    <row r="1677" spans="2:10" x14ac:dyDescent="0.3">
      <c r="B1677" s="10">
        <f t="shared" si="52"/>
        <v>2019</v>
      </c>
      <c r="C1677" s="10">
        <f t="shared" si="53"/>
        <v>12</v>
      </c>
      <c r="D1677" s="3">
        <v>43804</v>
      </c>
      <c r="E1677" s="1">
        <v>63.39</v>
      </c>
      <c r="F1677" s="1">
        <v>58.43</v>
      </c>
      <c r="G1677" s="1">
        <v>1.9330000000000001</v>
      </c>
      <c r="H1677" s="1">
        <v>1.6211</v>
      </c>
      <c r="I1677" s="1">
        <v>2.427</v>
      </c>
      <c r="J1677" s="1">
        <v>4.1856</v>
      </c>
    </row>
    <row r="1678" spans="2:10" x14ac:dyDescent="0.3">
      <c r="B1678" s="10">
        <f t="shared" si="52"/>
        <v>2019</v>
      </c>
      <c r="C1678" s="10">
        <f t="shared" si="53"/>
        <v>12</v>
      </c>
      <c r="D1678" s="3">
        <v>43803</v>
      </c>
      <c r="E1678" s="1">
        <v>63</v>
      </c>
      <c r="F1678" s="1">
        <v>58.43</v>
      </c>
      <c r="G1678" s="1">
        <v>1.9229000000000001</v>
      </c>
      <c r="H1678" s="1">
        <v>1.6042000000000001</v>
      </c>
      <c r="I1678" s="1">
        <v>2.399</v>
      </c>
      <c r="J1678" s="1">
        <v>4.2077</v>
      </c>
    </row>
    <row r="1679" spans="2:10" x14ac:dyDescent="0.3">
      <c r="B1679" s="10">
        <f t="shared" si="52"/>
        <v>2019</v>
      </c>
      <c r="C1679" s="10">
        <f t="shared" si="53"/>
        <v>12</v>
      </c>
      <c r="D1679" s="3">
        <v>43802</v>
      </c>
      <c r="E1679" s="1">
        <v>60.82</v>
      </c>
      <c r="F1679" s="1">
        <v>56.1</v>
      </c>
      <c r="G1679" s="1">
        <v>1.8798999999999999</v>
      </c>
      <c r="H1679" s="1">
        <v>1.5629</v>
      </c>
      <c r="I1679" s="1">
        <v>2.4409999999999998</v>
      </c>
      <c r="J1679" s="1">
        <v>4.2062999999999997</v>
      </c>
    </row>
    <row r="1680" spans="2:10" x14ac:dyDescent="0.3">
      <c r="B1680" s="10">
        <f t="shared" si="52"/>
        <v>2019</v>
      </c>
      <c r="C1680" s="10">
        <f t="shared" si="53"/>
        <v>12</v>
      </c>
      <c r="D1680" s="3">
        <v>43801</v>
      </c>
      <c r="E1680" s="1">
        <v>60.92</v>
      </c>
      <c r="F1680" s="1">
        <v>55.96</v>
      </c>
      <c r="G1680" s="1">
        <v>1.8859999999999999</v>
      </c>
      <c r="H1680" s="1">
        <v>1.5732999999999999</v>
      </c>
      <c r="I1680" s="1">
        <v>2.3290000000000002</v>
      </c>
      <c r="J1680" s="1">
        <v>4.2229999999999999</v>
      </c>
    </row>
    <row r="1681" spans="2:10" x14ac:dyDescent="0.3">
      <c r="B1681" s="10">
        <f t="shared" si="52"/>
        <v>2019</v>
      </c>
      <c r="C1681" s="10">
        <f t="shared" si="53"/>
        <v>11</v>
      </c>
      <c r="D1681" s="3">
        <v>43798</v>
      </c>
      <c r="E1681" s="1">
        <v>62.43</v>
      </c>
      <c r="F1681" s="1">
        <v>55.17</v>
      </c>
      <c r="G1681" s="1">
        <v>1.8789</v>
      </c>
      <c r="H1681" s="1">
        <v>1.597</v>
      </c>
      <c r="I1681" s="1">
        <v>2.2810000000000001</v>
      </c>
      <c r="J1681" s="1">
        <v>4.2363999999999997</v>
      </c>
    </row>
    <row r="1682" spans="2:10" x14ac:dyDescent="0.3">
      <c r="B1682" s="10">
        <f t="shared" si="52"/>
        <v>2019</v>
      </c>
      <c r="C1682" s="10">
        <f t="shared" si="53"/>
        <v>11</v>
      </c>
      <c r="D1682" s="3">
        <v>43797</v>
      </c>
      <c r="E1682" s="1">
        <v>63.87</v>
      </c>
      <c r="J1682" s="1">
        <v>4.1900000000000004</v>
      </c>
    </row>
    <row r="1683" spans="2:10" x14ac:dyDescent="0.3">
      <c r="B1683" s="10">
        <f t="shared" si="52"/>
        <v>2019</v>
      </c>
      <c r="C1683" s="10">
        <f t="shared" si="53"/>
        <v>11</v>
      </c>
      <c r="D1683" s="3">
        <v>43796</v>
      </c>
      <c r="E1683" s="1">
        <v>64.06</v>
      </c>
      <c r="F1683" s="1">
        <v>58.11</v>
      </c>
      <c r="G1683" s="1">
        <v>1.9464999999999999</v>
      </c>
      <c r="H1683" s="1">
        <v>1.6792</v>
      </c>
      <c r="I1683" s="1">
        <v>2.5009999999999999</v>
      </c>
      <c r="J1683" s="1">
        <v>4.2636000000000003</v>
      </c>
    </row>
    <row r="1684" spans="2:10" x14ac:dyDescent="0.3">
      <c r="B1684" s="10">
        <f t="shared" si="52"/>
        <v>2019</v>
      </c>
      <c r="C1684" s="10">
        <f t="shared" si="53"/>
        <v>11</v>
      </c>
      <c r="D1684" s="3">
        <v>43795</v>
      </c>
      <c r="E1684" s="1">
        <v>64.27</v>
      </c>
      <c r="F1684" s="1">
        <v>58.41</v>
      </c>
      <c r="G1684" s="1">
        <v>1.9605999999999999</v>
      </c>
      <c r="H1684" s="1">
        <v>1.7047000000000001</v>
      </c>
      <c r="I1684" s="1">
        <v>2.4700000000000002</v>
      </c>
      <c r="J1684" s="1">
        <v>4.2329999999999997</v>
      </c>
    </row>
    <row r="1685" spans="2:10" x14ac:dyDescent="0.3">
      <c r="B1685" s="10">
        <f t="shared" si="52"/>
        <v>2019</v>
      </c>
      <c r="C1685" s="10">
        <f t="shared" si="53"/>
        <v>11</v>
      </c>
      <c r="D1685" s="3">
        <v>43794</v>
      </c>
      <c r="E1685" s="1">
        <v>63.65</v>
      </c>
      <c r="F1685" s="1">
        <v>58.01</v>
      </c>
      <c r="G1685" s="1">
        <v>1.9442999999999999</v>
      </c>
      <c r="H1685" s="1">
        <v>1.6748000000000001</v>
      </c>
      <c r="I1685" s="1">
        <v>2.5310000000000001</v>
      </c>
      <c r="J1685" s="1">
        <v>4.2266000000000004</v>
      </c>
    </row>
    <row r="1686" spans="2:10" x14ac:dyDescent="0.3">
      <c r="B1686" s="10">
        <f t="shared" si="52"/>
        <v>2019</v>
      </c>
      <c r="C1686" s="10">
        <f t="shared" si="53"/>
        <v>11</v>
      </c>
      <c r="D1686" s="3">
        <v>43791</v>
      </c>
      <c r="E1686" s="1">
        <v>63.39</v>
      </c>
      <c r="F1686" s="1">
        <v>57.77</v>
      </c>
      <c r="G1686" s="1">
        <v>1.9294</v>
      </c>
      <c r="H1686" s="1">
        <v>1.6742999999999999</v>
      </c>
      <c r="I1686" s="1">
        <v>2.665</v>
      </c>
      <c r="J1686" s="1">
        <v>4.1962000000000002</v>
      </c>
    </row>
    <row r="1687" spans="2:10" x14ac:dyDescent="0.3">
      <c r="B1687" s="10">
        <f t="shared" si="52"/>
        <v>2019</v>
      </c>
      <c r="C1687" s="10">
        <f t="shared" si="53"/>
        <v>11</v>
      </c>
      <c r="D1687" s="3">
        <v>43790</v>
      </c>
      <c r="E1687" s="1">
        <v>63.97</v>
      </c>
      <c r="F1687" s="1">
        <v>58.58</v>
      </c>
      <c r="G1687" s="1">
        <v>1.9447000000000001</v>
      </c>
      <c r="H1687" s="1">
        <v>1.7043999999999999</v>
      </c>
      <c r="I1687" s="1">
        <v>2.5670000000000002</v>
      </c>
      <c r="J1687" s="1">
        <v>4.1929999999999996</v>
      </c>
    </row>
    <row r="1688" spans="2:10" x14ac:dyDescent="0.3">
      <c r="B1688" s="10">
        <f t="shared" si="52"/>
        <v>2019</v>
      </c>
      <c r="C1688" s="10">
        <f t="shared" si="53"/>
        <v>11</v>
      </c>
      <c r="D1688" s="3">
        <v>43789</v>
      </c>
      <c r="E1688" s="1">
        <v>62.4</v>
      </c>
      <c r="F1688" s="1">
        <v>57.11</v>
      </c>
      <c r="G1688" s="1">
        <v>1.8920999999999999</v>
      </c>
      <c r="H1688" s="1">
        <v>1.6563000000000001</v>
      </c>
      <c r="I1688" s="1">
        <v>2.5590000000000002</v>
      </c>
      <c r="J1688" s="1">
        <v>4.1955</v>
      </c>
    </row>
    <row r="1689" spans="2:10" x14ac:dyDescent="0.3">
      <c r="B1689" s="10">
        <f t="shared" si="52"/>
        <v>2019</v>
      </c>
      <c r="C1689" s="10">
        <f t="shared" si="53"/>
        <v>11</v>
      </c>
      <c r="D1689" s="3">
        <v>43788</v>
      </c>
      <c r="E1689" s="1">
        <v>60.91</v>
      </c>
      <c r="F1689" s="1">
        <v>55.21</v>
      </c>
      <c r="G1689" s="1">
        <v>1.8573999999999999</v>
      </c>
      <c r="H1689" s="1">
        <v>1.6036999999999999</v>
      </c>
      <c r="I1689" s="1">
        <v>2.5099999999999998</v>
      </c>
      <c r="J1689" s="1">
        <v>4.1942000000000004</v>
      </c>
    </row>
    <row r="1690" spans="2:10" x14ac:dyDescent="0.3">
      <c r="B1690" s="10">
        <f t="shared" si="52"/>
        <v>2019</v>
      </c>
      <c r="C1690" s="10">
        <f t="shared" si="53"/>
        <v>11</v>
      </c>
      <c r="D1690" s="3">
        <v>43787</v>
      </c>
      <c r="E1690" s="1">
        <v>62.44</v>
      </c>
      <c r="F1690" s="1">
        <v>57.05</v>
      </c>
      <c r="G1690" s="1">
        <v>1.9047000000000001</v>
      </c>
      <c r="H1690" s="1">
        <v>1.621</v>
      </c>
      <c r="I1690" s="1">
        <v>2.5659999999999998</v>
      </c>
      <c r="J1690" s="1">
        <v>4.2176999999999998</v>
      </c>
    </row>
    <row r="1691" spans="2:10" x14ac:dyDescent="0.3">
      <c r="B1691" s="10">
        <f t="shared" si="52"/>
        <v>2019</v>
      </c>
      <c r="C1691" s="10">
        <f t="shared" si="53"/>
        <v>11</v>
      </c>
      <c r="D1691" s="3">
        <v>43784</v>
      </c>
      <c r="E1691" s="1">
        <v>63.3</v>
      </c>
      <c r="F1691" s="1">
        <v>57.72</v>
      </c>
      <c r="G1691" s="1">
        <v>1.948</v>
      </c>
      <c r="H1691" s="1">
        <v>1.635</v>
      </c>
      <c r="I1691" s="1">
        <v>2.6880000000000002</v>
      </c>
      <c r="J1691" s="1">
        <v>4.1957000000000004</v>
      </c>
    </row>
    <row r="1692" spans="2:10" x14ac:dyDescent="0.3">
      <c r="B1692" s="10">
        <f t="shared" si="52"/>
        <v>2019</v>
      </c>
      <c r="C1692" s="10">
        <f t="shared" si="53"/>
        <v>11</v>
      </c>
      <c r="D1692" s="3">
        <v>43783</v>
      </c>
      <c r="E1692" s="1">
        <v>62.28</v>
      </c>
      <c r="F1692" s="1">
        <v>56.77</v>
      </c>
      <c r="G1692" s="1">
        <v>1.9178999999999999</v>
      </c>
      <c r="H1692" s="1">
        <v>1.6157999999999999</v>
      </c>
      <c r="I1692" s="1">
        <v>2.6469999999999998</v>
      </c>
      <c r="J1692" s="1">
        <v>4.1948999999999996</v>
      </c>
    </row>
    <row r="1693" spans="2:10" x14ac:dyDescent="0.3">
      <c r="B1693" s="10">
        <f t="shared" si="52"/>
        <v>2019</v>
      </c>
      <c r="C1693" s="10">
        <f t="shared" si="53"/>
        <v>11</v>
      </c>
      <c r="D1693" s="3">
        <v>43782</v>
      </c>
      <c r="E1693" s="1">
        <v>62.37</v>
      </c>
      <c r="F1693" s="1">
        <v>57.12</v>
      </c>
      <c r="G1693" s="1">
        <v>1.9125000000000001</v>
      </c>
      <c r="H1693" s="1">
        <v>1.6365000000000001</v>
      </c>
      <c r="I1693" s="1">
        <v>2.6</v>
      </c>
      <c r="J1693" s="1">
        <v>4.1702000000000004</v>
      </c>
    </row>
    <row r="1694" spans="2:10" x14ac:dyDescent="0.3">
      <c r="B1694" s="10">
        <f t="shared" si="52"/>
        <v>2019</v>
      </c>
      <c r="C1694" s="10">
        <f t="shared" si="53"/>
        <v>11</v>
      </c>
      <c r="D1694" s="3">
        <v>43781</v>
      </c>
      <c r="E1694" s="1">
        <v>62.06</v>
      </c>
      <c r="F1694" s="1">
        <v>56.8</v>
      </c>
      <c r="G1694" s="1">
        <v>1.8976</v>
      </c>
      <c r="H1694" s="1">
        <v>1.6144000000000001</v>
      </c>
      <c r="I1694" s="1">
        <v>2.621</v>
      </c>
      <c r="J1694" s="1">
        <v>4.1675000000000004</v>
      </c>
    </row>
    <row r="1695" spans="2:10" x14ac:dyDescent="0.3">
      <c r="B1695" s="10">
        <f t="shared" si="52"/>
        <v>2019</v>
      </c>
      <c r="C1695" s="10">
        <f t="shared" si="53"/>
        <v>11</v>
      </c>
      <c r="D1695" s="3">
        <v>43780</v>
      </c>
      <c r="E1695" s="1">
        <v>62.18</v>
      </c>
      <c r="F1695" s="1">
        <v>56.86</v>
      </c>
      <c r="G1695" s="1">
        <v>1.9141999999999999</v>
      </c>
      <c r="H1695" s="1">
        <v>1.6099000000000001</v>
      </c>
      <c r="I1695" s="1">
        <v>2.637</v>
      </c>
      <c r="J1695" s="1">
        <v>4.1516000000000002</v>
      </c>
    </row>
    <row r="1696" spans="2:10" x14ac:dyDescent="0.3">
      <c r="B1696" s="10">
        <f t="shared" si="52"/>
        <v>2019</v>
      </c>
      <c r="C1696" s="10">
        <f t="shared" si="53"/>
        <v>11</v>
      </c>
      <c r="D1696" s="3">
        <v>43777</v>
      </c>
      <c r="E1696" s="1">
        <v>62.51</v>
      </c>
      <c r="F1696" s="1">
        <v>57.24</v>
      </c>
      <c r="G1696" s="1">
        <v>1.9180999999999999</v>
      </c>
      <c r="H1696" s="1">
        <v>1.6336999999999999</v>
      </c>
      <c r="I1696" s="1">
        <v>2.7890000000000001</v>
      </c>
      <c r="J1696" s="1">
        <v>4.1632999999999996</v>
      </c>
    </row>
    <row r="1697" spans="2:10" x14ac:dyDescent="0.3">
      <c r="B1697" s="10">
        <f t="shared" si="52"/>
        <v>2019</v>
      </c>
      <c r="C1697" s="10">
        <f t="shared" si="53"/>
        <v>11</v>
      </c>
      <c r="D1697" s="3">
        <v>43776</v>
      </c>
      <c r="E1697" s="1">
        <v>62.29</v>
      </c>
      <c r="F1697" s="1">
        <v>57.15</v>
      </c>
      <c r="G1697" s="1">
        <v>1.9202999999999999</v>
      </c>
      <c r="H1697" s="1">
        <v>1.6355</v>
      </c>
      <c r="I1697" s="1">
        <v>2.7719999999999998</v>
      </c>
      <c r="J1697" s="1">
        <v>4.1003999999999996</v>
      </c>
    </row>
    <row r="1698" spans="2:10" x14ac:dyDescent="0.3">
      <c r="B1698" s="10">
        <f t="shared" si="52"/>
        <v>2019</v>
      </c>
      <c r="C1698" s="10">
        <f t="shared" si="53"/>
        <v>11</v>
      </c>
      <c r="D1698" s="3">
        <v>43775</v>
      </c>
      <c r="E1698" s="1">
        <v>61.74</v>
      </c>
      <c r="F1698" s="1">
        <v>56.35</v>
      </c>
      <c r="G1698" s="1">
        <v>1.9278</v>
      </c>
      <c r="H1698" s="1">
        <v>1.6262000000000001</v>
      </c>
      <c r="I1698" s="1">
        <v>2.8279999999999998</v>
      </c>
      <c r="J1698" s="1">
        <v>4.0834000000000001</v>
      </c>
    </row>
    <row r="1699" spans="2:10" x14ac:dyDescent="0.3">
      <c r="B1699" s="10">
        <f t="shared" si="52"/>
        <v>2019</v>
      </c>
      <c r="C1699" s="10">
        <f t="shared" si="53"/>
        <v>11</v>
      </c>
      <c r="D1699" s="3">
        <v>43774</v>
      </c>
      <c r="E1699" s="1">
        <v>62.96</v>
      </c>
      <c r="F1699" s="1">
        <v>57.23</v>
      </c>
      <c r="G1699" s="1">
        <v>1.9565999999999999</v>
      </c>
      <c r="H1699" s="1">
        <v>1.6746000000000001</v>
      </c>
      <c r="I1699" s="1">
        <v>2.8620000000000001</v>
      </c>
      <c r="J1699" s="1">
        <v>3.9935</v>
      </c>
    </row>
    <row r="1700" spans="2:10" x14ac:dyDescent="0.3">
      <c r="B1700" s="10">
        <f t="shared" si="52"/>
        <v>2019</v>
      </c>
      <c r="C1700" s="10">
        <f t="shared" si="53"/>
        <v>11</v>
      </c>
      <c r="D1700" s="3">
        <v>43773</v>
      </c>
      <c r="E1700" s="1">
        <v>62.13</v>
      </c>
      <c r="F1700" s="1">
        <v>56.54</v>
      </c>
      <c r="G1700" s="1">
        <v>1.9404999999999999</v>
      </c>
      <c r="H1700" s="1">
        <v>1.6637</v>
      </c>
      <c r="I1700" s="1">
        <v>2.8210000000000002</v>
      </c>
      <c r="J1700" s="1">
        <v>4.0152000000000001</v>
      </c>
    </row>
    <row r="1701" spans="2:10" x14ac:dyDescent="0.3">
      <c r="B1701" s="10">
        <f t="shared" si="52"/>
        <v>2019</v>
      </c>
      <c r="C1701" s="10">
        <f t="shared" si="53"/>
        <v>11</v>
      </c>
      <c r="D1701" s="3">
        <v>43770</v>
      </c>
      <c r="E1701" s="1">
        <v>61.69</v>
      </c>
      <c r="F1701" s="1">
        <v>56.2</v>
      </c>
      <c r="G1701" s="1">
        <v>1.9331</v>
      </c>
      <c r="H1701" s="1">
        <v>1.6556999999999999</v>
      </c>
      <c r="I1701" s="1">
        <v>2.714</v>
      </c>
      <c r="J1701" s="1">
        <v>3.9897</v>
      </c>
    </row>
    <row r="1702" spans="2:10" x14ac:dyDescent="0.3">
      <c r="B1702" s="10">
        <f t="shared" si="52"/>
        <v>2019</v>
      </c>
      <c r="C1702" s="10">
        <f t="shared" si="53"/>
        <v>10</v>
      </c>
      <c r="D1702" s="3">
        <v>43769</v>
      </c>
      <c r="E1702" s="1">
        <v>60.23</v>
      </c>
      <c r="F1702" s="1">
        <v>54.18</v>
      </c>
      <c r="G1702" s="1">
        <v>1.8779999999999999</v>
      </c>
      <c r="H1702" s="1">
        <v>1.6312</v>
      </c>
      <c r="I1702" s="1">
        <v>2.633</v>
      </c>
      <c r="J1702" s="1">
        <v>4.0174000000000003</v>
      </c>
    </row>
    <row r="1703" spans="2:10" x14ac:dyDescent="0.3">
      <c r="B1703" s="10">
        <f t="shared" si="52"/>
        <v>2019</v>
      </c>
      <c r="C1703" s="10">
        <f t="shared" si="53"/>
        <v>10</v>
      </c>
      <c r="D1703" s="3">
        <v>43768</v>
      </c>
      <c r="E1703" s="1">
        <v>60.61</v>
      </c>
      <c r="F1703" s="1">
        <v>55.06</v>
      </c>
      <c r="G1703" s="1">
        <v>1.9136</v>
      </c>
      <c r="H1703" s="1">
        <v>1.6645000000000001</v>
      </c>
      <c r="I1703" s="1">
        <v>2.6909999999999998</v>
      </c>
      <c r="J1703" s="1">
        <v>3.9895</v>
      </c>
    </row>
    <row r="1704" spans="2:10" x14ac:dyDescent="0.3">
      <c r="B1704" s="10">
        <f t="shared" si="52"/>
        <v>2019</v>
      </c>
      <c r="C1704" s="10">
        <f t="shared" si="53"/>
        <v>10</v>
      </c>
      <c r="D1704" s="3">
        <v>43767</v>
      </c>
      <c r="E1704" s="1">
        <v>61.59</v>
      </c>
      <c r="F1704" s="1">
        <v>55.54</v>
      </c>
      <c r="G1704" s="1">
        <v>1.9562999999999999</v>
      </c>
      <c r="H1704" s="1">
        <v>1.6857</v>
      </c>
      <c r="I1704" s="1">
        <v>2.597</v>
      </c>
      <c r="J1704" s="1">
        <v>3.9980000000000002</v>
      </c>
    </row>
    <row r="1705" spans="2:10" x14ac:dyDescent="0.3">
      <c r="B1705" s="10">
        <f t="shared" si="52"/>
        <v>2019</v>
      </c>
      <c r="C1705" s="10">
        <f t="shared" si="53"/>
        <v>10</v>
      </c>
      <c r="D1705" s="3">
        <v>43766</v>
      </c>
      <c r="E1705" s="1">
        <v>61.57</v>
      </c>
      <c r="F1705" s="1">
        <v>55.81</v>
      </c>
      <c r="G1705" s="1">
        <v>1.9618</v>
      </c>
      <c r="H1705" s="1">
        <v>1.6728000000000001</v>
      </c>
      <c r="I1705" s="1">
        <v>2.4460000000000002</v>
      </c>
      <c r="J1705" s="1">
        <v>3.9902000000000002</v>
      </c>
    </row>
    <row r="1706" spans="2:10" x14ac:dyDescent="0.3">
      <c r="B1706" s="10">
        <f t="shared" si="52"/>
        <v>2019</v>
      </c>
      <c r="C1706" s="10">
        <f t="shared" si="53"/>
        <v>10</v>
      </c>
      <c r="D1706" s="3">
        <v>43763</v>
      </c>
      <c r="E1706" s="1">
        <v>62.02</v>
      </c>
      <c r="F1706" s="1">
        <v>56.66</v>
      </c>
      <c r="G1706" s="1">
        <v>1.9796</v>
      </c>
      <c r="H1706" s="1">
        <v>1.673</v>
      </c>
      <c r="I1706" s="1">
        <v>2.2999999999999998</v>
      </c>
      <c r="J1706" s="1">
        <v>4.0029000000000003</v>
      </c>
    </row>
    <row r="1707" spans="2:10" x14ac:dyDescent="0.3">
      <c r="B1707" s="10">
        <f t="shared" si="52"/>
        <v>2019</v>
      </c>
      <c r="C1707" s="10">
        <f t="shared" si="53"/>
        <v>10</v>
      </c>
      <c r="D1707" s="3">
        <v>43762</v>
      </c>
      <c r="E1707" s="1">
        <v>61.67</v>
      </c>
      <c r="F1707" s="1">
        <v>56.23</v>
      </c>
      <c r="G1707" s="1">
        <v>1.9863</v>
      </c>
      <c r="H1707" s="1">
        <v>1.6632</v>
      </c>
      <c r="I1707" s="1">
        <v>2.3159999999999998</v>
      </c>
      <c r="J1707" s="1">
        <v>4.0400999999999998</v>
      </c>
    </row>
    <row r="1708" spans="2:10" x14ac:dyDescent="0.3">
      <c r="B1708" s="10">
        <f t="shared" si="52"/>
        <v>2019</v>
      </c>
      <c r="C1708" s="10">
        <f t="shared" si="53"/>
        <v>10</v>
      </c>
      <c r="D1708" s="3">
        <v>43761</v>
      </c>
      <c r="E1708" s="1">
        <v>61.17</v>
      </c>
      <c r="F1708" s="1">
        <v>55.97</v>
      </c>
      <c r="G1708" s="1">
        <v>1.9642999999999999</v>
      </c>
      <c r="H1708" s="1">
        <v>1.6518999999999999</v>
      </c>
      <c r="I1708" s="1">
        <v>2.282</v>
      </c>
      <c r="J1708" s="1">
        <v>4.0336999999999996</v>
      </c>
    </row>
    <row r="1709" spans="2:10" x14ac:dyDescent="0.3">
      <c r="B1709" s="10">
        <f t="shared" si="52"/>
        <v>2019</v>
      </c>
      <c r="C1709" s="10">
        <f t="shared" si="53"/>
        <v>10</v>
      </c>
      <c r="D1709" s="3">
        <v>43760</v>
      </c>
      <c r="E1709" s="1">
        <v>59.7</v>
      </c>
      <c r="F1709" s="1">
        <v>54.16</v>
      </c>
      <c r="G1709" s="1">
        <v>1.9437</v>
      </c>
      <c r="H1709" s="1">
        <v>1.6089</v>
      </c>
      <c r="I1709" s="1">
        <v>2.2719999999999998</v>
      </c>
      <c r="J1709" s="1">
        <v>4.0816999999999997</v>
      </c>
    </row>
    <row r="1710" spans="2:10" x14ac:dyDescent="0.3">
      <c r="B1710" s="10">
        <f t="shared" si="52"/>
        <v>2019</v>
      </c>
      <c r="C1710" s="10">
        <f t="shared" si="53"/>
        <v>10</v>
      </c>
      <c r="D1710" s="3">
        <v>43759</v>
      </c>
      <c r="E1710" s="1">
        <v>58.96</v>
      </c>
      <c r="F1710" s="1">
        <v>53.31</v>
      </c>
      <c r="G1710" s="1">
        <v>1.9406000000000001</v>
      </c>
      <c r="H1710" s="1">
        <v>1.6072</v>
      </c>
      <c r="I1710" s="1">
        <v>2.238</v>
      </c>
      <c r="J1710" s="1">
        <v>4.1284999999999998</v>
      </c>
    </row>
    <row r="1711" spans="2:10" x14ac:dyDescent="0.3">
      <c r="B1711" s="10">
        <f t="shared" si="52"/>
        <v>2019</v>
      </c>
      <c r="C1711" s="10">
        <f t="shared" si="53"/>
        <v>10</v>
      </c>
      <c r="D1711" s="3">
        <v>43756</v>
      </c>
      <c r="E1711" s="1">
        <v>59.42</v>
      </c>
      <c r="F1711" s="1">
        <v>53.78</v>
      </c>
      <c r="G1711" s="1">
        <v>1.9471000000000001</v>
      </c>
      <c r="H1711" s="1">
        <v>1.623</v>
      </c>
      <c r="I1711" s="1">
        <v>2.3199999999999998</v>
      </c>
      <c r="J1711" s="1">
        <v>4.1105</v>
      </c>
    </row>
    <row r="1712" spans="2:10" x14ac:dyDescent="0.3">
      <c r="B1712" s="10">
        <f t="shared" si="52"/>
        <v>2019</v>
      </c>
      <c r="C1712" s="10">
        <f t="shared" si="53"/>
        <v>10</v>
      </c>
      <c r="D1712" s="3">
        <v>43755</v>
      </c>
      <c r="E1712" s="1">
        <v>59.91</v>
      </c>
      <c r="F1712" s="1">
        <v>53.93</v>
      </c>
      <c r="G1712" s="1">
        <v>1.9480999999999999</v>
      </c>
      <c r="H1712" s="1">
        <v>1.6225000000000001</v>
      </c>
      <c r="I1712" s="1">
        <v>2.3180000000000001</v>
      </c>
      <c r="J1712" s="1">
        <v>4.1630000000000003</v>
      </c>
    </row>
    <row r="1713" spans="2:10" x14ac:dyDescent="0.3">
      <c r="B1713" s="10">
        <f t="shared" si="52"/>
        <v>2019</v>
      </c>
      <c r="C1713" s="10">
        <f t="shared" si="53"/>
        <v>10</v>
      </c>
      <c r="D1713" s="3">
        <v>43754</v>
      </c>
      <c r="E1713" s="1">
        <v>59.42</v>
      </c>
      <c r="F1713" s="1">
        <v>53.36</v>
      </c>
      <c r="G1713" s="1">
        <v>1.9426000000000001</v>
      </c>
      <c r="H1713" s="1">
        <v>1.6248</v>
      </c>
      <c r="I1713" s="1">
        <v>2.3029999999999999</v>
      </c>
      <c r="J1713" s="1">
        <v>4.1505000000000001</v>
      </c>
    </row>
    <row r="1714" spans="2:10" x14ac:dyDescent="0.3">
      <c r="B1714" s="10">
        <f t="shared" si="52"/>
        <v>2019</v>
      </c>
      <c r="C1714" s="10">
        <f t="shared" si="53"/>
        <v>10</v>
      </c>
      <c r="D1714" s="3">
        <v>43753</v>
      </c>
      <c r="E1714" s="1">
        <v>58.74</v>
      </c>
      <c r="F1714" s="1">
        <v>52.81</v>
      </c>
      <c r="G1714" s="1">
        <v>1.91</v>
      </c>
      <c r="H1714" s="1">
        <v>1.6144000000000001</v>
      </c>
      <c r="I1714" s="1">
        <v>2.339</v>
      </c>
      <c r="J1714" s="1">
        <v>4.1805000000000003</v>
      </c>
    </row>
    <row r="1715" spans="2:10" x14ac:dyDescent="0.3">
      <c r="B1715" s="10">
        <f t="shared" si="52"/>
        <v>2019</v>
      </c>
      <c r="C1715" s="10">
        <f t="shared" si="53"/>
        <v>10</v>
      </c>
      <c r="D1715" s="3">
        <v>43752</v>
      </c>
      <c r="E1715" s="1">
        <v>59.35</v>
      </c>
      <c r="F1715" s="1">
        <v>53.59</v>
      </c>
      <c r="G1715" s="1">
        <v>1.9151</v>
      </c>
      <c r="H1715" s="1">
        <v>1.6132</v>
      </c>
      <c r="I1715" s="1">
        <v>2.2799999999999998</v>
      </c>
      <c r="J1715" s="1">
        <v>4.1254999999999997</v>
      </c>
    </row>
    <row r="1716" spans="2:10" x14ac:dyDescent="0.3">
      <c r="B1716" s="10">
        <f t="shared" si="52"/>
        <v>2019</v>
      </c>
      <c r="C1716" s="10">
        <f t="shared" si="53"/>
        <v>10</v>
      </c>
      <c r="D1716" s="3">
        <v>43749</v>
      </c>
      <c r="E1716" s="1">
        <v>60.51</v>
      </c>
      <c r="F1716" s="1">
        <v>54.7</v>
      </c>
      <c r="G1716" s="1">
        <v>1.9576</v>
      </c>
      <c r="H1716" s="1">
        <v>1.6388</v>
      </c>
      <c r="I1716" s="1">
        <v>2.214</v>
      </c>
      <c r="J1716" s="1">
        <v>4.1093999999999999</v>
      </c>
    </row>
    <row r="1717" spans="2:10" x14ac:dyDescent="0.3">
      <c r="B1717" s="10">
        <f t="shared" si="52"/>
        <v>2019</v>
      </c>
      <c r="C1717" s="10">
        <f t="shared" si="53"/>
        <v>10</v>
      </c>
      <c r="D1717" s="3">
        <v>43748</v>
      </c>
      <c r="E1717" s="1">
        <v>59.1</v>
      </c>
      <c r="F1717" s="1">
        <v>53.55</v>
      </c>
      <c r="G1717" s="1">
        <v>1.9208000000000001</v>
      </c>
      <c r="H1717" s="1">
        <v>1.6233</v>
      </c>
      <c r="I1717" s="1">
        <v>2.218</v>
      </c>
      <c r="J1717" s="1">
        <v>4.1089000000000002</v>
      </c>
    </row>
    <row r="1718" spans="2:10" x14ac:dyDescent="0.3">
      <c r="B1718" s="10">
        <f t="shared" si="52"/>
        <v>2019</v>
      </c>
      <c r="C1718" s="10">
        <f t="shared" si="53"/>
        <v>10</v>
      </c>
      <c r="D1718" s="3">
        <v>43747</v>
      </c>
      <c r="E1718" s="1">
        <v>58.32</v>
      </c>
      <c r="F1718" s="1">
        <v>52.59</v>
      </c>
      <c r="G1718" s="1">
        <v>1.9193</v>
      </c>
      <c r="H1718" s="1">
        <v>1.5871</v>
      </c>
      <c r="I1718" s="1">
        <v>2.234</v>
      </c>
      <c r="J1718" s="1">
        <v>4.1089000000000002</v>
      </c>
    </row>
    <row r="1719" spans="2:10" x14ac:dyDescent="0.3">
      <c r="B1719" s="10">
        <f t="shared" si="52"/>
        <v>2019</v>
      </c>
      <c r="C1719" s="10">
        <f t="shared" si="53"/>
        <v>10</v>
      </c>
      <c r="D1719" s="3">
        <v>43746</v>
      </c>
      <c r="E1719" s="1">
        <v>58.24</v>
      </c>
      <c r="F1719" s="1">
        <v>52.63</v>
      </c>
      <c r="G1719" s="1">
        <v>1.9100999999999999</v>
      </c>
      <c r="H1719" s="1">
        <v>1.5809</v>
      </c>
      <c r="I1719" s="1">
        <v>2.2879999999999998</v>
      </c>
      <c r="J1719" s="1">
        <v>4.0941999999999998</v>
      </c>
    </row>
    <row r="1720" spans="2:10" x14ac:dyDescent="0.3">
      <c r="B1720" s="10">
        <f t="shared" si="52"/>
        <v>2019</v>
      </c>
      <c r="C1720" s="10">
        <f t="shared" si="53"/>
        <v>10</v>
      </c>
      <c r="D1720" s="3">
        <v>43745</v>
      </c>
      <c r="E1720" s="1">
        <v>58.35</v>
      </c>
      <c r="F1720" s="1">
        <v>52.75</v>
      </c>
      <c r="G1720" s="1">
        <v>1.9033</v>
      </c>
      <c r="H1720" s="1">
        <v>1.5693999999999999</v>
      </c>
      <c r="I1720" s="1">
        <v>2.3029999999999999</v>
      </c>
      <c r="J1720" s="1">
        <v>4.1067999999999998</v>
      </c>
    </row>
    <row r="1721" spans="2:10" x14ac:dyDescent="0.3">
      <c r="B1721" s="10">
        <f t="shared" si="52"/>
        <v>2019</v>
      </c>
      <c r="C1721" s="10">
        <f t="shared" si="53"/>
        <v>10</v>
      </c>
      <c r="D1721" s="3">
        <v>43742</v>
      </c>
      <c r="E1721" s="1">
        <v>58.37</v>
      </c>
      <c r="F1721" s="1">
        <v>52.81</v>
      </c>
      <c r="G1721" s="1">
        <v>1.8945000000000001</v>
      </c>
      <c r="H1721" s="1">
        <v>1.5733999999999999</v>
      </c>
      <c r="I1721" s="1">
        <v>2.3519999999999999</v>
      </c>
      <c r="J1721" s="1">
        <v>4.0551000000000004</v>
      </c>
    </row>
    <row r="1722" spans="2:10" x14ac:dyDescent="0.3">
      <c r="B1722" s="10">
        <f t="shared" si="52"/>
        <v>2019</v>
      </c>
      <c r="C1722" s="10">
        <f t="shared" si="53"/>
        <v>10</v>
      </c>
      <c r="D1722" s="3">
        <v>43741</v>
      </c>
      <c r="E1722" s="1">
        <v>57.71</v>
      </c>
      <c r="F1722" s="1">
        <v>52.45</v>
      </c>
      <c r="G1722" s="1">
        <v>1.8759999999999999</v>
      </c>
      <c r="H1722" s="1">
        <v>1.5559000000000001</v>
      </c>
      <c r="I1722" s="1">
        <v>2.3290000000000002</v>
      </c>
      <c r="J1722" s="1">
        <v>4.0831999999999997</v>
      </c>
    </row>
    <row r="1723" spans="2:10" x14ac:dyDescent="0.3">
      <c r="B1723" s="10">
        <f t="shared" si="52"/>
        <v>2019</v>
      </c>
      <c r="C1723" s="10">
        <f t="shared" si="53"/>
        <v>10</v>
      </c>
      <c r="D1723" s="3">
        <v>43740</v>
      </c>
      <c r="E1723" s="1">
        <v>57.69</v>
      </c>
      <c r="F1723" s="1">
        <v>52.64</v>
      </c>
      <c r="G1723" s="1">
        <v>1.873</v>
      </c>
      <c r="H1723" s="1">
        <v>1.5455000000000001</v>
      </c>
      <c r="I1723" s="1">
        <v>2.2469999999999999</v>
      </c>
      <c r="J1723" s="1">
        <v>4.1287000000000003</v>
      </c>
    </row>
    <row r="1724" spans="2:10" x14ac:dyDescent="0.3">
      <c r="B1724" s="10">
        <f t="shared" si="52"/>
        <v>2019</v>
      </c>
      <c r="C1724" s="10">
        <f t="shared" si="53"/>
        <v>10</v>
      </c>
      <c r="D1724" s="3">
        <v>43739</v>
      </c>
      <c r="E1724" s="1">
        <v>58.89</v>
      </c>
      <c r="F1724" s="1">
        <v>53.62</v>
      </c>
      <c r="G1724" s="1">
        <v>1.8985000000000001</v>
      </c>
      <c r="H1724" s="1">
        <v>1.5737000000000001</v>
      </c>
      <c r="I1724" s="1">
        <v>2.2829999999999999</v>
      </c>
      <c r="J1724" s="1">
        <v>4.1577999999999999</v>
      </c>
    </row>
    <row r="1725" spans="2:10" x14ac:dyDescent="0.3">
      <c r="B1725" s="10">
        <f t="shared" si="52"/>
        <v>2019</v>
      </c>
      <c r="C1725" s="10">
        <f t="shared" si="53"/>
        <v>9</v>
      </c>
      <c r="D1725" s="3">
        <v>43738</v>
      </c>
      <c r="E1725" s="1">
        <v>60.78</v>
      </c>
      <c r="F1725" s="1">
        <v>54.07</v>
      </c>
      <c r="G1725" s="1">
        <v>1.9056</v>
      </c>
      <c r="H1725" s="1">
        <v>1.6049</v>
      </c>
      <c r="I1725" s="1">
        <v>2.33</v>
      </c>
      <c r="J1725" s="1">
        <v>4.1551</v>
      </c>
    </row>
    <row r="1726" spans="2:10" x14ac:dyDescent="0.3">
      <c r="B1726" s="10">
        <f t="shared" si="52"/>
        <v>2019</v>
      </c>
      <c r="C1726" s="10">
        <f t="shared" si="53"/>
        <v>9</v>
      </c>
      <c r="D1726" s="3">
        <v>43735</v>
      </c>
      <c r="E1726" s="1">
        <v>61.91</v>
      </c>
      <c r="F1726" s="1">
        <v>55.91</v>
      </c>
      <c r="G1726" s="1">
        <v>1.9416</v>
      </c>
      <c r="H1726" s="1">
        <v>1.6514</v>
      </c>
      <c r="I1726" s="1">
        <v>2.4039999999999999</v>
      </c>
      <c r="J1726" s="1">
        <v>4.1599000000000004</v>
      </c>
    </row>
    <row r="1727" spans="2:10" x14ac:dyDescent="0.3">
      <c r="B1727" s="10">
        <f t="shared" si="52"/>
        <v>2019</v>
      </c>
      <c r="C1727" s="10">
        <f t="shared" si="53"/>
        <v>9</v>
      </c>
      <c r="D1727" s="3">
        <v>43734</v>
      </c>
      <c r="E1727" s="1">
        <v>62.74</v>
      </c>
      <c r="F1727" s="1">
        <v>56.41</v>
      </c>
      <c r="G1727" s="1">
        <v>1.9551000000000001</v>
      </c>
      <c r="H1727" s="1">
        <v>1.6612</v>
      </c>
      <c r="I1727" s="1">
        <v>2.4279999999999999</v>
      </c>
      <c r="J1727" s="1">
        <v>4.1707000000000001</v>
      </c>
    </row>
    <row r="1728" spans="2:10" x14ac:dyDescent="0.3">
      <c r="B1728" s="10">
        <f t="shared" si="52"/>
        <v>2019</v>
      </c>
      <c r="C1728" s="10">
        <f t="shared" si="53"/>
        <v>9</v>
      </c>
      <c r="D1728" s="3">
        <v>43733</v>
      </c>
      <c r="E1728" s="1">
        <v>62.39</v>
      </c>
      <c r="F1728" s="1">
        <v>56.49</v>
      </c>
      <c r="G1728" s="1">
        <v>1.9539</v>
      </c>
      <c r="H1728" s="1">
        <v>1.6252</v>
      </c>
      <c r="I1728" s="1">
        <v>2.5019999999999998</v>
      </c>
      <c r="J1728" s="1">
        <v>4.1477000000000004</v>
      </c>
    </row>
    <row r="1729" spans="2:10" x14ac:dyDescent="0.3">
      <c r="B1729" s="10">
        <f t="shared" si="52"/>
        <v>2019</v>
      </c>
      <c r="C1729" s="10">
        <f t="shared" si="53"/>
        <v>9</v>
      </c>
      <c r="D1729" s="3">
        <v>43732</v>
      </c>
      <c r="E1729" s="1">
        <v>63.1</v>
      </c>
      <c r="F1729" s="1">
        <v>57.29</v>
      </c>
      <c r="G1729" s="1">
        <v>1.9676</v>
      </c>
      <c r="H1729" s="1">
        <v>1.6543000000000001</v>
      </c>
      <c r="I1729" s="1">
        <v>2.5030000000000001</v>
      </c>
      <c r="J1729" s="1">
        <v>4.1646999999999998</v>
      </c>
    </row>
    <row r="1730" spans="2:10" x14ac:dyDescent="0.3">
      <c r="B1730" s="10">
        <f t="shared" si="52"/>
        <v>2019</v>
      </c>
      <c r="C1730" s="10">
        <f t="shared" si="53"/>
        <v>9</v>
      </c>
      <c r="D1730" s="3">
        <v>43731</v>
      </c>
      <c r="E1730" s="1">
        <v>64.77</v>
      </c>
      <c r="F1730" s="1">
        <v>58.64</v>
      </c>
      <c r="G1730" s="1">
        <v>1.9970000000000001</v>
      </c>
      <c r="H1730" s="1">
        <v>1.6838</v>
      </c>
      <c r="I1730" s="1">
        <v>2.5270000000000001</v>
      </c>
      <c r="J1730" s="1">
        <v>4.1628999999999996</v>
      </c>
    </row>
    <row r="1731" spans="2:10" x14ac:dyDescent="0.3">
      <c r="B1731" s="10">
        <f t="shared" si="52"/>
        <v>2019</v>
      </c>
      <c r="C1731" s="10">
        <f t="shared" si="53"/>
        <v>9</v>
      </c>
      <c r="D1731" s="3">
        <v>43728</v>
      </c>
      <c r="E1731" s="1">
        <v>64.28</v>
      </c>
      <c r="F1731" s="1">
        <v>58.09</v>
      </c>
      <c r="G1731" s="1">
        <v>1.9863</v>
      </c>
      <c r="H1731" s="1">
        <v>1.6783999999999999</v>
      </c>
      <c r="I1731" s="1">
        <v>2.5339999999999998</v>
      </c>
      <c r="J1731" s="1">
        <v>4.1471999999999998</v>
      </c>
    </row>
    <row r="1732" spans="2:10" x14ac:dyDescent="0.3">
      <c r="B1732" s="10">
        <f t="shared" si="52"/>
        <v>2019</v>
      </c>
      <c r="C1732" s="10">
        <f t="shared" si="53"/>
        <v>9</v>
      </c>
      <c r="D1732" s="3">
        <v>43727</v>
      </c>
      <c r="E1732" s="1">
        <v>64.400000000000006</v>
      </c>
      <c r="F1732" s="1">
        <v>58.13</v>
      </c>
      <c r="G1732" s="1">
        <v>2.0049000000000001</v>
      </c>
      <c r="H1732" s="1">
        <v>1.7007000000000001</v>
      </c>
      <c r="I1732" s="1">
        <v>2.5379999999999998</v>
      </c>
      <c r="J1732" s="1">
        <v>4.1672000000000002</v>
      </c>
    </row>
    <row r="1733" spans="2:10" x14ac:dyDescent="0.3">
      <c r="B1733" s="10">
        <f t="shared" si="52"/>
        <v>2019</v>
      </c>
      <c r="C1733" s="10">
        <f t="shared" si="53"/>
        <v>9</v>
      </c>
      <c r="D1733" s="3">
        <v>43726</v>
      </c>
      <c r="E1733" s="1">
        <v>63.6</v>
      </c>
      <c r="F1733" s="1">
        <v>58.11</v>
      </c>
      <c r="G1733" s="1">
        <v>1.9733000000000001</v>
      </c>
      <c r="H1733" s="1">
        <v>1.6577</v>
      </c>
      <c r="I1733" s="1">
        <v>2.637</v>
      </c>
      <c r="J1733" s="1">
        <v>4.1105999999999998</v>
      </c>
    </row>
    <row r="1734" spans="2:10" x14ac:dyDescent="0.3">
      <c r="B1734" s="10">
        <f t="shared" ref="B1734:B1797" si="54">YEAR(D1734)</f>
        <v>2019</v>
      </c>
      <c r="C1734" s="10">
        <f t="shared" ref="C1734:C1797" si="55">MONTH(D1734)</f>
        <v>9</v>
      </c>
      <c r="D1734" s="3">
        <v>43725</v>
      </c>
      <c r="E1734" s="1">
        <v>64.55</v>
      </c>
      <c r="F1734" s="1">
        <v>59.34</v>
      </c>
      <c r="G1734" s="1">
        <v>1.9896</v>
      </c>
      <c r="H1734" s="1">
        <v>1.6751</v>
      </c>
      <c r="I1734" s="1">
        <v>2.6680000000000001</v>
      </c>
      <c r="J1734" s="1">
        <v>4.0773000000000001</v>
      </c>
    </row>
    <row r="1735" spans="2:10" x14ac:dyDescent="0.3">
      <c r="B1735" s="10">
        <f t="shared" si="54"/>
        <v>2019</v>
      </c>
      <c r="C1735" s="10">
        <f t="shared" si="55"/>
        <v>9</v>
      </c>
      <c r="D1735" s="3">
        <v>43724</v>
      </c>
      <c r="E1735" s="1">
        <v>69.02</v>
      </c>
      <c r="F1735" s="1">
        <v>62.9</v>
      </c>
      <c r="G1735" s="1">
        <v>2.0838000000000001</v>
      </c>
      <c r="H1735" s="1">
        <v>1.7524</v>
      </c>
      <c r="I1735" s="1">
        <v>2.681</v>
      </c>
      <c r="J1735" s="1">
        <v>4.0800999999999998</v>
      </c>
    </row>
    <row r="1736" spans="2:10" x14ac:dyDescent="0.3">
      <c r="B1736" s="10">
        <f t="shared" si="54"/>
        <v>2019</v>
      </c>
      <c r="C1736" s="10">
        <f t="shared" si="55"/>
        <v>9</v>
      </c>
      <c r="D1736" s="3">
        <v>43721</v>
      </c>
      <c r="E1736" s="1">
        <v>60.22</v>
      </c>
      <c r="F1736" s="1">
        <v>54.85</v>
      </c>
      <c r="G1736" s="1">
        <v>1.8777999999999999</v>
      </c>
      <c r="H1736" s="1">
        <v>1.5530999999999999</v>
      </c>
      <c r="I1736" s="1">
        <v>2.6139999999999999</v>
      </c>
      <c r="J1736" s="1">
        <v>4.0839999999999996</v>
      </c>
    </row>
    <row r="1737" spans="2:10" x14ac:dyDescent="0.3">
      <c r="B1737" s="10">
        <f t="shared" si="54"/>
        <v>2019</v>
      </c>
      <c r="C1737" s="10">
        <f t="shared" si="55"/>
        <v>9</v>
      </c>
      <c r="D1737" s="3">
        <v>43720</v>
      </c>
      <c r="E1737" s="1">
        <v>60.38</v>
      </c>
      <c r="F1737" s="1">
        <v>55.09</v>
      </c>
      <c r="G1737" s="1">
        <v>1.8851</v>
      </c>
      <c r="H1737" s="1">
        <v>1.5529999999999999</v>
      </c>
      <c r="I1737" s="1">
        <v>2.5739999999999998</v>
      </c>
      <c r="J1737" s="1">
        <v>4.0602</v>
      </c>
    </row>
    <row r="1738" spans="2:10" x14ac:dyDescent="0.3">
      <c r="B1738" s="10">
        <f t="shared" si="54"/>
        <v>2019</v>
      </c>
      <c r="C1738" s="10">
        <f t="shared" si="55"/>
        <v>9</v>
      </c>
      <c r="D1738" s="3">
        <v>43719</v>
      </c>
      <c r="E1738" s="1">
        <v>60.81</v>
      </c>
      <c r="F1738" s="1">
        <v>55.75</v>
      </c>
      <c r="G1738" s="1">
        <v>1.9032</v>
      </c>
      <c r="H1738" s="1">
        <v>1.5699000000000001</v>
      </c>
      <c r="I1738" s="1">
        <v>2.552</v>
      </c>
      <c r="J1738" s="1">
        <v>4.0670999999999999</v>
      </c>
    </row>
    <row r="1739" spans="2:10" x14ac:dyDescent="0.3">
      <c r="B1739" s="10">
        <f t="shared" si="54"/>
        <v>2019</v>
      </c>
      <c r="C1739" s="10">
        <f t="shared" si="55"/>
        <v>9</v>
      </c>
      <c r="D1739" s="3">
        <v>43718</v>
      </c>
      <c r="E1739" s="1">
        <v>62.38</v>
      </c>
      <c r="F1739" s="1">
        <v>57.4</v>
      </c>
      <c r="G1739" s="1">
        <v>1.9312</v>
      </c>
      <c r="H1739" s="1">
        <v>1.5908</v>
      </c>
      <c r="I1739" s="1">
        <v>2.58</v>
      </c>
      <c r="J1739" s="1">
        <v>4.0797999999999996</v>
      </c>
    </row>
    <row r="1740" spans="2:10" x14ac:dyDescent="0.3">
      <c r="B1740" s="10">
        <f t="shared" si="54"/>
        <v>2019</v>
      </c>
      <c r="C1740" s="10">
        <f t="shared" si="55"/>
        <v>9</v>
      </c>
      <c r="D1740" s="3">
        <v>43717</v>
      </c>
      <c r="E1740" s="1">
        <v>62.59</v>
      </c>
      <c r="F1740" s="1">
        <v>57.85</v>
      </c>
      <c r="G1740" s="1">
        <v>1.9277</v>
      </c>
      <c r="H1740" s="1">
        <v>1.5846</v>
      </c>
      <c r="I1740" s="1">
        <v>2.585</v>
      </c>
      <c r="J1740" s="1">
        <v>4.0942999999999996</v>
      </c>
    </row>
    <row r="1741" spans="2:10" x14ac:dyDescent="0.3">
      <c r="B1741" s="10">
        <f t="shared" si="54"/>
        <v>2019</v>
      </c>
      <c r="C1741" s="10">
        <f t="shared" si="55"/>
        <v>9</v>
      </c>
      <c r="D1741" s="3">
        <v>43714</v>
      </c>
      <c r="E1741" s="1">
        <v>61.54</v>
      </c>
      <c r="F1741" s="1">
        <v>56.52</v>
      </c>
      <c r="G1741" s="1">
        <v>1.9003000000000001</v>
      </c>
      <c r="H1741" s="1">
        <v>1.5742</v>
      </c>
      <c r="I1741" s="1">
        <v>2.496</v>
      </c>
      <c r="J1741" s="1">
        <v>4.0606999999999998</v>
      </c>
    </row>
    <row r="1742" spans="2:10" x14ac:dyDescent="0.3">
      <c r="B1742" s="10">
        <f t="shared" si="54"/>
        <v>2019</v>
      </c>
      <c r="C1742" s="10">
        <f t="shared" si="55"/>
        <v>9</v>
      </c>
      <c r="D1742" s="3">
        <v>43713</v>
      </c>
      <c r="E1742" s="1">
        <v>60.95</v>
      </c>
      <c r="F1742" s="1">
        <v>56.3</v>
      </c>
      <c r="G1742" s="1">
        <v>1.8885000000000001</v>
      </c>
      <c r="H1742" s="1">
        <v>1.546</v>
      </c>
      <c r="I1742" s="1">
        <v>2.4350000000000001</v>
      </c>
      <c r="J1742" s="1">
        <v>4.1081000000000003</v>
      </c>
    </row>
    <row r="1743" spans="2:10" x14ac:dyDescent="0.3">
      <c r="B1743" s="10">
        <f t="shared" si="54"/>
        <v>2019</v>
      </c>
      <c r="C1743" s="10">
        <f t="shared" si="55"/>
        <v>9</v>
      </c>
      <c r="D1743" s="3">
        <v>43712</v>
      </c>
      <c r="E1743" s="1">
        <v>60.7</v>
      </c>
      <c r="F1743" s="1">
        <v>56.26</v>
      </c>
      <c r="G1743" s="1">
        <v>1.8802000000000001</v>
      </c>
      <c r="H1743" s="1">
        <v>1.5328999999999999</v>
      </c>
      <c r="I1743" s="1">
        <v>2.4449999999999998</v>
      </c>
      <c r="J1743" s="1">
        <v>4.0948000000000002</v>
      </c>
    </row>
    <row r="1744" spans="2:10" x14ac:dyDescent="0.3">
      <c r="B1744" s="10">
        <f t="shared" si="54"/>
        <v>2019</v>
      </c>
      <c r="C1744" s="10">
        <f t="shared" si="55"/>
        <v>9</v>
      </c>
      <c r="D1744" s="3">
        <v>43711</v>
      </c>
      <c r="E1744" s="1">
        <v>58.26</v>
      </c>
      <c r="F1744" s="1">
        <v>53.94</v>
      </c>
      <c r="G1744" s="1">
        <v>1.8032999999999999</v>
      </c>
      <c r="H1744" s="1">
        <v>1.4704999999999999</v>
      </c>
      <c r="I1744" s="1">
        <v>2.3580000000000001</v>
      </c>
      <c r="J1744" s="1">
        <v>4.1677999999999997</v>
      </c>
    </row>
    <row r="1745" spans="2:10" x14ac:dyDescent="0.3">
      <c r="B1745" s="10">
        <f t="shared" si="54"/>
        <v>2019</v>
      </c>
      <c r="C1745" s="10">
        <f t="shared" si="55"/>
        <v>9</v>
      </c>
      <c r="D1745" s="3">
        <v>43710</v>
      </c>
      <c r="E1745" s="1">
        <v>58.66</v>
      </c>
      <c r="J1745" s="1">
        <v>4.1856999999999998</v>
      </c>
    </row>
    <row r="1746" spans="2:10" x14ac:dyDescent="0.3">
      <c r="B1746" s="10">
        <f t="shared" si="54"/>
        <v>2019</v>
      </c>
      <c r="C1746" s="10">
        <f t="shared" si="55"/>
        <v>8</v>
      </c>
      <c r="D1746" s="3">
        <v>43707</v>
      </c>
      <c r="E1746" s="1">
        <v>60.43</v>
      </c>
      <c r="F1746" s="1">
        <v>55.1</v>
      </c>
      <c r="G1746" s="1">
        <v>1.8282</v>
      </c>
      <c r="H1746" s="1">
        <v>1.6133999999999999</v>
      </c>
      <c r="I1746" s="1">
        <v>2.2850000000000001</v>
      </c>
      <c r="J1746" s="1">
        <v>4.1444999999999999</v>
      </c>
    </row>
    <row r="1747" spans="2:10" x14ac:dyDescent="0.3">
      <c r="B1747" s="10">
        <f t="shared" si="54"/>
        <v>2019</v>
      </c>
      <c r="C1747" s="10">
        <f t="shared" si="55"/>
        <v>8</v>
      </c>
      <c r="D1747" s="3">
        <v>43706</v>
      </c>
      <c r="E1747" s="1">
        <v>61.08</v>
      </c>
      <c r="F1747" s="1">
        <v>56.71</v>
      </c>
      <c r="G1747" s="1">
        <v>1.8640000000000001</v>
      </c>
      <c r="H1747" s="1">
        <v>1.6847000000000001</v>
      </c>
      <c r="I1747" s="1">
        <v>2.2959999999999998</v>
      </c>
      <c r="J1747" s="1">
        <v>4.1684999999999999</v>
      </c>
    </row>
    <row r="1748" spans="2:10" x14ac:dyDescent="0.3">
      <c r="B1748" s="10">
        <f t="shared" si="54"/>
        <v>2019</v>
      </c>
      <c r="C1748" s="10">
        <f t="shared" si="55"/>
        <v>8</v>
      </c>
      <c r="D1748" s="3">
        <v>43705</v>
      </c>
      <c r="E1748" s="1">
        <v>60.49</v>
      </c>
      <c r="F1748" s="1">
        <v>55.78</v>
      </c>
      <c r="G1748" s="1">
        <v>1.851</v>
      </c>
      <c r="H1748" s="1">
        <v>1.6823999999999999</v>
      </c>
      <c r="I1748" s="1">
        <v>2.2509999999999999</v>
      </c>
      <c r="J1748" s="1">
        <v>4.1677</v>
      </c>
    </row>
    <row r="1749" spans="2:10" x14ac:dyDescent="0.3">
      <c r="B1749" s="10">
        <f t="shared" si="54"/>
        <v>2019</v>
      </c>
      <c r="C1749" s="10">
        <f t="shared" si="55"/>
        <v>8</v>
      </c>
      <c r="D1749" s="3">
        <v>43704</v>
      </c>
      <c r="E1749" s="1">
        <v>59.51</v>
      </c>
      <c r="F1749" s="1">
        <v>54.93</v>
      </c>
      <c r="G1749" s="1">
        <v>1.8159000000000001</v>
      </c>
      <c r="H1749" s="1">
        <v>1.6498999999999999</v>
      </c>
      <c r="I1749" s="1">
        <v>2.202</v>
      </c>
      <c r="J1749" s="1">
        <v>4.13</v>
      </c>
    </row>
    <row r="1750" spans="2:10" x14ac:dyDescent="0.3">
      <c r="B1750" s="10">
        <f t="shared" si="54"/>
        <v>2019</v>
      </c>
      <c r="C1750" s="10">
        <f t="shared" si="55"/>
        <v>8</v>
      </c>
      <c r="D1750" s="3">
        <v>43703</v>
      </c>
      <c r="E1750" s="1">
        <v>58.7</v>
      </c>
      <c r="F1750" s="1">
        <v>53.64</v>
      </c>
      <c r="G1750" s="1">
        <v>1.7924</v>
      </c>
      <c r="H1750" s="1">
        <v>1.6165</v>
      </c>
      <c r="I1750" s="1">
        <v>2.23</v>
      </c>
      <c r="J1750" s="1">
        <v>4.1569000000000003</v>
      </c>
    </row>
    <row r="1751" spans="2:10" x14ac:dyDescent="0.3">
      <c r="B1751" s="10">
        <f t="shared" si="54"/>
        <v>2019</v>
      </c>
      <c r="C1751" s="10">
        <f t="shared" si="55"/>
        <v>8</v>
      </c>
      <c r="D1751" s="3">
        <v>43700</v>
      </c>
      <c r="E1751" s="1">
        <v>59.34</v>
      </c>
      <c r="F1751" s="1">
        <v>54.17</v>
      </c>
      <c r="G1751" s="1">
        <v>1.8156000000000001</v>
      </c>
      <c r="H1751" s="1">
        <v>1.6428</v>
      </c>
      <c r="I1751" s="1">
        <v>2.1520000000000001</v>
      </c>
      <c r="J1751" s="1">
        <v>4.1196000000000002</v>
      </c>
    </row>
    <row r="1752" spans="2:10" x14ac:dyDescent="0.3">
      <c r="B1752" s="10">
        <f t="shared" si="54"/>
        <v>2019</v>
      </c>
      <c r="C1752" s="10">
        <f t="shared" si="55"/>
        <v>8</v>
      </c>
      <c r="D1752" s="3">
        <v>43699</v>
      </c>
      <c r="E1752" s="1">
        <v>59.92</v>
      </c>
      <c r="F1752" s="1">
        <v>55.35</v>
      </c>
      <c r="G1752" s="1">
        <v>1.8412999999999999</v>
      </c>
      <c r="H1752" s="1">
        <v>1.6675</v>
      </c>
      <c r="I1752" s="1">
        <v>2.1589999999999998</v>
      </c>
      <c r="J1752" s="1">
        <v>4.0704000000000002</v>
      </c>
    </row>
    <row r="1753" spans="2:10" x14ac:dyDescent="0.3">
      <c r="B1753" s="10">
        <f t="shared" si="54"/>
        <v>2019</v>
      </c>
      <c r="C1753" s="10">
        <f t="shared" si="55"/>
        <v>8</v>
      </c>
      <c r="D1753" s="3">
        <v>43698</v>
      </c>
      <c r="E1753" s="1">
        <v>60.3</v>
      </c>
      <c r="F1753" s="1">
        <v>55.68</v>
      </c>
      <c r="G1753" s="1">
        <v>1.8573</v>
      </c>
      <c r="H1753" s="1">
        <v>1.6938</v>
      </c>
      <c r="I1753" s="1">
        <v>2.17</v>
      </c>
      <c r="J1753" s="1">
        <v>4.0259999999999998</v>
      </c>
    </row>
    <row r="1754" spans="2:10" x14ac:dyDescent="0.3">
      <c r="B1754" s="10">
        <f t="shared" si="54"/>
        <v>2019</v>
      </c>
      <c r="C1754" s="10">
        <f t="shared" si="55"/>
        <v>8</v>
      </c>
      <c r="D1754" s="3">
        <v>43697</v>
      </c>
      <c r="E1754" s="1">
        <v>60.03</v>
      </c>
      <c r="F1754" s="1">
        <v>56.34</v>
      </c>
      <c r="G1754" s="1">
        <v>1.8543000000000001</v>
      </c>
      <c r="H1754" s="1">
        <v>1.6811</v>
      </c>
      <c r="I1754" s="1">
        <v>2.218</v>
      </c>
      <c r="J1754" s="1">
        <v>4.0529000000000002</v>
      </c>
    </row>
    <row r="1755" spans="2:10" x14ac:dyDescent="0.3">
      <c r="B1755" s="10">
        <f t="shared" si="54"/>
        <v>2019</v>
      </c>
      <c r="C1755" s="10">
        <f t="shared" si="55"/>
        <v>8</v>
      </c>
      <c r="D1755" s="3">
        <v>43696</v>
      </c>
      <c r="E1755" s="1">
        <v>59.74</v>
      </c>
      <c r="F1755" s="1">
        <v>56.21</v>
      </c>
      <c r="G1755" s="1">
        <v>1.8331</v>
      </c>
      <c r="H1755" s="1">
        <v>1.6644000000000001</v>
      </c>
      <c r="I1755" s="1">
        <v>2.21</v>
      </c>
      <c r="J1755" s="1">
        <v>4.0739999999999998</v>
      </c>
    </row>
    <row r="1756" spans="2:10" x14ac:dyDescent="0.3">
      <c r="B1756" s="10">
        <f t="shared" si="54"/>
        <v>2019</v>
      </c>
      <c r="C1756" s="10">
        <f t="shared" si="55"/>
        <v>8</v>
      </c>
      <c r="D1756" s="3">
        <v>43693</v>
      </c>
      <c r="E1756" s="1">
        <v>58.64</v>
      </c>
      <c r="F1756" s="1">
        <v>54.87</v>
      </c>
      <c r="G1756" s="1">
        <v>1.8128</v>
      </c>
      <c r="H1756" s="1">
        <v>1.6568000000000001</v>
      </c>
      <c r="I1756" s="1">
        <v>2.2000000000000002</v>
      </c>
      <c r="J1756" s="1">
        <v>4.0053999999999998</v>
      </c>
    </row>
    <row r="1757" spans="2:10" x14ac:dyDescent="0.3">
      <c r="B1757" s="10">
        <f t="shared" si="54"/>
        <v>2019</v>
      </c>
      <c r="C1757" s="10">
        <f t="shared" si="55"/>
        <v>8</v>
      </c>
      <c r="D1757" s="3">
        <v>43692</v>
      </c>
      <c r="E1757" s="1">
        <v>58.23</v>
      </c>
      <c r="F1757" s="1">
        <v>54.47</v>
      </c>
      <c r="G1757" s="1">
        <v>1.8107</v>
      </c>
      <c r="H1757" s="1">
        <v>1.6364000000000001</v>
      </c>
      <c r="I1757" s="1">
        <v>2.2320000000000002</v>
      </c>
      <c r="J1757" s="1">
        <v>3.9908000000000001</v>
      </c>
    </row>
    <row r="1758" spans="2:10" x14ac:dyDescent="0.3">
      <c r="B1758" s="10">
        <f t="shared" si="54"/>
        <v>2019</v>
      </c>
      <c r="C1758" s="10">
        <f t="shared" si="55"/>
        <v>8</v>
      </c>
      <c r="D1758" s="3">
        <v>43691</v>
      </c>
      <c r="E1758" s="1">
        <v>59.48</v>
      </c>
      <c r="F1758" s="1">
        <v>55.23</v>
      </c>
      <c r="G1758" s="1">
        <v>1.8436999999999999</v>
      </c>
      <c r="H1758" s="1">
        <v>1.6758</v>
      </c>
      <c r="I1758" s="1">
        <v>2.1429999999999998</v>
      </c>
      <c r="J1758" s="1">
        <v>4.0522</v>
      </c>
    </row>
    <row r="1759" spans="2:10" x14ac:dyDescent="0.3">
      <c r="B1759" s="10">
        <f t="shared" si="54"/>
        <v>2019</v>
      </c>
      <c r="C1759" s="10">
        <f t="shared" si="55"/>
        <v>8</v>
      </c>
      <c r="D1759" s="3">
        <v>43690</v>
      </c>
      <c r="E1759" s="1">
        <v>61.3</v>
      </c>
      <c r="F1759" s="1">
        <v>57.1</v>
      </c>
      <c r="G1759" s="1">
        <v>1.8773</v>
      </c>
      <c r="H1759" s="1">
        <v>1.7363999999999999</v>
      </c>
      <c r="I1759" s="1">
        <v>2.1469999999999998</v>
      </c>
      <c r="J1759" s="1">
        <v>3.9645999999999999</v>
      </c>
    </row>
    <row r="1760" spans="2:10" x14ac:dyDescent="0.3">
      <c r="B1760" s="10">
        <f t="shared" si="54"/>
        <v>2019</v>
      </c>
      <c r="C1760" s="10">
        <f t="shared" si="55"/>
        <v>8</v>
      </c>
      <c r="D1760" s="3">
        <v>43689</v>
      </c>
      <c r="E1760" s="1">
        <v>58.57</v>
      </c>
      <c r="F1760" s="1">
        <v>54.93</v>
      </c>
      <c r="G1760" s="1">
        <v>1.8058000000000001</v>
      </c>
      <c r="H1760" s="1">
        <v>1.6652</v>
      </c>
      <c r="I1760" s="1">
        <v>2.105</v>
      </c>
      <c r="J1760" s="1">
        <v>3.9853000000000001</v>
      </c>
    </row>
    <row r="1761" spans="2:10" x14ac:dyDescent="0.3">
      <c r="B1761" s="10">
        <f t="shared" si="54"/>
        <v>2019</v>
      </c>
      <c r="C1761" s="10">
        <f t="shared" si="55"/>
        <v>8</v>
      </c>
      <c r="D1761" s="3">
        <v>43686</v>
      </c>
      <c r="E1761" s="1">
        <v>58.53</v>
      </c>
      <c r="F1761" s="1">
        <v>54.5</v>
      </c>
      <c r="G1761" s="1">
        <v>1.8080000000000001</v>
      </c>
      <c r="H1761" s="1">
        <v>1.6739999999999999</v>
      </c>
      <c r="I1761" s="1">
        <v>2.1190000000000002</v>
      </c>
      <c r="J1761" s="1">
        <v>3.9405999999999999</v>
      </c>
    </row>
    <row r="1762" spans="2:10" x14ac:dyDescent="0.3">
      <c r="B1762" s="10">
        <f t="shared" si="54"/>
        <v>2019</v>
      </c>
      <c r="C1762" s="10">
        <f t="shared" si="55"/>
        <v>8</v>
      </c>
      <c r="D1762" s="3">
        <v>43685</v>
      </c>
      <c r="E1762" s="1">
        <v>57.38</v>
      </c>
      <c r="F1762" s="1">
        <v>52.54</v>
      </c>
      <c r="G1762" s="1">
        <v>1.7766</v>
      </c>
      <c r="H1762" s="1">
        <v>1.6456999999999999</v>
      </c>
      <c r="I1762" s="1">
        <v>2.1280000000000001</v>
      </c>
      <c r="J1762" s="1">
        <v>3.9188000000000001</v>
      </c>
    </row>
    <row r="1763" spans="2:10" x14ac:dyDescent="0.3">
      <c r="B1763" s="10">
        <f t="shared" si="54"/>
        <v>2019</v>
      </c>
      <c r="C1763" s="10">
        <f t="shared" si="55"/>
        <v>8</v>
      </c>
      <c r="D1763" s="3">
        <v>43684</v>
      </c>
      <c r="E1763" s="1">
        <v>56.23</v>
      </c>
      <c r="F1763" s="1">
        <v>51.09</v>
      </c>
      <c r="G1763" s="1">
        <v>1.7532000000000001</v>
      </c>
      <c r="H1763" s="1">
        <v>1.6203000000000001</v>
      </c>
      <c r="I1763" s="1">
        <v>2.0830000000000002</v>
      </c>
      <c r="J1763" s="1">
        <v>3.9681999999999999</v>
      </c>
    </row>
    <row r="1764" spans="2:10" x14ac:dyDescent="0.3">
      <c r="B1764" s="10">
        <f t="shared" si="54"/>
        <v>2019</v>
      </c>
      <c r="C1764" s="10">
        <f t="shared" si="55"/>
        <v>8</v>
      </c>
      <c r="D1764" s="3">
        <v>43683</v>
      </c>
      <c r="E1764" s="1">
        <v>58.94</v>
      </c>
      <c r="F1764" s="1">
        <v>53.63</v>
      </c>
      <c r="G1764" s="1">
        <v>1.8240000000000001</v>
      </c>
      <c r="H1764" s="1">
        <v>1.6873</v>
      </c>
      <c r="I1764" s="1">
        <v>2.1110000000000002</v>
      </c>
      <c r="J1764" s="1">
        <v>3.9603000000000002</v>
      </c>
    </row>
    <row r="1765" spans="2:10" x14ac:dyDescent="0.3">
      <c r="B1765" s="10">
        <f t="shared" si="54"/>
        <v>2019</v>
      </c>
      <c r="C1765" s="10">
        <f t="shared" si="55"/>
        <v>8</v>
      </c>
      <c r="D1765" s="3">
        <v>43682</v>
      </c>
      <c r="E1765" s="1">
        <v>59.81</v>
      </c>
      <c r="F1765" s="1">
        <v>54.69</v>
      </c>
      <c r="G1765" s="1">
        <v>1.8355999999999999</v>
      </c>
      <c r="H1765" s="1">
        <v>1.718</v>
      </c>
      <c r="I1765" s="1">
        <v>2.0699999999999998</v>
      </c>
      <c r="J1765" s="1">
        <v>3.9777999999999998</v>
      </c>
    </row>
    <row r="1766" spans="2:10" x14ac:dyDescent="0.3">
      <c r="B1766" s="10">
        <f t="shared" si="54"/>
        <v>2019</v>
      </c>
      <c r="C1766" s="10">
        <f t="shared" si="55"/>
        <v>8</v>
      </c>
      <c r="D1766" s="3">
        <v>43679</v>
      </c>
      <c r="E1766" s="1">
        <v>61.89</v>
      </c>
      <c r="F1766" s="1">
        <v>55.66</v>
      </c>
      <c r="G1766" s="1">
        <v>1.8902000000000001</v>
      </c>
      <c r="H1766" s="1">
        <v>1.7815000000000001</v>
      </c>
      <c r="I1766" s="1">
        <v>2.121</v>
      </c>
      <c r="J1766" s="1">
        <v>3.8883000000000001</v>
      </c>
    </row>
    <row r="1767" spans="2:10" x14ac:dyDescent="0.3">
      <c r="B1767" s="10">
        <f t="shared" si="54"/>
        <v>2019</v>
      </c>
      <c r="C1767" s="10">
        <f t="shared" si="55"/>
        <v>8</v>
      </c>
      <c r="D1767" s="3">
        <v>43678</v>
      </c>
      <c r="E1767" s="1">
        <v>60.5</v>
      </c>
      <c r="F1767" s="1">
        <v>53.95</v>
      </c>
      <c r="G1767" s="1">
        <v>1.8529</v>
      </c>
      <c r="H1767" s="1">
        <v>1.7499</v>
      </c>
      <c r="I1767" s="1">
        <v>2.202</v>
      </c>
      <c r="J1767" s="1">
        <v>3.8388</v>
      </c>
    </row>
    <row r="1768" spans="2:10" x14ac:dyDescent="0.3">
      <c r="B1768" s="10">
        <f t="shared" si="54"/>
        <v>2019</v>
      </c>
      <c r="C1768" s="10">
        <f t="shared" si="55"/>
        <v>7</v>
      </c>
      <c r="D1768" s="3">
        <v>43677</v>
      </c>
      <c r="E1768" s="1">
        <v>65.17</v>
      </c>
      <c r="F1768" s="1">
        <v>58.58</v>
      </c>
      <c r="G1768" s="1">
        <v>1.9550000000000001</v>
      </c>
      <c r="H1768" s="1">
        <v>1.9019999999999999</v>
      </c>
      <c r="I1768" s="1">
        <v>2.2330000000000001</v>
      </c>
      <c r="J1768" s="1">
        <v>3.8125</v>
      </c>
    </row>
    <row r="1769" spans="2:10" x14ac:dyDescent="0.3">
      <c r="B1769" s="10">
        <f t="shared" si="54"/>
        <v>2019</v>
      </c>
      <c r="C1769" s="10">
        <f t="shared" si="55"/>
        <v>7</v>
      </c>
      <c r="D1769" s="3">
        <v>43676</v>
      </c>
      <c r="E1769" s="1">
        <v>64.72</v>
      </c>
      <c r="F1769" s="1">
        <v>58.05</v>
      </c>
      <c r="G1769" s="1">
        <v>1.944</v>
      </c>
      <c r="H1769" s="1">
        <v>1.8969</v>
      </c>
      <c r="I1769" s="1">
        <v>2.137</v>
      </c>
      <c r="J1769" s="1">
        <v>3.7896000000000001</v>
      </c>
    </row>
    <row r="1770" spans="2:10" x14ac:dyDescent="0.3">
      <c r="B1770" s="10">
        <f t="shared" si="54"/>
        <v>2019</v>
      </c>
      <c r="C1770" s="10">
        <f t="shared" si="55"/>
        <v>7</v>
      </c>
      <c r="D1770" s="3">
        <v>43675</v>
      </c>
      <c r="E1770" s="1">
        <v>63.71</v>
      </c>
      <c r="F1770" s="1">
        <v>56.87</v>
      </c>
      <c r="G1770" s="1">
        <v>1.9106000000000001</v>
      </c>
      <c r="H1770" s="1">
        <v>1.8633999999999999</v>
      </c>
      <c r="I1770" s="1">
        <v>2.141</v>
      </c>
      <c r="J1770" s="1">
        <v>3.7812999999999999</v>
      </c>
    </row>
    <row r="1771" spans="2:10" x14ac:dyDescent="0.3">
      <c r="B1771" s="10">
        <f t="shared" si="54"/>
        <v>2019</v>
      </c>
      <c r="C1771" s="10">
        <f t="shared" si="55"/>
        <v>7</v>
      </c>
      <c r="D1771" s="3">
        <v>43672</v>
      </c>
      <c r="E1771" s="1">
        <v>63.46</v>
      </c>
      <c r="F1771" s="1">
        <v>56.2</v>
      </c>
      <c r="G1771" s="1">
        <v>1.9044000000000001</v>
      </c>
      <c r="H1771" s="1">
        <v>1.8744000000000001</v>
      </c>
      <c r="I1771" s="1">
        <v>2.169</v>
      </c>
      <c r="J1771" s="1">
        <v>3.7753000000000001</v>
      </c>
    </row>
    <row r="1772" spans="2:10" x14ac:dyDescent="0.3">
      <c r="B1772" s="10">
        <f t="shared" si="54"/>
        <v>2019</v>
      </c>
      <c r="C1772" s="10">
        <f t="shared" si="55"/>
        <v>7</v>
      </c>
      <c r="D1772" s="3">
        <v>43671</v>
      </c>
      <c r="E1772" s="1">
        <v>63.39</v>
      </c>
      <c r="F1772" s="1">
        <v>56.02</v>
      </c>
      <c r="G1772" s="1">
        <v>1.9142999999999999</v>
      </c>
      <c r="H1772" s="1">
        <v>1.8803000000000001</v>
      </c>
      <c r="I1772" s="1">
        <v>2.2440000000000002</v>
      </c>
      <c r="J1772" s="1">
        <v>3.7783000000000002</v>
      </c>
    </row>
    <row r="1773" spans="2:10" x14ac:dyDescent="0.3">
      <c r="B1773" s="10">
        <f t="shared" si="54"/>
        <v>2019</v>
      </c>
      <c r="C1773" s="10">
        <f t="shared" si="55"/>
        <v>7</v>
      </c>
      <c r="D1773" s="3">
        <v>43670</v>
      </c>
      <c r="E1773" s="1">
        <v>63.18</v>
      </c>
      <c r="F1773" s="1">
        <v>55.88</v>
      </c>
      <c r="G1773" s="1">
        <v>1.9087000000000001</v>
      </c>
      <c r="H1773" s="1">
        <v>1.8551</v>
      </c>
      <c r="I1773" s="1">
        <v>2.2200000000000002</v>
      </c>
      <c r="J1773" s="1">
        <v>3.7726000000000002</v>
      </c>
    </row>
    <row r="1774" spans="2:10" x14ac:dyDescent="0.3">
      <c r="B1774" s="10">
        <f t="shared" si="54"/>
        <v>2019</v>
      </c>
      <c r="C1774" s="10">
        <f t="shared" si="55"/>
        <v>7</v>
      </c>
      <c r="D1774" s="3">
        <v>43669</v>
      </c>
      <c r="E1774" s="1">
        <v>63.83</v>
      </c>
      <c r="F1774" s="1">
        <v>56.77</v>
      </c>
      <c r="G1774" s="1">
        <v>1.9217</v>
      </c>
      <c r="H1774" s="1">
        <v>1.8605</v>
      </c>
      <c r="I1774" s="1">
        <v>2.2999999999999998</v>
      </c>
      <c r="J1774" s="1">
        <v>3.7734999999999999</v>
      </c>
    </row>
    <row r="1775" spans="2:10" x14ac:dyDescent="0.3">
      <c r="B1775" s="10">
        <f t="shared" si="54"/>
        <v>2019</v>
      </c>
      <c r="C1775" s="10">
        <f t="shared" si="55"/>
        <v>7</v>
      </c>
      <c r="D1775" s="3">
        <v>43668</v>
      </c>
      <c r="E1775" s="1">
        <v>63.26</v>
      </c>
      <c r="F1775" s="1">
        <v>56.22</v>
      </c>
      <c r="G1775" s="1">
        <v>1.8995</v>
      </c>
      <c r="H1775" s="1">
        <v>1.8279000000000001</v>
      </c>
      <c r="I1775" s="1">
        <v>2.3119999999999998</v>
      </c>
      <c r="J1775" s="1">
        <v>3.7403</v>
      </c>
    </row>
    <row r="1776" spans="2:10" x14ac:dyDescent="0.3">
      <c r="B1776" s="10">
        <f t="shared" si="54"/>
        <v>2019</v>
      </c>
      <c r="C1776" s="10">
        <f t="shared" si="55"/>
        <v>7</v>
      </c>
      <c r="D1776" s="3">
        <v>43665</v>
      </c>
      <c r="E1776" s="1">
        <v>62.47</v>
      </c>
      <c r="F1776" s="1">
        <v>55.63</v>
      </c>
      <c r="G1776" s="1">
        <v>1.8895999999999999</v>
      </c>
      <c r="H1776" s="1">
        <v>1.8405</v>
      </c>
      <c r="I1776" s="1">
        <v>2.2509999999999999</v>
      </c>
      <c r="J1776" s="1">
        <v>3.7481</v>
      </c>
    </row>
    <row r="1777" spans="2:10" x14ac:dyDescent="0.3">
      <c r="B1777" s="10">
        <f t="shared" si="54"/>
        <v>2019</v>
      </c>
      <c r="C1777" s="10">
        <f t="shared" si="55"/>
        <v>7</v>
      </c>
      <c r="D1777" s="3">
        <v>43664</v>
      </c>
      <c r="E1777" s="1">
        <v>61.93</v>
      </c>
      <c r="F1777" s="1">
        <v>55.3</v>
      </c>
      <c r="G1777" s="1">
        <v>1.8625</v>
      </c>
      <c r="H1777" s="1">
        <v>1.8342000000000001</v>
      </c>
      <c r="I1777" s="1">
        <v>2.2869999999999999</v>
      </c>
      <c r="J1777" s="1">
        <v>3.7187000000000001</v>
      </c>
    </row>
    <row r="1778" spans="2:10" x14ac:dyDescent="0.3">
      <c r="B1778" s="10">
        <f t="shared" si="54"/>
        <v>2019</v>
      </c>
      <c r="C1778" s="10">
        <f t="shared" si="55"/>
        <v>7</v>
      </c>
      <c r="D1778" s="3">
        <v>43663</v>
      </c>
      <c r="E1778" s="1">
        <v>63.66</v>
      </c>
      <c r="F1778" s="1">
        <v>56.78</v>
      </c>
      <c r="G1778" s="1">
        <v>1.8926000000000001</v>
      </c>
      <c r="H1778" s="1">
        <v>1.8787</v>
      </c>
      <c r="I1778" s="1">
        <v>2.3039999999999998</v>
      </c>
      <c r="J1778" s="1">
        <v>3.7631999999999999</v>
      </c>
    </row>
    <row r="1779" spans="2:10" x14ac:dyDescent="0.3">
      <c r="B1779" s="10">
        <f t="shared" si="54"/>
        <v>2019</v>
      </c>
      <c r="C1779" s="10">
        <f t="shared" si="55"/>
        <v>7</v>
      </c>
      <c r="D1779" s="3">
        <v>43662</v>
      </c>
      <c r="E1779" s="1">
        <v>64.349999999999994</v>
      </c>
      <c r="F1779" s="1">
        <v>57.62</v>
      </c>
      <c r="G1779" s="1">
        <v>1.9049</v>
      </c>
      <c r="H1779" s="1">
        <v>1.8917999999999999</v>
      </c>
      <c r="I1779" s="1">
        <v>2.306</v>
      </c>
      <c r="J1779" s="1">
        <v>3.7679999999999998</v>
      </c>
    </row>
    <row r="1780" spans="2:10" x14ac:dyDescent="0.3">
      <c r="B1780" s="10">
        <f t="shared" si="54"/>
        <v>2019</v>
      </c>
      <c r="C1780" s="10">
        <f t="shared" si="55"/>
        <v>7</v>
      </c>
      <c r="D1780" s="3">
        <v>43661</v>
      </c>
      <c r="E1780" s="1">
        <v>66.48</v>
      </c>
      <c r="F1780" s="1">
        <v>59.58</v>
      </c>
      <c r="G1780" s="1">
        <v>1.9516</v>
      </c>
      <c r="H1780" s="1">
        <v>1.9302999999999999</v>
      </c>
      <c r="I1780" s="1">
        <v>2.4079999999999999</v>
      </c>
      <c r="J1780" s="1">
        <v>3.7555000000000001</v>
      </c>
    </row>
    <row r="1781" spans="2:10" x14ac:dyDescent="0.3">
      <c r="B1781" s="10">
        <f t="shared" si="54"/>
        <v>2019</v>
      </c>
      <c r="C1781" s="10">
        <f t="shared" si="55"/>
        <v>7</v>
      </c>
      <c r="D1781" s="3">
        <v>43658</v>
      </c>
      <c r="E1781" s="1">
        <v>66.72</v>
      </c>
      <c r="F1781" s="1">
        <v>60.21</v>
      </c>
      <c r="G1781" s="1">
        <v>1.9801</v>
      </c>
      <c r="H1781" s="1">
        <v>1.9770000000000001</v>
      </c>
      <c r="I1781" s="1">
        <v>2.4529999999999998</v>
      </c>
      <c r="J1781" s="1">
        <v>3.7357999999999998</v>
      </c>
    </row>
    <row r="1782" spans="2:10" x14ac:dyDescent="0.3">
      <c r="B1782" s="10">
        <f t="shared" si="54"/>
        <v>2019</v>
      </c>
      <c r="C1782" s="10">
        <f t="shared" si="55"/>
        <v>7</v>
      </c>
      <c r="D1782" s="3">
        <v>43657</v>
      </c>
      <c r="E1782" s="1">
        <v>66.52</v>
      </c>
      <c r="F1782" s="1">
        <v>60.2</v>
      </c>
      <c r="G1782" s="1">
        <v>1.9785999999999999</v>
      </c>
      <c r="H1782" s="1">
        <v>1.9895</v>
      </c>
      <c r="I1782" s="1">
        <v>2.4159999999999999</v>
      </c>
      <c r="J1782" s="1">
        <v>3.754</v>
      </c>
    </row>
    <row r="1783" spans="2:10" x14ac:dyDescent="0.3">
      <c r="B1783" s="10">
        <f t="shared" si="54"/>
        <v>2019</v>
      </c>
      <c r="C1783" s="10">
        <f t="shared" si="55"/>
        <v>7</v>
      </c>
      <c r="D1783" s="3">
        <v>43656</v>
      </c>
      <c r="E1783" s="1">
        <v>67.010000000000005</v>
      </c>
      <c r="F1783" s="1">
        <v>60.43</v>
      </c>
      <c r="G1783" s="1">
        <v>1.9910000000000001</v>
      </c>
      <c r="H1783" s="1">
        <v>2.0051999999999999</v>
      </c>
      <c r="I1783" s="1">
        <v>2.444</v>
      </c>
      <c r="J1783" s="1">
        <v>3.7543000000000002</v>
      </c>
    </row>
    <row r="1784" spans="2:10" x14ac:dyDescent="0.3">
      <c r="B1784" s="10">
        <f t="shared" si="54"/>
        <v>2019</v>
      </c>
      <c r="C1784" s="10">
        <f t="shared" si="55"/>
        <v>7</v>
      </c>
      <c r="D1784" s="3">
        <v>43655</v>
      </c>
      <c r="E1784" s="1">
        <v>64.16</v>
      </c>
      <c r="F1784" s="1">
        <v>57.83</v>
      </c>
      <c r="G1784" s="1">
        <v>1.9106000000000001</v>
      </c>
      <c r="H1784" s="1">
        <v>1.9269000000000001</v>
      </c>
      <c r="I1784" s="1">
        <v>2.4249999999999998</v>
      </c>
      <c r="J1784" s="1">
        <v>3.8</v>
      </c>
    </row>
    <row r="1785" spans="2:10" x14ac:dyDescent="0.3">
      <c r="B1785" s="10">
        <f t="shared" si="54"/>
        <v>2019</v>
      </c>
      <c r="C1785" s="10">
        <f t="shared" si="55"/>
        <v>7</v>
      </c>
      <c r="D1785" s="3">
        <v>43654</v>
      </c>
      <c r="E1785" s="1">
        <v>64.11</v>
      </c>
      <c r="F1785" s="1">
        <v>57.66</v>
      </c>
      <c r="G1785" s="1">
        <v>1.8953</v>
      </c>
      <c r="H1785" s="1">
        <v>1.9013</v>
      </c>
      <c r="I1785" s="1">
        <v>2.403</v>
      </c>
      <c r="J1785" s="1">
        <v>3.8062999999999998</v>
      </c>
    </row>
    <row r="1786" spans="2:10" x14ac:dyDescent="0.3">
      <c r="B1786" s="10">
        <f t="shared" si="54"/>
        <v>2019</v>
      </c>
      <c r="C1786" s="10">
        <f t="shared" si="55"/>
        <v>7</v>
      </c>
      <c r="D1786" s="3">
        <v>43651</v>
      </c>
      <c r="E1786" s="1">
        <v>64.23</v>
      </c>
      <c r="F1786" s="1">
        <v>57.51</v>
      </c>
      <c r="G1786" s="1">
        <v>1.905</v>
      </c>
      <c r="H1786" s="1">
        <v>1.9295</v>
      </c>
      <c r="I1786" s="1">
        <v>2.4180000000000001</v>
      </c>
      <c r="J1786" s="1">
        <v>3.8214999999999999</v>
      </c>
    </row>
    <row r="1787" spans="2:10" x14ac:dyDescent="0.3">
      <c r="B1787" s="10">
        <f t="shared" si="54"/>
        <v>2019</v>
      </c>
      <c r="C1787" s="10">
        <f t="shared" si="55"/>
        <v>7</v>
      </c>
      <c r="D1787" s="3">
        <v>43650</v>
      </c>
      <c r="E1787" s="1">
        <v>63.3</v>
      </c>
      <c r="J1787" s="1">
        <v>3.8008000000000002</v>
      </c>
    </row>
    <row r="1788" spans="2:10" x14ac:dyDescent="0.3">
      <c r="B1788" s="10">
        <f t="shared" si="54"/>
        <v>2019</v>
      </c>
      <c r="C1788" s="10">
        <f t="shared" si="55"/>
        <v>7</v>
      </c>
      <c r="D1788" s="3">
        <v>43649</v>
      </c>
      <c r="E1788" s="1">
        <v>63.82</v>
      </c>
      <c r="F1788" s="1">
        <v>57.34</v>
      </c>
      <c r="G1788" s="1">
        <v>1.8987000000000001</v>
      </c>
      <c r="H1788" s="1">
        <v>1.9167000000000001</v>
      </c>
      <c r="I1788" s="1">
        <v>2.29</v>
      </c>
      <c r="J1788" s="1">
        <v>3.8258000000000001</v>
      </c>
    </row>
    <row r="1789" spans="2:10" x14ac:dyDescent="0.3">
      <c r="B1789" s="10">
        <f t="shared" si="54"/>
        <v>2019</v>
      </c>
      <c r="C1789" s="10">
        <f t="shared" si="55"/>
        <v>7</v>
      </c>
      <c r="D1789" s="3">
        <v>43648</v>
      </c>
      <c r="E1789" s="1">
        <v>62.4</v>
      </c>
      <c r="F1789" s="1">
        <v>56.25</v>
      </c>
      <c r="G1789" s="1">
        <v>1.8863000000000001</v>
      </c>
      <c r="H1789" s="1">
        <v>1.8703000000000001</v>
      </c>
      <c r="I1789" s="1">
        <v>2.2400000000000002</v>
      </c>
      <c r="J1789" s="1">
        <v>3.8447</v>
      </c>
    </row>
    <row r="1790" spans="2:10" x14ac:dyDescent="0.3">
      <c r="B1790" s="10">
        <f t="shared" si="54"/>
        <v>2019</v>
      </c>
      <c r="C1790" s="10">
        <f t="shared" si="55"/>
        <v>7</v>
      </c>
      <c r="D1790" s="3">
        <v>43647</v>
      </c>
      <c r="E1790" s="1">
        <v>65.06</v>
      </c>
      <c r="F1790" s="1">
        <v>59.09</v>
      </c>
      <c r="G1790" s="1">
        <v>1.9538</v>
      </c>
      <c r="H1790" s="1">
        <v>1.9305000000000001</v>
      </c>
      <c r="I1790" s="1">
        <v>2.2669999999999999</v>
      </c>
      <c r="J1790" s="1">
        <v>3.8401000000000001</v>
      </c>
    </row>
    <row r="1791" spans="2:10" x14ac:dyDescent="0.3">
      <c r="B1791" s="10">
        <f t="shared" si="54"/>
        <v>2019</v>
      </c>
      <c r="C1791" s="10">
        <f t="shared" si="55"/>
        <v>6</v>
      </c>
      <c r="D1791" s="3">
        <v>43644</v>
      </c>
      <c r="E1791" s="1">
        <v>66.55</v>
      </c>
      <c r="F1791" s="1">
        <v>58.47</v>
      </c>
      <c r="G1791" s="1">
        <v>1.9446000000000001</v>
      </c>
      <c r="H1791" s="1">
        <v>1.9424999999999999</v>
      </c>
      <c r="I1791" s="1">
        <v>2.3079999999999998</v>
      </c>
      <c r="J1791" s="1">
        <v>3.8517999999999999</v>
      </c>
    </row>
    <row r="1792" spans="2:10" x14ac:dyDescent="0.3">
      <c r="B1792" s="10">
        <f t="shared" si="54"/>
        <v>2019</v>
      </c>
      <c r="C1792" s="10">
        <f t="shared" si="55"/>
        <v>6</v>
      </c>
      <c r="D1792" s="3">
        <v>43643</v>
      </c>
      <c r="E1792" s="1">
        <v>66.55</v>
      </c>
      <c r="F1792" s="1">
        <v>59.43</v>
      </c>
      <c r="G1792" s="1">
        <v>1.9524999999999999</v>
      </c>
      <c r="H1792" s="1">
        <v>1.9466000000000001</v>
      </c>
      <c r="I1792" s="1">
        <v>2.3239999999999998</v>
      </c>
      <c r="J1792" s="1">
        <v>3.8193999999999999</v>
      </c>
    </row>
    <row r="1793" spans="2:10" x14ac:dyDescent="0.3">
      <c r="B1793" s="10">
        <f t="shared" si="54"/>
        <v>2019</v>
      </c>
      <c r="C1793" s="10">
        <f t="shared" si="55"/>
        <v>6</v>
      </c>
      <c r="D1793" s="3">
        <v>43642</v>
      </c>
      <c r="E1793" s="1">
        <v>66.489999999999995</v>
      </c>
      <c r="F1793" s="1">
        <v>59.38</v>
      </c>
      <c r="G1793" s="1">
        <v>1.9713000000000001</v>
      </c>
      <c r="H1793" s="1">
        <v>1.9703999999999999</v>
      </c>
      <c r="I1793" s="1">
        <v>2.2909999999999999</v>
      </c>
      <c r="J1793" s="1">
        <v>3.8433000000000002</v>
      </c>
    </row>
    <row r="1794" spans="2:10" x14ac:dyDescent="0.3">
      <c r="B1794" s="10">
        <f t="shared" si="54"/>
        <v>2019</v>
      </c>
      <c r="C1794" s="10">
        <f t="shared" si="55"/>
        <v>6</v>
      </c>
      <c r="D1794" s="3">
        <v>43641</v>
      </c>
      <c r="E1794" s="1">
        <v>65.05</v>
      </c>
      <c r="F1794" s="1">
        <v>57.83</v>
      </c>
      <c r="G1794" s="1">
        <v>1.9234</v>
      </c>
      <c r="H1794" s="1">
        <v>1.8772</v>
      </c>
      <c r="I1794" s="1">
        <v>2.3079999999999998</v>
      </c>
      <c r="J1794" s="1">
        <v>3.8477999999999999</v>
      </c>
    </row>
    <row r="1795" spans="2:10" x14ac:dyDescent="0.3">
      <c r="B1795" s="10">
        <f t="shared" si="54"/>
        <v>2019</v>
      </c>
      <c r="C1795" s="10">
        <f t="shared" si="55"/>
        <v>6</v>
      </c>
      <c r="D1795" s="3">
        <v>43640</v>
      </c>
      <c r="E1795" s="1">
        <v>64.86</v>
      </c>
      <c r="F1795" s="1">
        <v>57.9</v>
      </c>
      <c r="G1795" s="1">
        <v>1.9089</v>
      </c>
      <c r="H1795" s="1">
        <v>1.8549</v>
      </c>
      <c r="I1795" s="1">
        <v>2.3029999999999999</v>
      </c>
      <c r="J1795" s="1">
        <v>3.8248000000000002</v>
      </c>
    </row>
    <row r="1796" spans="2:10" x14ac:dyDescent="0.3">
      <c r="B1796" s="10">
        <f t="shared" si="54"/>
        <v>2019</v>
      </c>
      <c r="C1796" s="10">
        <f t="shared" si="55"/>
        <v>6</v>
      </c>
      <c r="D1796" s="3">
        <v>43637</v>
      </c>
      <c r="E1796" s="1">
        <v>65.2</v>
      </c>
      <c r="F1796" s="1">
        <v>57.43</v>
      </c>
      <c r="G1796" s="1">
        <v>1.9157999999999999</v>
      </c>
      <c r="H1796" s="1">
        <v>1.8561000000000001</v>
      </c>
      <c r="I1796" s="1">
        <v>2.1859999999999999</v>
      </c>
      <c r="J1796" s="1">
        <v>3.819</v>
      </c>
    </row>
    <row r="1797" spans="2:10" x14ac:dyDescent="0.3">
      <c r="B1797" s="10">
        <f t="shared" si="54"/>
        <v>2019</v>
      </c>
      <c r="C1797" s="10">
        <f t="shared" si="55"/>
        <v>6</v>
      </c>
      <c r="D1797" s="3">
        <v>43636</v>
      </c>
      <c r="E1797" s="1">
        <v>64.45</v>
      </c>
      <c r="F1797" s="1">
        <v>56.65</v>
      </c>
      <c r="G1797" s="1">
        <v>1.8843000000000001</v>
      </c>
      <c r="H1797" s="1">
        <v>1.7863</v>
      </c>
      <c r="I1797" s="1">
        <v>2.1850000000000001</v>
      </c>
      <c r="J1797" s="1">
        <v>3.8386</v>
      </c>
    </row>
    <row r="1798" spans="2:10" x14ac:dyDescent="0.3">
      <c r="B1798" s="10">
        <f t="shared" ref="B1798:B1861" si="56">YEAR(D1798)</f>
        <v>2019</v>
      </c>
      <c r="C1798" s="10">
        <f t="shared" ref="C1798:C1861" si="57">MONTH(D1798)</f>
        <v>6</v>
      </c>
      <c r="D1798" s="3">
        <v>43635</v>
      </c>
      <c r="E1798" s="1">
        <v>61.82</v>
      </c>
      <c r="F1798" s="1">
        <v>53.76</v>
      </c>
      <c r="G1798" s="1">
        <v>1.8293999999999999</v>
      </c>
      <c r="H1798" s="1">
        <v>1.7355</v>
      </c>
      <c r="I1798" s="1">
        <v>2.2759999999999998</v>
      </c>
      <c r="J1798" s="1">
        <v>3.8388</v>
      </c>
    </row>
    <row r="1799" spans="2:10" x14ac:dyDescent="0.3">
      <c r="B1799" s="10">
        <f t="shared" si="56"/>
        <v>2019</v>
      </c>
      <c r="C1799" s="10">
        <f t="shared" si="57"/>
        <v>6</v>
      </c>
      <c r="D1799" s="3">
        <v>43634</v>
      </c>
      <c r="E1799" s="1">
        <v>62.14</v>
      </c>
      <c r="F1799" s="1">
        <v>53.9</v>
      </c>
      <c r="G1799" s="1">
        <v>1.8278000000000001</v>
      </c>
      <c r="H1799" s="1">
        <v>1.7214</v>
      </c>
      <c r="I1799" s="1">
        <v>2.3279999999999998</v>
      </c>
      <c r="J1799" s="1">
        <v>3.8595000000000002</v>
      </c>
    </row>
    <row r="1800" spans="2:10" x14ac:dyDescent="0.3">
      <c r="B1800" s="10">
        <f t="shared" si="56"/>
        <v>2019</v>
      </c>
      <c r="C1800" s="10">
        <f t="shared" si="57"/>
        <v>6</v>
      </c>
      <c r="D1800" s="3">
        <v>43633</v>
      </c>
      <c r="E1800" s="1">
        <v>60.94</v>
      </c>
      <c r="F1800" s="1">
        <v>51.93</v>
      </c>
      <c r="G1800" s="1">
        <v>1.7995000000000001</v>
      </c>
      <c r="H1800" s="1">
        <v>1.6908000000000001</v>
      </c>
      <c r="I1800" s="1">
        <v>2.3860000000000001</v>
      </c>
      <c r="J1800" s="1">
        <v>3.8881000000000001</v>
      </c>
    </row>
    <row r="1801" spans="2:10" x14ac:dyDescent="0.3">
      <c r="B1801" s="10">
        <f t="shared" si="56"/>
        <v>2019</v>
      </c>
      <c r="C1801" s="10">
        <f t="shared" si="57"/>
        <v>6</v>
      </c>
      <c r="D1801" s="3">
        <v>43630</v>
      </c>
      <c r="E1801" s="1">
        <v>62.01</v>
      </c>
      <c r="F1801" s="1">
        <v>52.51</v>
      </c>
      <c r="G1801" s="1">
        <v>1.8293999999999999</v>
      </c>
      <c r="H1801" s="1">
        <v>1.7324999999999999</v>
      </c>
      <c r="I1801" s="1">
        <v>2.387</v>
      </c>
      <c r="J1801" s="1">
        <v>3.8956</v>
      </c>
    </row>
    <row r="1802" spans="2:10" x14ac:dyDescent="0.3">
      <c r="B1802" s="10">
        <f t="shared" si="56"/>
        <v>2019</v>
      </c>
      <c r="C1802" s="10">
        <f t="shared" si="57"/>
        <v>6</v>
      </c>
      <c r="D1802" s="3">
        <v>43629</v>
      </c>
      <c r="E1802" s="1">
        <v>61.31</v>
      </c>
      <c r="F1802" s="1">
        <v>52.28</v>
      </c>
      <c r="G1802" s="1">
        <v>1.8066</v>
      </c>
      <c r="H1802" s="1">
        <v>1.7199</v>
      </c>
      <c r="I1802" s="1">
        <v>2.3250000000000002</v>
      </c>
      <c r="J1802" s="1">
        <v>3.8485</v>
      </c>
    </row>
    <row r="1803" spans="2:10" x14ac:dyDescent="0.3">
      <c r="B1803" s="10">
        <f t="shared" si="56"/>
        <v>2019</v>
      </c>
      <c r="C1803" s="10">
        <f t="shared" si="57"/>
        <v>6</v>
      </c>
      <c r="D1803" s="3">
        <v>43628</v>
      </c>
      <c r="E1803" s="1">
        <v>59.97</v>
      </c>
      <c r="F1803" s="1">
        <v>51.14</v>
      </c>
      <c r="G1803" s="1">
        <v>1.7799</v>
      </c>
      <c r="H1803" s="1">
        <v>1.6860999999999999</v>
      </c>
      <c r="I1803" s="1">
        <v>2.3860000000000001</v>
      </c>
      <c r="J1803" s="1">
        <v>3.8668999999999998</v>
      </c>
    </row>
    <row r="1804" spans="2:10" x14ac:dyDescent="0.3">
      <c r="B1804" s="10">
        <f t="shared" si="56"/>
        <v>2019</v>
      </c>
      <c r="C1804" s="10">
        <f t="shared" si="57"/>
        <v>6</v>
      </c>
      <c r="D1804" s="3">
        <v>43627</v>
      </c>
      <c r="E1804" s="1">
        <v>62.29</v>
      </c>
      <c r="F1804" s="1">
        <v>53.27</v>
      </c>
      <c r="G1804" s="1">
        <v>1.8221000000000001</v>
      </c>
      <c r="H1804" s="1">
        <v>1.7563</v>
      </c>
      <c r="I1804" s="1">
        <v>2.399</v>
      </c>
      <c r="J1804" s="1">
        <v>3.8569</v>
      </c>
    </row>
    <row r="1805" spans="2:10" x14ac:dyDescent="0.3">
      <c r="B1805" s="10">
        <f t="shared" si="56"/>
        <v>2019</v>
      </c>
      <c r="C1805" s="10">
        <f t="shared" si="57"/>
        <v>6</v>
      </c>
      <c r="D1805" s="3">
        <v>43626</v>
      </c>
      <c r="E1805" s="1">
        <v>62.29</v>
      </c>
      <c r="F1805" s="1">
        <v>53.26</v>
      </c>
      <c r="G1805" s="1">
        <v>1.8063</v>
      </c>
      <c r="H1805" s="1">
        <v>1.7302999999999999</v>
      </c>
      <c r="I1805" s="1">
        <v>2.3570000000000002</v>
      </c>
      <c r="J1805" s="1">
        <v>3.8874</v>
      </c>
    </row>
    <row r="1806" spans="2:10" x14ac:dyDescent="0.3">
      <c r="B1806" s="10">
        <f t="shared" si="56"/>
        <v>2019</v>
      </c>
      <c r="C1806" s="10">
        <f t="shared" si="57"/>
        <v>6</v>
      </c>
      <c r="D1806" s="3">
        <v>43623</v>
      </c>
      <c r="E1806" s="1">
        <v>63.29</v>
      </c>
      <c r="F1806" s="1">
        <v>53.99</v>
      </c>
      <c r="G1806" s="1">
        <v>1.8248</v>
      </c>
      <c r="H1806" s="1">
        <v>1.7388999999999999</v>
      </c>
      <c r="I1806" s="1">
        <v>2.3370000000000002</v>
      </c>
      <c r="J1806" s="1">
        <v>3.8774000000000002</v>
      </c>
    </row>
    <row r="1807" spans="2:10" x14ac:dyDescent="0.3">
      <c r="B1807" s="10">
        <f t="shared" si="56"/>
        <v>2019</v>
      </c>
      <c r="C1807" s="10">
        <f t="shared" si="57"/>
        <v>6</v>
      </c>
      <c r="D1807" s="3">
        <v>43622</v>
      </c>
      <c r="E1807" s="1">
        <v>61.67</v>
      </c>
      <c r="F1807" s="1">
        <v>52.59</v>
      </c>
      <c r="G1807" s="1">
        <v>1.7883</v>
      </c>
      <c r="H1807" s="1">
        <v>1.7076</v>
      </c>
      <c r="I1807" s="1">
        <v>2.3239999999999998</v>
      </c>
      <c r="J1807" s="1">
        <v>3.8795000000000002</v>
      </c>
    </row>
    <row r="1808" spans="2:10" x14ac:dyDescent="0.3">
      <c r="B1808" s="10">
        <f t="shared" si="56"/>
        <v>2019</v>
      </c>
      <c r="C1808" s="10">
        <f t="shared" si="57"/>
        <v>6</v>
      </c>
      <c r="D1808" s="3">
        <v>43621</v>
      </c>
      <c r="E1808" s="1">
        <v>60.63</v>
      </c>
      <c r="F1808" s="1">
        <v>51.68</v>
      </c>
      <c r="G1808" s="1">
        <v>1.78</v>
      </c>
      <c r="H1808" s="1">
        <v>1.6928000000000001</v>
      </c>
      <c r="I1808" s="1">
        <v>2.3780000000000001</v>
      </c>
      <c r="J1808" s="1">
        <v>3.8807999999999998</v>
      </c>
    </row>
    <row r="1809" spans="2:10" x14ac:dyDescent="0.3">
      <c r="B1809" s="10">
        <f t="shared" si="56"/>
        <v>2019</v>
      </c>
      <c r="C1809" s="10">
        <f t="shared" si="57"/>
        <v>6</v>
      </c>
      <c r="D1809" s="3">
        <v>43620</v>
      </c>
      <c r="E1809" s="1">
        <v>61.97</v>
      </c>
      <c r="F1809" s="1">
        <v>53.48</v>
      </c>
      <c r="G1809" s="1">
        <v>1.8214999999999999</v>
      </c>
      <c r="H1809" s="1">
        <v>1.7242</v>
      </c>
      <c r="I1809" s="1">
        <v>2.4159999999999999</v>
      </c>
      <c r="J1809" s="1">
        <v>3.8542000000000001</v>
      </c>
    </row>
    <row r="1810" spans="2:10" x14ac:dyDescent="0.3">
      <c r="B1810" s="10">
        <f t="shared" si="56"/>
        <v>2019</v>
      </c>
      <c r="C1810" s="10">
        <f t="shared" si="57"/>
        <v>6</v>
      </c>
      <c r="D1810" s="3">
        <v>43619</v>
      </c>
      <c r="E1810" s="1">
        <v>61.28</v>
      </c>
      <c r="F1810" s="1">
        <v>53.25</v>
      </c>
      <c r="G1810" s="1">
        <v>1.8065</v>
      </c>
      <c r="H1810" s="1">
        <v>1.7413000000000001</v>
      </c>
      <c r="I1810" s="1">
        <v>2.403</v>
      </c>
      <c r="J1810" s="1">
        <v>3.8851</v>
      </c>
    </row>
    <row r="1811" spans="2:10" x14ac:dyDescent="0.3">
      <c r="B1811" s="10">
        <f t="shared" si="56"/>
        <v>2019</v>
      </c>
      <c r="C1811" s="10">
        <f t="shared" si="57"/>
        <v>5</v>
      </c>
      <c r="D1811" s="3">
        <v>43616</v>
      </c>
      <c r="E1811" s="1">
        <v>64.489999999999995</v>
      </c>
      <c r="F1811" s="1">
        <v>53.5</v>
      </c>
      <c r="G1811" s="1">
        <v>1.8418000000000001</v>
      </c>
      <c r="H1811" s="1">
        <v>1.802</v>
      </c>
      <c r="I1811" s="1">
        <v>2.4540000000000002</v>
      </c>
      <c r="J1811" s="1">
        <v>3.9218000000000002</v>
      </c>
    </row>
    <row r="1812" spans="2:10" x14ac:dyDescent="0.3">
      <c r="B1812" s="10">
        <f t="shared" si="56"/>
        <v>2019</v>
      </c>
      <c r="C1812" s="10">
        <f t="shared" si="57"/>
        <v>5</v>
      </c>
      <c r="D1812" s="3">
        <v>43615</v>
      </c>
      <c r="E1812" s="1">
        <v>66.87</v>
      </c>
      <c r="F1812" s="1">
        <v>56.59</v>
      </c>
      <c r="G1812" s="1">
        <v>1.915</v>
      </c>
      <c r="H1812" s="1">
        <v>1.8786</v>
      </c>
      <c r="I1812" s="1">
        <v>2.5470000000000002</v>
      </c>
      <c r="J1812" s="1">
        <v>3.9815999999999998</v>
      </c>
    </row>
    <row r="1813" spans="2:10" x14ac:dyDescent="0.3">
      <c r="B1813" s="10">
        <f t="shared" si="56"/>
        <v>2019</v>
      </c>
      <c r="C1813" s="10">
        <f t="shared" si="57"/>
        <v>5</v>
      </c>
      <c r="D1813" s="3">
        <v>43614</v>
      </c>
      <c r="E1813" s="1">
        <v>69.45</v>
      </c>
      <c r="F1813" s="1">
        <v>58.81</v>
      </c>
      <c r="G1813" s="1">
        <v>1.9675</v>
      </c>
      <c r="H1813" s="1">
        <v>1.9452</v>
      </c>
      <c r="I1813" s="1">
        <v>2.633</v>
      </c>
      <c r="J1813" s="1">
        <v>3.9742000000000002</v>
      </c>
    </row>
    <row r="1814" spans="2:10" x14ac:dyDescent="0.3">
      <c r="B1814" s="10">
        <f t="shared" si="56"/>
        <v>2019</v>
      </c>
      <c r="C1814" s="10">
        <f t="shared" si="57"/>
        <v>5</v>
      </c>
      <c r="D1814" s="3">
        <v>43613</v>
      </c>
      <c r="E1814" s="1">
        <v>70.11</v>
      </c>
      <c r="F1814" s="1">
        <v>59.14</v>
      </c>
      <c r="G1814" s="1">
        <v>1.9924999999999999</v>
      </c>
      <c r="H1814" s="1">
        <v>1.9567000000000001</v>
      </c>
      <c r="I1814" s="1">
        <v>2.5819999999999999</v>
      </c>
      <c r="J1814" s="1">
        <v>4.0243000000000002</v>
      </c>
    </row>
    <row r="1815" spans="2:10" x14ac:dyDescent="0.3">
      <c r="B1815" s="10">
        <f t="shared" si="56"/>
        <v>2019</v>
      </c>
      <c r="C1815" s="10">
        <f t="shared" si="57"/>
        <v>5</v>
      </c>
      <c r="D1815" s="3">
        <v>43612</v>
      </c>
      <c r="E1815" s="1">
        <v>70.11</v>
      </c>
      <c r="J1815" s="1">
        <v>4.0410000000000004</v>
      </c>
    </row>
    <row r="1816" spans="2:10" x14ac:dyDescent="0.3">
      <c r="B1816" s="10">
        <f t="shared" si="56"/>
        <v>2019</v>
      </c>
      <c r="C1816" s="10">
        <f t="shared" si="57"/>
        <v>5</v>
      </c>
      <c r="D1816" s="3">
        <v>43609</v>
      </c>
      <c r="E1816" s="1">
        <v>68.69</v>
      </c>
      <c r="F1816" s="1">
        <v>58.63</v>
      </c>
      <c r="G1816" s="1">
        <v>1.9713000000000001</v>
      </c>
      <c r="H1816" s="1">
        <v>1.9345000000000001</v>
      </c>
      <c r="I1816" s="1">
        <v>2.5979999999999999</v>
      </c>
      <c r="J1816" s="1">
        <v>4.0213000000000001</v>
      </c>
    </row>
    <row r="1817" spans="2:10" x14ac:dyDescent="0.3">
      <c r="B1817" s="10">
        <f t="shared" si="56"/>
        <v>2019</v>
      </c>
      <c r="C1817" s="10">
        <f t="shared" si="57"/>
        <v>5</v>
      </c>
      <c r="D1817" s="3">
        <v>43608</v>
      </c>
      <c r="E1817" s="1">
        <v>67.760000000000005</v>
      </c>
      <c r="F1817" s="1">
        <v>57.91</v>
      </c>
      <c r="G1817" s="1">
        <v>1.9623999999999999</v>
      </c>
      <c r="H1817" s="1">
        <v>1.9133</v>
      </c>
      <c r="I1817" s="1">
        <v>2.5779999999999998</v>
      </c>
      <c r="J1817" s="1">
        <v>4.0393999999999997</v>
      </c>
    </row>
    <row r="1818" spans="2:10" x14ac:dyDescent="0.3">
      <c r="B1818" s="10">
        <f t="shared" si="56"/>
        <v>2019</v>
      </c>
      <c r="C1818" s="10">
        <f t="shared" si="57"/>
        <v>5</v>
      </c>
      <c r="D1818" s="3">
        <v>43607</v>
      </c>
      <c r="E1818" s="1">
        <v>70.989999999999995</v>
      </c>
      <c r="F1818" s="1">
        <v>61.42</v>
      </c>
      <c r="G1818" s="1">
        <v>2.0491000000000001</v>
      </c>
      <c r="H1818" s="1">
        <v>1.9912000000000001</v>
      </c>
      <c r="I1818" s="1">
        <v>2.5430000000000001</v>
      </c>
      <c r="J1818" s="1">
        <v>4.04</v>
      </c>
    </row>
    <row r="1819" spans="2:10" x14ac:dyDescent="0.3">
      <c r="B1819" s="10">
        <f t="shared" si="56"/>
        <v>2019</v>
      </c>
      <c r="C1819" s="10">
        <f t="shared" si="57"/>
        <v>5</v>
      </c>
      <c r="D1819" s="3">
        <v>43606</v>
      </c>
      <c r="E1819" s="1">
        <v>72.180000000000007</v>
      </c>
      <c r="F1819" s="1">
        <v>62.99</v>
      </c>
      <c r="G1819" s="1">
        <v>2.0794000000000001</v>
      </c>
      <c r="H1819" s="1">
        <v>2.0192999999999999</v>
      </c>
      <c r="I1819" s="1">
        <v>2.613</v>
      </c>
      <c r="J1819" s="1">
        <v>4.0387000000000004</v>
      </c>
    </row>
    <row r="1820" spans="2:10" x14ac:dyDescent="0.3">
      <c r="B1820" s="10">
        <f t="shared" si="56"/>
        <v>2019</v>
      </c>
      <c r="C1820" s="10">
        <f t="shared" si="57"/>
        <v>5</v>
      </c>
      <c r="D1820" s="3">
        <v>43605</v>
      </c>
      <c r="E1820" s="1">
        <v>71.97</v>
      </c>
      <c r="F1820" s="1">
        <v>63.1</v>
      </c>
      <c r="G1820" s="1">
        <v>2.0735999999999999</v>
      </c>
      <c r="H1820" s="1">
        <v>2.0099</v>
      </c>
      <c r="I1820" s="1">
        <v>2.673</v>
      </c>
      <c r="J1820" s="1">
        <v>4.0963000000000003</v>
      </c>
    </row>
    <row r="1821" spans="2:10" x14ac:dyDescent="0.3">
      <c r="B1821" s="10">
        <f t="shared" si="56"/>
        <v>2019</v>
      </c>
      <c r="C1821" s="10">
        <f t="shared" si="57"/>
        <v>5</v>
      </c>
      <c r="D1821" s="3">
        <v>43602</v>
      </c>
      <c r="E1821" s="1">
        <v>72.209999999999994</v>
      </c>
      <c r="F1821" s="1">
        <v>62.76</v>
      </c>
      <c r="G1821" s="1">
        <v>2.0954999999999999</v>
      </c>
      <c r="H1821" s="1">
        <v>2.0472999999999999</v>
      </c>
      <c r="I1821" s="1">
        <v>2.6309999999999998</v>
      </c>
      <c r="J1821" s="1">
        <v>4.0997000000000003</v>
      </c>
    </row>
    <row r="1822" spans="2:10" x14ac:dyDescent="0.3">
      <c r="B1822" s="10">
        <f t="shared" si="56"/>
        <v>2019</v>
      </c>
      <c r="C1822" s="10">
        <f t="shared" si="57"/>
        <v>5</v>
      </c>
      <c r="D1822" s="3">
        <v>43601</v>
      </c>
      <c r="E1822" s="1">
        <v>72.62</v>
      </c>
      <c r="F1822" s="1">
        <v>62.87</v>
      </c>
      <c r="G1822" s="1">
        <v>2.1232000000000002</v>
      </c>
      <c r="H1822" s="1">
        <v>2.0617999999999999</v>
      </c>
      <c r="I1822" s="1">
        <v>2.6389999999999998</v>
      </c>
      <c r="J1822" s="1">
        <v>4.0467000000000004</v>
      </c>
    </row>
    <row r="1823" spans="2:10" x14ac:dyDescent="0.3">
      <c r="B1823" s="10">
        <f t="shared" si="56"/>
        <v>2019</v>
      </c>
      <c r="C1823" s="10">
        <f t="shared" si="57"/>
        <v>5</v>
      </c>
      <c r="D1823" s="3">
        <v>43600</v>
      </c>
      <c r="E1823" s="1">
        <v>71.77</v>
      </c>
      <c r="F1823" s="1">
        <v>62.02</v>
      </c>
      <c r="G1823" s="1">
        <v>2.0863</v>
      </c>
      <c r="H1823" s="1">
        <v>2.0127000000000002</v>
      </c>
      <c r="I1823" s="1">
        <v>2.601</v>
      </c>
      <c r="J1823" s="1">
        <v>4.0011999999999999</v>
      </c>
    </row>
    <row r="1824" spans="2:10" x14ac:dyDescent="0.3">
      <c r="B1824" s="10">
        <f t="shared" si="56"/>
        <v>2019</v>
      </c>
      <c r="C1824" s="10">
        <f t="shared" si="57"/>
        <v>5</v>
      </c>
      <c r="D1824" s="3">
        <v>43599</v>
      </c>
      <c r="E1824" s="1">
        <v>71.239999999999995</v>
      </c>
      <c r="F1824" s="1">
        <v>61.78</v>
      </c>
      <c r="G1824" s="1">
        <v>2.0589</v>
      </c>
      <c r="H1824" s="1">
        <v>1.9766999999999999</v>
      </c>
      <c r="I1824" s="1">
        <v>2.6589999999999998</v>
      </c>
      <c r="J1824" s="1">
        <v>3.9744999999999999</v>
      </c>
    </row>
    <row r="1825" spans="2:10" x14ac:dyDescent="0.3">
      <c r="B1825" s="10">
        <f t="shared" si="56"/>
        <v>2019</v>
      </c>
      <c r="C1825" s="10">
        <f t="shared" si="57"/>
        <v>5</v>
      </c>
      <c r="D1825" s="3">
        <v>43598</v>
      </c>
      <c r="E1825" s="1">
        <v>70.23</v>
      </c>
      <c r="F1825" s="1">
        <v>61.04</v>
      </c>
      <c r="G1825" s="1">
        <v>2.0384000000000002</v>
      </c>
      <c r="H1825" s="1">
        <v>1.9637</v>
      </c>
      <c r="I1825" s="1">
        <v>2.621</v>
      </c>
      <c r="J1825" s="1">
        <v>3.9925000000000002</v>
      </c>
    </row>
    <row r="1826" spans="2:10" x14ac:dyDescent="0.3">
      <c r="B1826" s="10">
        <f t="shared" si="56"/>
        <v>2019</v>
      </c>
      <c r="C1826" s="10">
        <f t="shared" si="57"/>
        <v>5</v>
      </c>
      <c r="D1826" s="3">
        <v>43595</v>
      </c>
      <c r="E1826" s="1">
        <v>70.62</v>
      </c>
      <c r="F1826" s="1">
        <v>61.66</v>
      </c>
      <c r="G1826" s="1">
        <v>2.0503999999999998</v>
      </c>
      <c r="H1826" s="1">
        <v>1.9891000000000001</v>
      </c>
      <c r="I1826" s="1">
        <v>2.6190000000000002</v>
      </c>
      <c r="J1826" s="1">
        <v>3.9565999999999999</v>
      </c>
    </row>
    <row r="1827" spans="2:10" x14ac:dyDescent="0.3">
      <c r="B1827" s="10">
        <f t="shared" si="56"/>
        <v>2019</v>
      </c>
      <c r="C1827" s="10">
        <f t="shared" si="57"/>
        <v>5</v>
      </c>
      <c r="D1827" s="3">
        <v>43594</v>
      </c>
      <c r="E1827" s="1">
        <v>70.39</v>
      </c>
      <c r="F1827" s="1">
        <v>61.7</v>
      </c>
      <c r="G1827" s="1">
        <v>2.0436000000000001</v>
      </c>
      <c r="H1827" s="1">
        <v>1.9754</v>
      </c>
      <c r="I1827" s="1">
        <v>2.5950000000000002</v>
      </c>
      <c r="J1827" s="1">
        <v>3.9456000000000002</v>
      </c>
    </row>
    <row r="1828" spans="2:10" x14ac:dyDescent="0.3">
      <c r="B1828" s="10">
        <f t="shared" si="56"/>
        <v>2019</v>
      </c>
      <c r="C1828" s="10">
        <f t="shared" si="57"/>
        <v>5</v>
      </c>
      <c r="D1828" s="3">
        <v>43593</v>
      </c>
      <c r="E1828" s="1">
        <v>70.37</v>
      </c>
      <c r="F1828" s="1">
        <v>62.12</v>
      </c>
      <c r="G1828" s="1">
        <v>2.0562</v>
      </c>
      <c r="H1828" s="1">
        <v>1.9750000000000001</v>
      </c>
      <c r="I1828" s="1">
        <v>2.61</v>
      </c>
      <c r="J1828" s="1">
        <v>3.9279000000000002</v>
      </c>
    </row>
    <row r="1829" spans="2:10" x14ac:dyDescent="0.3">
      <c r="B1829" s="10">
        <f t="shared" si="56"/>
        <v>2019</v>
      </c>
      <c r="C1829" s="10">
        <f t="shared" si="57"/>
        <v>5</v>
      </c>
      <c r="D1829" s="3">
        <v>43592</v>
      </c>
      <c r="E1829" s="1">
        <v>69.88</v>
      </c>
      <c r="F1829" s="1">
        <v>61.4</v>
      </c>
      <c r="G1829" s="1">
        <v>2.0375999999999999</v>
      </c>
      <c r="H1829" s="1">
        <v>1.9487000000000001</v>
      </c>
      <c r="I1829" s="1">
        <v>2.5369999999999999</v>
      </c>
      <c r="J1829" s="1">
        <v>3.97</v>
      </c>
    </row>
    <row r="1830" spans="2:10" x14ac:dyDescent="0.3">
      <c r="B1830" s="10">
        <f t="shared" si="56"/>
        <v>2019</v>
      </c>
      <c r="C1830" s="10">
        <f t="shared" si="57"/>
        <v>5</v>
      </c>
      <c r="D1830" s="3">
        <v>43591</v>
      </c>
      <c r="E1830" s="1">
        <v>71.239999999999995</v>
      </c>
      <c r="F1830" s="1">
        <v>62.25</v>
      </c>
      <c r="G1830" s="1">
        <v>2.0676000000000001</v>
      </c>
      <c r="H1830" s="1">
        <v>1.9965999999999999</v>
      </c>
      <c r="I1830" s="1">
        <v>2.524</v>
      </c>
      <c r="J1830" s="1">
        <v>3.9683000000000002</v>
      </c>
    </row>
    <row r="1831" spans="2:10" x14ac:dyDescent="0.3">
      <c r="B1831" s="10">
        <f t="shared" si="56"/>
        <v>2019</v>
      </c>
      <c r="C1831" s="10">
        <f t="shared" si="57"/>
        <v>5</v>
      </c>
      <c r="D1831" s="3">
        <v>43588</v>
      </c>
      <c r="E1831" s="1">
        <v>70.849999999999994</v>
      </c>
      <c r="F1831" s="1">
        <v>61.94</v>
      </c>
      <c r="G1831" s="1">
        <v>2.0701999999999998</v>
      </c>
      <c r="H1831" s="1">
        <v>2.0265</v>
      </c>
      <c r="I1831" s="1">
        <v>2.5670000000000002</v>
      </c>
      <c r="J1831" s="1">
        <v>3.9378000000000002</v>
      </c>
    </row>
    <row r="1832" spans="2:10" x14ac:dyDescent="0.3">
      <c r="B1832" s="10">
        <f t="shared" si="56"/>
        <v>2019</v>
      </c>
      <c r="C1832" s="10">
        <f t="shared" si="57"/>
        <v>5</v>
      </c>
      <c r="D1832" s="3">
        <v>43587</v>
      </c>
      <c r="E1832" s="1">
        <v>70.75</v>
      </c>
      <c r="F1832" s="1">
        <v>61.81</v>
      </c>
      <c r="G1832" s="1">
        <v>2.0777999999999999</v>
      </c>
      <c r="H1832" s="1">
        <v>2.0183</v>
      </c>
      <c r="I1832" s="1">
        <v>2.589</v>
      </c>
      <c r="J1832" s="1">
        <v>3.9653999999999998</v>
      </c>
    </row>
    <row r="1833" spans="2:10" x14ac:dyDescent="0.3">
      <c r="B1833" s="10">
        <f t="shared" si="56"/>
        <v>2019</v>
      </c>
      <c r="C1833" s="10">
        <f t="shared" si="57"/>
        <v>5</v>
      </c>
      <c r="D1833" s="3">
        <v>43586</v>
      </c>
      <c r="E1833" s="1">
        <v>72.180000000000007</v>
      </c>
      <c r="F1833" s="1">
        <v>63.6</v>
      </c>
      <c r="G1833" s="1">
        <v>2.0941999999999998</v>
      </c>
      <c r="H1833" s="1">
        <v>2.0642</v>
      </c>
      <c r="I1833" s="1">
        <v>2.62</v>
      </c>
      <c r="J1833" s="1">
        <v>3.9195000000000002</v>
      </c>
    </row>
    <row r="1834" spans="2:10" x14ac:dyDescent="0.3">
      <c r="B1834" s="10">
        <f t="shared" si="56"/>
        <v>2019</v>
      </c>
      <c r="C1834" s="10">
        <f t="shared" si="57"/>
        <v>4</v>
      </c>
      <c r="D1834" s="3">
        <v>43585</v>
      </c>
      <c r="E1834" s="1">
        <v>72.8</v>
      </c>
      <c r="F1834" s="1">
        <v>63.91</v>
      </c>
      <c r="G1834" s="1">
        <v>2.0811999999999999</v>
      </c>
      <c r="H1834" s="1">
        <v>2.1232000000000002</v>
      </c>
      <c r="I1834" s="1">
        <v>2.5750000000000002</v>
      </c>
      <c r="J1834" s="1">
        <v>3.9207000000000001</v>
      </c>
    </row>
    <row r="1835" spans="2:10" x14ac:dyDescent="0.3">
      <c r="B1835" s="10">
        <f t="shared" si="56"/>
        <v>2019</v>
      </c>
      <c r="C1835" s="10">
        <f t="shared" si="57"/>
        <v>4</v>
      </c>
      <c r="D1835" s="3">
        <v>43584</v>
      </c>
      <c r="E1835" s="1">
        <v>72.040000000000006</v>
      </c>
      <c r="F1835" s="1">
        <v>63.5</v>
      </c>
      <c r="G1835" s="1">
        <v>2.0548999999999999</v>
      </c>
      <c r="H1835" s="1">
        <v>2.0828000000000002</v>
      </c>
      <c r="I1835" s="1">
        <v>2.593</v>
      </c>
      <c r="J1835" s="1">
        <v>3.9441999999999999</v>
      </c>
    </row>
    <row r="1836" spans="2:10" x14ac:dyDescent="0.3">
      <c r="B1836" s="10">
        <f t="shared" si="56"/>
        <v>2019</v>
      </c>
      <c r="C1836" s="10">
        <f t="shared" si="57"/>
        <v>4</v>
      </c>
      <c r="D1836" s="3">
        <v>43581</v>
      </c>
      <c r="E1836" s="1">
        <v>72.150000000000006</v>
      </c>
      <c r="F1836" s="1">
        <v>63.3</v>
      </c>
      <c r="G1836" s="1">
        <v>2.0512000000000001</v>
      </c>
      <c r="H1836" s="1">
        <v>2.1006</v>
      </c>
      <c r="I1836" s="1">
        <v>2.5659999999999998</v>
      </c>
      <c r="J1836" s="1">
        <v>3.9287999999999998</v>
      </c>
    </row>
    <row r="1837" spans="2:10" x14ac:dyDescent="0.3">
      <c r="B1837" s="10">
        <f t="shared" si="56"/>
        <v>2019</v>
      </c>
      <c r="C1837" s="10">
        <f t="shared" si="57"/>
        <v>4</v>
      </c>
      <c r="D1837" s="3">
        <v>43580</v>
      </c>
      <c r="E1837" s="1">
        <v>74.349999999999994</v>
      </c>
      <c r="F1837" s="1">
        <v>65.209999999999994</v>
      </c>
      <c r="G1837" s="1">
        <v>2.0981000000000001</v>
      </c>
      <c r="H1837" s="1">
        <v>2.1320999999999999</v>
      </c>
      <c r="I1837" s="1">
        <v>2.5139999999999998</v>
      </c>
      <c r="J1837" s="1">
        <v>3.9529999999999998</v>
      </c>
    </row>
    <row r="1838" spans="2:10" x14ac:dyDescent="0.3">
      <c r="B1838" s="10">
        <f t="shared" si="56"/>
        <v>2019</v>
      </c>
      <c r="C1838" s="10">
        <f t="shared" si="57"/>
        <v>4</v>
      </c>
      <c r="D1838" s="3">
        <v>43579</v>
      </c>
      <c r="E1838" s="1">
        <v>74.569999999999993</v>
      </c>
      <c r="F1838" s="1">
        <v>65.89</v>
      </c>
      <c r="G1838" s="1">
        <v>2.0987</v>
      </c>
      <c r="H1838" s="1">
        <v>2.1284999999999998</v>
      </c>
      <c r="I1838" s="1">
        <v>2.4620000000000002</v>
      </c>
      <c r="J1838" s="1">
        <v>3.9922</v>
      </c>
    </row>
    <row r="1839" spans="2:10" x14ac:dyDescent="0.3">
      <c r="B1839" s="10">
        <f t="shared" si="56"/>
        <v>2019</v>
      </c>
      <c r="C1839" s="10">
        <f t="shared" si="57"/>
        <v>4</v>
      </c>
      <c r="D1839" s="3">
        <v>43578</v>
      </c>
      <c r="E1839" s="1">
        <v>74.510000000000005</v>
      </c>
      <c r="F1839" s="1">
        <v>66.3</v>
      </c>
      <c r="G1839" s="1">
        <v>2.1179999999999999</v>
      </c>
      <c r="H1839" s="1">
        <v>2.1316000000000002</v>
      </c>
      <c r="I1839" s="1">
        <v>2.4550000000000001</v>
      </c>
      <c r="J1839" s="1">
        <v>3.9197000000000002</v>
      </c>
    </row>
    <row r="1840" spans="2:10" x14ac:dyDescent="0.3">
      <c r="B1840" s="10">
        <f t="shared" si="56"/>
        <v>2019</v>
      </c>
      <c r="C1840" s="10">
        <f t="shared" si="57"/>
        <v>4</v>
      </c>
      <c r="D1840" s="3">
        <v>43577</v>
      </c>
      <c r="E1840" s="1">
        <v>74.040000000000006</v>
      </c>
      <c r="F1840" s="1">
        <v>65.7</v>
      </c>
      <c r="G1840" s="1">
        <v>2.1040000000000001</v>
      </c>
      <c r="H1840" s="1">
        <v>2.1297999999999999</v>
      </c>
      <c r="I1840" s="1">
        <v>2.524</v>
      </c>
      <c r="J1840" s="1">
        <v>3.9358</v>
      </c>
    </row>
    <row r="1841" spans="2:10" x14ac:dyDescent="0.3">
      <c r="B1841" s="10">
        <f t="shared" si="56"/>
        <v>2019</v>
      </c>
      <c r="C1841" s="10">
        <f t="shared" si="57"/>
        <v>4</v>
      </c>
      <c r="D1841" s="3">
        <v>43574</v>
      </c>
      <c r="J1841" s="1">
        <v>3.9260000000000002</v>
      </c>
    </row>
    <row r="1842" spans="2:10" x14ac:dyDescent="0.3">
      <c r="B1842" s="10">
        <f t="shared" si="56"/>
        <v>2019</v>
      </c>
      <c r="C1842" s="10">
        <f t="shared" si="57"/>
        <v>4</v>
      </c>
      <c r="D1842" s="3">
        <v>43573</v>
      </c>
      <c r="E1842" s="1">
        <v>71.97</v>
      </c>
      <c r="F1842" s="1">
        <v>64</v>
      </c>
      <c r="G1842" s="1">
        <v>2.0709</v>
      </c>
      <c r="H1842" s="1">
        <v>2.0722</v>
      </c>
      <c r="I1842" s="1">
        <v>2.4900000000000002</v>
      </c>
      <c r="J1842" s="1">
        <v>3.9260999999999999</v>
      </c>
    </row>
    <row r="1843" spans="2:10" x14ac:dyDescent="0.3">
      <c r="B1843" s="10">
        <f t="shared" si="56"/>
        <v>2019</v>
      </c>
      <c r="C1843" s="10">
        <f t="shared" si="57"/>
        <v>4</v>
      </c>
      <c r="D1843" s="3">
        <v>43572</v>
      </c>
      <c r="E1843" s="1">
        <v>71.62</v>
      </c>
      <c r="F1843" s="1">
        <v>63.76</v>
      </c>
      <c r="G1843" s="1">
        <v>2.0691999999999999</v>
      </c>
      <c r="H1843" s="1">
        <v>2.0417999999999998</v>
      </c>
      <c r="I1843" s="1">
        <v>2.5169999999999999</v>
      </c>
      <c r="J1843" s="1">
        <v>3.9373</v>
      </c>
    </row>
    <row r="1844" spans="2:10" x14ac:dyDescent="0.3">
      <c r="B1844" s="10">
        <f t="shared" si="56"/>
        <v>2019</v>
      </c>
      <c r="C1844" s="10">
        <f t="shared" si="57"/>
        <v>4</v>
      </c>
      <c r="D1844" s="3">
        <v>43571</v>
      </c>
      <c r="E1844" s="1">
        <v>71.72</v>
      </c>
      <c r="F1844" s="1">
        <v>64.05</v>
      </c>
      <c r="G1844" s="1">
        <v>2.0821999999999998</v>
      </c>
      <c r="H1844" s="1">
        <v>2.0316999999999998</v>
      </c>
      <c r="I1844" s="1">
        <v>2.5720000000000001</v>
      </c>
      <c r="J1844" s="1">
        <v>3.9030999999999998</v>
      </c>
    </row>
    <row r="1845" spans="2:10" x14ac:dyDescent="0.3">
      <c r="B1845" s="10">
        <f t="shared" si="56"/>
        <v>2019</v>
      </c>
      <c r="C1845" s="10">
        <f t="shared" si="57"/>
        <v>4</v>
      </c>
      <c r="D1845" s="3">
        <v>43570</v>
      </c>
      <c r="E1845" s="1">
        <v>71.180000000000007</v>
      </c>
      <c r="F1845" s="1">
        <v>63.4</v>
      </c>
      <c r="G1845" s="1">
        <v>2.0609999999999999</v>
      </c>
      <c r="H1845" s="1">
        <v>2.0118</v>
      </c>
      <c r="I1845" s="1">
        <v>2.59</v>
      </c>
      <c r="J1845" s="1">
        <v>3.8719999999999999</v>
      </c>
    </row>
    <row r="1846" spans="2:10" x14ac:dyDescent="0.3">
      <c r="B1846" s="10">
        <f t="shared" si="56"/>
        <v>2019</v>
      </c>
      <c r="C1846" s="10">
        <f t="shared" si="57"/>
        <v>4</v>
      </c>
      <c r="D1846" s="3">
        <v>43567</v>
      </c>
      <c r="E1846" s="1">
        <v>71.55</v>
      </c>
      <c r="F1846" s="1">
        <v>63.89</v>
      </c>
      <c r="G1846" s="1">
        <v>2.0707</v>
      </c>
      <c r="H1846" s="1">
        <v>2.0369999999999999</v>
      </c>
      <c r="I1846" s="1">
        <v>2.66</v>
      </c>
      <c r="J1846" s="1">
        <v>3.8812000000000002</v>
      </c>
    </row>
    <row r="1847" spans="2:10" x14ac:dyDescent="0.3">
      <c r="B1847" s="10">
        <f t="shared" si="56"/>
        <v>2019</v>
      </c>
      <c r="C1847" s="10">
        <f t="shared" si="57"/>
        <v>4</v>
      </c>
      <c r="D1847" s="3">
        <v>43566</v>
      </c>
      <c r="E1847" s="1">
        <v>70.83</v>
      </c>
      <c r="F1847" s="1">
        <v>63.58</v>
      </c>
      <c r="G1847" s="1">
        <v>2.0672000000000001</v>
      </c>
      <c r="H1847" s="1">
        <v>2.0308999999999999</v>
      </c>
      <c r="I1847" s="1">
        <v>2.6640000000000001</v>
      </c>
      <c r="J1847" s="1">
        <v>3.8570000000000002</v>
      </c>
    </row>
    <row r="1848" spans="2:10" x14ac:dyDescent="0.3">
      <c r="B1848" s="10">
        <f t="shared" si="56"/>
        <v>2019</v>
      </c>
      <c r="C1848" s="10">
        <f t="shared" si="57"/>
        <v>4</v>
      </c>
      <c r="D1848" s="3">
        <v>43565</v>
      </c>
      <c r="E1848" s="1">
        <v>71.73</v>
      </c>
      <c r="F1848" s="1">
        <v>64.61</v>
      </c>
      <c r="G1848" s="1">
        <v>2.0876000000000001</v>
      </c>
      <c r="H1848" s="1">
        <v>2.0691999999999999</v>
      </c>
      <c r="I1848" s="1">
        <v>2.7</v>
      </c>
      <c r="J1848" s="1">
        <v>3.8247</v>
      </c>
    </row>
    <row r="1849" spans="2:10" x14ac:dyDescent="0.3">
      <c r="B1849" s="10">
        <f t="shared" si="56"/>
        <v>2019</v>
      </c>
      <c r="C1849" s="10">
        <f t="shared" si="57"/>
        <v>4</v>
      </c>
      <c r="D1849" s="3">
        <v>43564</v>
      </c>
      <c r="E1849" s="1">
        <v>70.61</v>
      </c>
      <c r="F1849" s="1">
        <v>63.98</v>
      </c>
      <c r="G1849" s="1">
        <v>2.0449000000000002</v>
      </c>
      <c r="H1849" s="1">
        <v>1.9990000000000001</v>
      </c>
      <c r="I1849" s="1">
        <v>2.6989999999999998</v>
      </c>
      <c r="J1849" s="1">
        <v>3.8502000000000001</v>
      </c>
    </row>
    <row r="1850" spans="2:10" x14ac:dyDescent="0.3">
      <c r="B1850" s="10">
        <f t="shared" si="56"/>
        <v>2019</v>
      </c>
      <c r="C1850" s="10">
        <f t="shared" si="57"/>
        <v>4</v>
      </c>
      <c r="D1850" s="3">
        <v>43563</v>
      </c>
      <c r="E1850" s="1">
        <v>71.099999999999994</v>
      </c>
      <c r="F1850" s="1">
        <v>64.400000000000006</v>
      </c>
      <c r="G1850" s="1">
        <v>2.0571000000000002</v>
      </c>
      <c r="H1850" s="1">
        <v>1.988</v>
      </c>
      <c r="I1850" s="1">
        <v>2.7080000000000002</v>
      </c>
      <c r="J1850" s="1">
        <v>3.8490000000000002</v>
      </c>
    </row>
    <row r="1851" spans="2:10" x14ac:dyDescent="0.3">
      <c r="B1851" s="10">
        <f t="shared" si="56"/>
        <v>2019</v>
      </c>
      <c r="C1851" s="10">
        <f t="shared" si="57"/>
        <v>4</v>
      </c>
      <c r="D1851" s="3">
        <v>43560</v>
      </c>
      <c r="E1851" s="1">
        <v>70.34</v>
      </c>
      <c r="F1851" s="1">
        <v>63.08</v>
      </c>
      <c r="G1851" s="1">
        <v>2.0424000000000002</v>
      </c>
      <c r="H1851" s="1">
        <v>1.9686999999999999</v>
      </c>
      <c r="I1851" s="1">
        <v>2.6640000000000001</v>
      </c>
      <c r="J1851" s="1">
        <v>3.8730000000000002</v>
      </c>
    </row>
    <row r="1852" spans="2:10" x14ac:dyDescent="0.3">
      <c r="B1852" s="10">
        <f t="shared" si="56"/>
        <v>2019</v>
      </c>
      <c r="C1852" s="10">
        <f t="shared" si="57"/>
        <v>4</v>
      </c>
      <c r="D1852" s="3">
        <v>43559</v>
      </c>
      <c r="E1852" s="1">
        <v>69.400000000000006</v>
      </c>
      <c r="F1852" s="1">
        <v>62.1</v>
      </c>
      <c r="G1852" s="1">
        <v>2.0133999999999999</v>
      </c>
      <c r="H1852" s="1">
        <v>1.9399</v>
      </c>
      <c r="I1852" s="1">
        <v>2.6429999999999998</v>
      </c>
      <c r="J1852" s="1">
        <v>3.8586999999999998</v>
      </c>
    </row>
    <row r="1853" spans="2:10" x14ac:dyDescent="0.3">
      <c r="B1853" s="10">
        <f t="shared" si="56"/>
        <v>2019</v>
      </c>
      <c r="C1853" s="10">
        <f t="shared" si="57"/>
        <v>4</v>
      </c>
      <c r="D1853" s="3">
        <v>43558</v>
      </c>
      <c r="E1853" s="1">
        <v>69.31</v>
      </c>
      <c r="F1853" s="1">
        <v>62.46</v>
      </c>
      <c r="G1853" s="1">
        <v>2.0068000000000001</v>
      </c>
      <c r="H1853" s="1">
        <v>1.9512</v>
      </c>
      <c r="I1853" s="1">
        <v>2.677</v>
      </c>
      <c r="J1853" s="1">
        <v>3.8694000000000002</v>
      </c>
    </row>
    <row r="1854" spans="2:10" x14ac:dyDescent="0.3">
      <c r="B1854" s="10">
        <f t="shared" si="56"/>
        <v>2019</v>
      </c>
      <c r="C1854" s="10">
        <f t="shared" si="57"/>
        <v>4</v>
      </c>
      <c r="D1854" s="3">
        <v>43557</v>
      </c>
      <c r="E1854" s="1">
        <v>69.37</v>
      </c>
      <c r="F1854" s="1">
        <v>62.58</v>
      </c>
      <c r="G1854" s="1">
        <v>2.0089000000000001</v>
      </c>
      <c r="H1854" s="1">
        <v>1.9285000000000001</v>
      </c>
      <c r="I1854" s="1">
        <v>2.6840000000000002</v>
      </c>
      <c r="J1854" s="1">
        <v>3.8525</v>
      </c>
    </row>
    <row r="1855" spans="2:10" x14ac:dyDescent="0.3">
      <c r="B1855" s="10">
        <f t="shared" si="56"/>
        <v>2019</v>
      </c>
      <c r="C1855" s="10">
        <f t="shared" si="57"/>
        <v>4</v>
      </c>
      <c r="D1855" s="3">
        <v>43556</v>
      </c>
      <c r="E1855" s="1">
        <v>69.010000000000005</v>
      </c>
      <c r="F1855" s="1">
        <v>61.59</v>
      </c>
      <c r="G1855" s="1">
        <v>1.9881</v>
      </c>
      <c r="H1855" s="1">
        <v>1.8989</v>
      </c>
      <c r="I1855" s="1">
        <v>2.7080000000000002</v>
      </c>
      <c r="J1855" s="1">
        <v>3.8508</v>
      </c>
    </row>
    <row r="1856" spans="2:10" x14ac:dyDescent="0.3">
      <c r="B1856" s="10">
        <f t="shared" si="56"/>
        <v>2019</v>
      </c>
      <c r="C1856" s="10">
        <f t="shared" si="57"/>
        <v>3</v>
      </c>
      <c r="D1856" s="3">
        <v>43553</v>
      </c>
      <c r="E1856" s="1">
        <v>68.39</v>
      </c>
      <c r="F1856" s="1">
        <v>60.14</v>
      </c>
      <c r="G1856" s="1">
        <v>1.9734</v>
      </c>
      <c r="H1856" s="1">
        <v>1.8956</v>
      </c>
      <c r="I1856" s="1">
        <v>2.6619999999999999</v>
      </c>
      <c r="J1856" s="1">
        <v>3.9238</v>
      </c>
    </row>
    <row r="1857" spans="2:10" x14ac:dyDescent="0.3">
      <c r="B1857" s="10">
        <f t="shared" si="56"/>
        <v>2019</v>
      </c>
      <c r="C1857" s="10">
        <f t="shared" si="57"/>
        <v>3</v>
      </c>
      <c r="D1857" s="3">
        <v>43552</v>
      </c>
      <c r="E1857" s="1">
        <v>67.819999999999993</v>
      </c>
      <c r="F1857" s="1">
        <v>59.3</v>
      </c>
      <c r="G1857" s="1">
        <v>1.972</v>
      </c>
      <c r="H1857" s="1">
        <v>1.8798999999999999</v>
      </c>
      <c r="I1857" s="1">
        <v>2.7120000000000002</v>
      </c>
      <c r="J1857" s="1">
        <v>3.9005000000000001</v>
      </c>
    </row>
    <row r="1858" spans="2:10" x14ac:dyDescent="0.3">
      <c r="B1858" s="10">
        <f t="shared" si="56"/>
        <v>2019</v>
      </c>
      <c r="C1858" s="10">
        <f t="shared" si="57"/>
        <v>3</v>
      </c>
      <c r="D1858" s="3">
        <v>43551</v>
      </c>
      <c r="E1858" s="1">
        <v>67.83</v>
      </c>
      <c r="F1858" s="1">
        <v>59.41</v>
      </c>
      <c r="G1858" s="1">
        <v>1.9805999999999999</v>
      </c>
      <c r="H1858" s="1">
        <v>1.8955</v>
      </c>
      <c r="I1858" s="1">
        <v>2.7130000000000001</v>
      </c>
      <c r="J1858" s="1">
        <v>3.9933000000000001</v>
      </c>
    </row>
    <row r="1859" spans="2:10" x14ac:dyDescent="0.3">
      <c r="B1859" s="10">
        <f t="shared" si="56"/>
        <v>2019</v>
      </c>
      <c r="C1859" s="10">
        <f t="shared" si="57"/>
        <v>3</v>
      </c>
      <c r="D1859" s="3">
        <v>43550</v>
      </c>
      <c r="E1859" s="1">
        <v>67.97</v>
      </c>
      <c r="F1859" s="1">
        <v>59.94</v>
      </c>
      <c r="G1859" s="1">
        <v>1.9899</v>
      </c>
      <c r="H1859" s="1">
        <v>1.9557</v>
      </c>
      <c r="I1859" s="1">
        <v>2.74</v>
      </c>
      <c r="J1859" s="1">
        <v>3.8769</v>
      </c>
    </row>
    <row r="1860" spans="2:10" x14ac:dyDescent="0.3">
      <c r="B1860" s="10">
        <f t="shared" si="56"/>
        <v>2019</v>
      </c>
      <c r="C1860" s="10">
        <f t="shared" si="57"/>
        <v>3</v>
      </c>
      <c r="D1860" s="3">
        <v>43549</v>
      </c>
      <c r="E1860" s="1">
        <v>67.209999999999994</v>
      </c>
      <c r="F1860" s="1">
        <v>58.82</v>
      </c>
      <c r="G1860" s="1">
        <v>1.9803999999999999</v>
      </c>
      <c r="H1860" s="1">
        <v>1.9379</v>
      </c>
      <c r="I1860" s="1">
        <v>2.7549999999999999</v>
      </c>
      <c r="J1860" s="1">
        <v>3.8534999999999999</v>
      </c>
    </row>
    <row r="1861" spans="2:10" x14ac:dyDescent="0.3">
      <c r="B1861" s="10">
        <f t="shared" si="56"/>
        <v>2019</v>
      </c>
      <c r="C1861" s="10">
        <f t="shared" si="57"/>
        <v>3</v>
      </c>
      <c r="D1861" s="3">
        <v>43546</v>
      </c>
      <c r="E1861" s="1">
        <v>67.03</v>
      </c>
      <c r="F1861" s="1">
        <v>59.04</v>
      </c>
      <c r="G1861" s="1">
        <v>1.9659</v>
      </c>
      <c r="H1861" s="1">
        <v>1.9258999999999999</v>
      </c>
      <c r="I1861" s="1">
        <v>2.7530000000000001</v>
      </c>
      <c r="J1861" s="1">
        <v>3.9066000000000001</v>
      </c>
    </row>
    <row r="1862" spans="2:10" x14ac:dyDescent="0.3">
      <c r="B1862" s="10">
        <f t="shared" ref="B1862:B1925" si="58">YEAR(D1862)</f>
        <v>2019</v>
      </c>
      <c r="C1862" s="10">
        <f t="shared" ref="C1862:C1925" si="59">MONTH(D1862)</f>
        <v>3</v>
      </c>
      <c r="D1862" s="3">
        <v>43545</v>
      </c>
      <c r="E1862" s="1">
        <v>67.86</v>
      </c>
      <c r="F1862" s="1">
        <v>59.98</v>
      </c>
      <c r="G1862" s="1">
        <v>1.9871000000000001</v>
      </c>
      <c r="H1862" s="1">
        <v>1.9202999999999999</v>
      </c>
      <c r="I1862" s="1">
        <v>2.8210000000000002</v>
      </c>
      <c r="J1862" s="1">
        <v>3.7921</v>
      </c>
    </row>
    <row r="1863" spans="2:10" x14ac:dyDescent="0.3">
      <c r="B1863" s="10">
        <f t="shared" si="58"/>
        <v>2019</v>
      </c>
      <c r="C1863" s="10">
        <f t="shared" si="59"/>
        <v>3</v>
      </c>
      <c r="D1863" s="3">
        <v>43544</v>
      </c>
      <c r="E1863" s="1">
        <v>68.5</v>
      </c>
      <c r="F1863" s="1">
        <v>59.83</v>
      </c>
      <c r="G1863" s="1">
        <v>2.0081000000000002</v>
      </c>
      <c r="H1863" s="1">
        <v>1.9166000000000001</v>
      </c>
      <c r="I1863" s="1">
        <v>2.82</v>
      </c>
      <c r="J1863" s="1">
        <v>3.7755999999999998</v>
      </c>
    </row>
    <row r="1864" spans="2:10" x14ac:dyDescent="0.3">
      <c r="B1864" s="10">
        <f t="shared" si="58"/>
        <v>2019</v>
      </c>
      <c r="C1864" s="10">
        <f t="shared" si="59"/>
        <v>3</v>
      </c>
      <c r="D1864" s="3">
        <v>43543</v>
      </c>
      <c r="E1864" s="1">
        <v>67.61</v>
      </c>
      <c r="F1864" s="1">
        <v>59.03</v>
      </c>
      <c r="G1864" s="1">
        <v>1.9903999999999999</v>
      </c>
      <c r="H1864" s="1">
        <v>1.8931</v>
      </c>
      <c r="I1864" s="1">
        <v>2.8740000000000001</v>
      </c>
      <c r="J1864" s="1">
        <v>3.7885</v>
      </c>
    </row>
    <row r="1865" spans="2:10" x14ac:dyDescent="0.3">
      <c r="B1865" s="10">
        <f t="shared" si="58"/>
        <v>2019</v>
      </c>
      <c r="C1865" s="10">
        <f t="shared" si="59"/>
        <v>3</v>
      </c>
      <c r="D1865" s="3">
        <v>43542</v>
      </c>
      <c r="E1865" s="1">
        <v>67.540000000000006</v>
      </c>
      <c r="F1865" s="1">
        <v>59.09</v>
      </c>
      <c r="G1865" s="1">
        <v>1.9690000000000001</v>
      </c>
      <c r="H1865" s="1">
        <v>1.8828</v>
      </c>
      <c r="I1865" s="1">
        <v>2.85</v>
      </c>
      <c r="J1865" s="1">
        <v>3.7913000000000001</v>
      </c>
    </row>
    <row r="1866" spans="2:10" x14ac:dyDescent="0.3">
      <c r="B1866" s="10">
        <f t="shared" si="58"/>
        <v>2019</v>
      </c>
      <c r="C1866" s="10">
        <f t="shared" si="59"/>
        <v>3</v>
      </c>
      <c r="D1866" s="3">
        <v>43539</v>
      </c>
      <c r="E1866" s="1">
        <v>67.16</v>
      </c>
      <c r="F1866" s="1">
        <v>58.52</v>
      </c>
      <c r="G1866" s="1">
        <v>1.9677</v>
      </c>
      <c r="H1866" s="1">
        <v>1.8576999999999999</v>
      </c>
      <c r="I1866" s="1">
        <v>2.7949999999999999</v>
      </c>
      <c r="J1866" s="1">
        <v>3.8130999999999999</v>
      </c>
    </row>
    <row r="1867" spans="2:10" x14ac:dyDescent="0.3">
      <c r="B1867" s="10">
        <f t="shared" si="58"/>
        <v>2019</v>
      </c>
      <c r="C1867" s="10">
        <f t="shared" si="59"/>
        <v>3</v>
      </c>
      <c r="D1867" s="3">
        <v>43538</v>
      </c>
      <c r="E1867" s="1">
        <v>67.23</v>
      </c>
      <c r="F1867" s="1">
        <v>58.61</v>
      </c>
      <c r="G1867" s="1">
        <v>1.9849000000000001</v>
      </c>
      <c r="H1867" s="1">
        <v>1.8494999999999999</v>
      </c>
      <c r="I1867" s="1">
        <v>2.855</v>
      </c>
      <c r="J1867" s="1">
        <v>3.843</v>
      </c>
    </row>
    <row r="1868" spans="2:10" x14ac:dyDescent="0.3">
      <c r="B1868" s="10">
        <f t="shared" si="58"/>
        <v>2019</v>
      </c>
      <c r="C1868" s="10">
        <f t="shared" si="59"/>
        <v>3</v>
      </c>
      <c r="D1868" s="3">
        <v>43537</v>
      </c>
      <c r="E1868" s="1">
        <v>67.55</v>
      </c>
      <c r="F1868" s="1">
        <v>58.26</v>
      </c>
      <c r="G1868" s="1">
        <v>1.9921</v>
      </c>
      <c r="H1868" s="1">
        <v>1.8568</v>
      </c>
      <c r="I1868" s="1">
        <v>2.82</v>
      </c>
      <c r="J1868" s="1">
        <v>3.8142</v>
      </c>
    </row>
    <row r="1869" spans="2:10" x14ac:dyDescent="0.3">
      <c r="B1869" s="10">
        <f t="shared" si="58"/>
        <v>2019</v>
      </c>
      <c r="C1869" s="10">
        <f t="shared" si="59"/>
        <v>3</v>
      </c>
      <c r="D1869" s="3">
        <v>43536</v>
      </c>
      <c r="E1869" s="1">
        <v>66.67</v>
      </c>
      <c r="F1869" s="1">
        <v>56.87</v>
      </c>
      <c r="G1869" s="1">
        <v>1.9857</v>
      </c>
      <c r="H1869" s="1">
        <v>1.8154999999999999</v>
      </c>
      <c r="I1869" s="1">
        <v>2.7839999999999998</v>
      </c>
      <c r="J1869" s="1">
        <v>3.8111000000000002</v>
      </c>
    </row>
    <row r="1870" spans="2:10" x14ac:dyDescent="0.3">
      <c r="B1870" s="10">
        <f t="shared" si="58"/>
        <v>2019</v>
      </c>
      <c r="C1870" s="10">
        <f t="shared" si="59"/>
        <v>3</v>
      </c>
      <c r="D1870" s="3">
        <v>43535</v>
      </c>
      <c r="E1870" s="1">
        <v>66.58</v>
      </c>
      <c r="F1870" s="1">
        <v>56.79</v>
      </c>
      <c r="G1870" s="1">
        <v>1.9942</v>
      </c>
      <c r="H1870" s="1">
        <v>1.8260000000000001</v>
      </c>
      <c r="I1870" s="1">
        <v>2.7719999999999998</v>
      </c>
      <c r="J1870" s="1">
        <v>3.8391999999999999</v>
      </c>
    </row>
    <row r="1871" spans="2:10" x14ac:dyDescent="0.3">
      <c r="B1871" s="10">
        <f t="shared" si="58"/>
        <v>2019</v>
      </c>
      <c r="C1871" s="10">
        <f t="shared" si="59"/>
        <v>3</v>
      </c>
      <c r="D1871" s="3">
        <v>43532</v>
      </c>
      <c r="E1871" s="1">
        <v>65.739999999999995</v>
      </c>
      <c r="F1871" s="1">
        <v>56.07</v>
      </c>
      <c r="G1871" s="1">
        <v>1.9998</v>
      </c>
      <c r="H1871" s="1">
        <v>1.8017000000000001</v>
      </c>
      <c r="I1871" s="1">
        <v>2.8650000000000002</v>
      </c>
      <c r="J1871" s="1">
        <v>3.8666</v>
      </c>
    </row>
    <row r="1872" spans="2:10" x14ac:dyDescent="0.3">
      <c r="B1872" s="10">
        <f t="shared" si="58"/>
        <v>2019</v>
      </c>
      <c r="C1872" s="10">
        <f t="shared" si="59"/>
        <v>3</v>
      </c>
      <c r="D1872" s="3">
        <v>43531</v>
      </c>
      <c r="E1872" s="1">
        <v>66.3</v>
      </c>
      <c r="F1872" s="1">
        <v>56.66</v>
      </c>
      <c r="G1872" s="1">
        <v>2.0127000000000002</v>
      </c>
      <c r="H1872" s="1">
        <v>1.8053999999999999</v>
      </c>
      <c r="I1872" s="1">
        <v>2.8660000000000001</v>
      </c>
      <c r="J1872" s="1">
        <v>3.8700999999999999</v>
      </c>
    </row>
    <row r="1873" spans="2:10" x14ac:dyDescent="0.3">
      <c r="B1873" s="10">
        <f t="shared" si="58"/>
        <v>2019</v>
      </c>
      <c r="C1873" s="10">
        <f t="shared" si="59"/>
        <v>3</v>
      </c>
      <c r="D1873" s="3">
        <v>43530</v>
      </c>
      <c r="E1873" s="1">
        <v>65.989999999999995</v>
      </c>
      <c r="F1873" s="1">
        <v>56.22</v>
      </c>
      <c r="G1873" s="1">
        <v>2.0162</v>
      </c>
      <c r="H1873" s="1">
        <v>1.7889999999999999</v>
      </c>
      <c r="I1873" s="1">
        <v>2.8410000000000002</v>
      </c>
      <c r="J1873" s="1">
        <v>3.8397000000000001</v>
      </c>
    </row>
    <row r="1874" spans="2:10" x14ac:dyDescent="0.3">
      <c r="B1874" s="10">
        <f t="shared" si="58"/>
        <v>2019</v>
      </c>
      <c r="C1874" s="10">
        <f t="shared" si="59"/>
        <v>3</v>
      </c>
      <c r="D1874" s="3">
        <v>43529</v>
      </c>
      <c r="E1874" s="1">
        <v>65.86</v>
      </c>
      <c r="F1874" s="1">
        <v>56.56</v>
      </c>
      <c r="G1874" s="1">
        <v>2.0164</v>
      </c>
      <c r="H1874" s="1">
        <v>1.7674000000000001</v>
      </c>
      <c r="I1874" s="1">
        <v>2.8839999999999999</v>
      </c>
      <c r="J1874" s="1">
        <v>3.7749999999999999</v>
      </c>
    </row>
    <row r="1875" spans="2:10" x14ac:dyDescent="0.3">
      <c r="B1875" s="10">
        <f t="shared" si="58"/>
        <v>2019</v>
      </c>
      <c r="C1875" s="10">
        <f t="shared" si="59"/>
        <v>3</v>
      </c>
      <c r="D1875" s="3">
        <v>43528</v>
      </c>
      <c r="E1875" s="1">
        <v>65.67</v>
      </c>
      <c r="F1875" s="1">
        <v>56.59</v>
      </c>
      <c r="G1875" s="1">
        <v>2.0143</v>
      </c>
      <c r="H1875" s="1">
        <v>1.7490000000000001</v>
      </c>
      <c r="I1875" s="1">
        <v>2.8570000000000002</v>
      </c>
      <c r="J1875" s="1">
        <v>3.7749999999999999</v>
      </c>
    </row>
    <row r="1876" spans="2:10" x14ac:dyDescent="0.3">
      <c r="B1876" s="10">
        <f t="shared" si="58"/>
        <v>2019</v>
      </c>
      <c r="C1876" s="10">
        <f t="shared" si="59"/>
        <v>3</v>
      </c>
      <c r="D1876" s="3">
        <v>43525</v>
      </c>
      <c r="E1876" s="1">
        <v>65.069999999999993</v>
      </c>
      <c r="F1876" s="1">
        <v>55.8</v>
      </c>
      <c r="G1876" s="1">
        <v>2.0009999999999999</v>
      </c>
      <c r="H1876" s="1">
        <v>1.7302999999999999</v>
      </c>
      <c r="I1876" s="1">
        <v>2.859</v>
      </c>
      <c r="J1876" s="1">
        <v>3.7749000000000001</v>
      </c>
    </row>
    <row r="1877" spans="2:10" x14ac:dyDescent="0.3">
      <c r="B1877" s="10">
        <f t="shared" si="58"/>
        <v>2019</v>
      </c>
      <c r="C1877" s="10">
        <f t="shared" si="59"/>
        <v>2</v>
      </c>
      <c r="D1877" s="3">
        <v>43524</v>
      </c>
      <c r="E1877" s="1">
        <v>66.03</v>
      </c>
      <c r="F1877" s="1">
        <v>57.22</v>
      </c>
      <c r="G1877" s="1">
        <v>2.0234999999999999</v>
      </c>
      <c r="H1877" s="1">
        <v>1.6293</v>
      </c>
      <c r="I1877" s="1">
        <v>2.8119999999999998</v>
      </c>
      <c r="J1877" s="1">
        <v>3.7511000000000001</v>
      </c>
    </row>
    <row r="1878" spans="2:10" x14ac:dyDescent="0.3">
      <c r="B1878" s="10">
        <f t="shared" si="58"/>
        <v>2019</v>
      </c>
      <c r="C1878" s="10">
        <f t="shared" si="59"/>
        <v>2</v>
      </c>
      <c r="D1878" s="3">
        <v>43523</v>
      </c>
      <c r="E1878" s="1">
        <v>66.39</v>
      </c>
      <c r="F1878" s="1">
        <v>56.94</v>
      </c>
      <c r="G1878" s="1">
        <v>2.0215999999999998</v>
      </c>
      <c r="H1878" s="1">
        <v>1.6339999999999999</v>
      </c>
      <c r="I1878" s="1">
        <v>2.7989999999999999</v>
      </c>
      <c r="J1878" s="1">
        <v>3.7284999999999999</v>
      </c>
    </row>
    <row r="1879" spans="2:10" x14ac:dyDescent="0.3">
      <c r="B1879" s="10">
        <f t="shared" si="58"/>
        <v>2019</v>
      </c>
      <c r="C1879" s="10">
        <f t="shared" si="59"/>
        <v>2</v>
      </c>
      <c r="D1879" s="3">
        <v>43522</v>
      </c>
      <c r="E1879" s="1">
        <v>65.209999999999994</v>
      </c>
      <c r="F1879" s="1">
        <v>55.5</v>
      </c>
      <c r="G1879" s="1">
        <v>1.9984999999999999</v>
      </c>
      <c r="H1879" s="1">
        <v>1.5863</v>
      </c>
      <c r="I1879" s="1">
        <v>2.855</v>
      </c>
      <c r="J1879" s="1">
        <v>3.7486999999999999</v>
      </c>
    </row>
    <row r="1880" spans="2:10" x14ac:dyDescent="0.3">
      <c r="B1880" s="10">
        <f t="shared" si="58"/>
        <v>2019</v>
      </c>
      <c r="C1880" s="10">
        <f t="shared" si="59"/>
        <v>2</v>
      </c>
      <c r="D1880" s="3">
        <v>43521</v>
      </c>
      <c r="E1880" s="1">
        <v>64.760000000000005</v>
      </c>
      <c r="F1880" s="1">
        <v>55.48</v>
      </c>
      <c r="G1880" s="1">
        <v>1.9745999999999999</v>
      </c>
      <c r="H1880" s="1">
        <v>1.5451999999999999</v>
      </c>
      <c r="I1880" s="1">
        <v>2.8359999999999999</v>
      </c>
      <c r="J1880" s="1">
        <v>3.7519</v>
      </c>
    </row>
    <row r="1881" spans="2:10" x14ac:dyDescent="0.3">
      <c r="B1881" s="10">
        <f t="shared" si="58"/>
        <v>2019</v>
      </c>
      <c r="C1881" s="10">
        <f t="shared" si="59"/>
        <v>2</v>
      </c>
      <c r="D1881" s="3">
        <v>43518</v>
      </c>
      <c r="E1881" s="1">
        <v>67.12</v>
      </c>
      <c r="F1881" s="1">
        <v>57.26</v>
      </c>
      <c r="G1881" s="1">
        <v>2.0310999999999999</v>
      </c>
      <c r="H1881" s="1">
        <v>1.6112</v>
      </c>
      <c r="I1881" s="1">
        <v>2.7170000000000001</v>
      </c>
      <c r="J1881" s="1">
        <v>3.7482000000000002</v>
      </c>
    </row>
    <row r="1882" spans="2:10" x14ac:dyDescent="0.3">
      <c r="B1882" s="10">
        <f t="shared" si="58"/>
        <v>2019</v>
      </c>
      <c r="C1882" s="10">
        <f t="shared" si="59"/>
        <v>2</v>
      </c>
      <c r="D1882" s="3">
        <v>43517</v>
      </c>
      <c r="E1882" s="1">
        <v>67.069999999999993</v>
      </c>
      <c r="F1882" s="1">
        <v>56.96</v>
      </c>
      <c r="G1882" s="1">
        <v>2.0363000000000002</v>
      </c>
      <c r="H1882" s="1">
        <v>1.6144000000000001</v>
      </c>
      <c r="I1882" s="1">
        <v>2.6970000000000001</v>
      </c>
      <c r="J1882" s="1">
        <v>3.7692999999999999</v>
      </c>
    </row>
    <row r="1883" spans="2:10" x14ac:dyDescent="0.3">
      <c r="B1883" s="10">
        <f t="shared" si="58"/>
        <v>2019</v>
      </c>
      <c r="C1883" s="10">
        <f t="shared" si="59"/>
        <v>2</v>
      </c>
      <c r="D1883" s="3">
        <v>43516</v>
      </c>
      <c r="E1883" s="1">
        <v>67.08</v>
      </c>
      <c r="F1883" s="1">
        <v>56.92</v>
      </c>
      <c r="G1883" s="1">
        <v>2.0183</v>
      </c>
      <c r="H1883" s="1">
        <v>1.5981000000000001</v>
      </c>
      <c r="I1883" s="1">
        <v>2.6360000000000001</v>
      </c>
      <c r="J1883" s="1">
        <v>3.7273000000000001</v>
      </c>
    </row>
    <row r="1884" spans="2:10" x14ac:dyDescent="0.3">
      <c r="B1884" s="10">
        <f t="shared" si="58"/>
        <v>2019</v>
      </c>
      <c r="C1884" s="10">
        <f t="shared" si="59"/>
        <v>2</v>
      </c>
      <c r="D1884" s="3">
        <v>43515</v>
      </c>
      <c r="E1884" s="1">
        <v>66.45</v>
      </c>
      <c r="F1884" s="1">
        <v>56.09</v>
      </c>
      <c r="G1884" s="1">
        <v>1.9945999999999999</v>
      </c>
      <c r="H1884" s="1">
        <v>1.5638000000000001</v>
      </c>
      <c r="I1884" s="1">
        <v>2.6619999999999999</v>
      </c>
      <c r="J1884" s="1">
        <v>3.7227000000000001</v>
      </c>
    </row>
    <row r="1885" spans="2:10" x14ac:dyDescent="0.3">
      <c r="B1885" s="10">
        <f t="shared" si="58"/>
        <v>2019</v>
      </c>
      <c r="C1885" s="10">
        <f t="shared" si="59"/>
        <v>2</v>
      </c>
      <c r="D1885" s="3">
        <v>43514</v>
      </c>
      <c r="E1885" s="1">
        <v>66.5</v>
      </c>
      <c r="J1885" s="1">
        <v>3.7351000000000001</v>
      </c>
    </row>
    <row r="1886" spans="2:10" x14ac:dyDescent="0.3">
      <c r="B1886" s="10">
        <f t="shared" si="58"/>
        <v>2019</v>
      </c>
      <c r="C1886" s="10">
        <f t="shared" si="59"/>
        <v>2</v>
      </c>
      <c r="D1886" s="3">
        <v>43511</v>
      </c>
      <c r="E1886" s="1">
        <v>66.25</v>
      </c>
      <c r="F1886" s="1">
        <v>55.59</v>
      </c>
      <c r="G1886" s="1">
        <v>2.0203000000000002</v>
      </c>
      <c r="H1886" s="1">
        <v>1.5729</v>
      </c>
      <c r="I1886" s="1">
        <v>2.625</v>
      </c>
      <c r="J1886" s="1">
        <v>3.7006999999999999</v>
      </c>
    </row>
    <row r="1887" spans="2:10" x14ac:dyDescent="0.3">
      <c r="B1887" s="10">
        <f t="shared" si="58"/>
        <v>2019</v>
      </c>
      <c r="C1887" s="10">
        <f t="shared" si="59"/>
        <v>2</v>
      </c>
      <c r="D1887" s="3">
        <v>43510</v>
      </c>
      <c r="E1887" s="1">
        <v>64.569999999999993</v>
      </c>
      <c r="F1887" s="1">
        <v>54.41</v>
      </c>
      <c r="G1887" s="1">
        <v>1.9716</v>
      </c>
      <c r="H1887" s="1">
        <v>1.5085</v>
      </c>
      <c r="I1887" s="1">
        <v>2.573</v>
      </c>
      <c r="J1887" s="1">
        <v>3.7231999999999998</v>
      </c>
    </row>
    <row r="1888" spans="2:10" x14ac:dyDescent="0.3">
      <c r="B1888" s="10">
        <f t="shared" si="58"/>
        <v>2019</v>
      </c>
      <c r="C1888" s="10">
        <f t="shared" si="59"/>
        <v>2</v>
      </c>
      <c r="D1888" s="3">
        <v>43509</v>
      </c>
      <c r="E1888" s="1">
        <v>63.61</v>
      </c>
      <c r="F1888" s="1">
        <v>53.9</v>
      </c>
      <c r="G1888" s="1">
        <v>1.9388000000000001</v>
      </c>
      <c r="H1888" s="1">
        <v>1.4651000000000001</v>
      </c>
      <c r="I1888" s="1">
        <v>2.5750000000000002</v>
      </c>
      <c r="J1888" s="1">
        <v>3.7543000000000002</v>
      </c>
    </row>
    <row r="1889" spans="2:10" x14ac:dyDescent="0.3">
      <c r="B1889" s="10">
        <f t="shared" si="58"/>
        <v>2019</v>
      </c>
      <c r="C1889" s="10">
        <f t="shared" si="59"/>
        <v>2</v>
      </c>
      <c r="D1889" s="3">
        <v>43508</v>
      </c>
      <c r="E1889" s="1">
        <v>62.42</v>
      </c>
      <c r="F1889" s="1">
        <v>53.1</v>
      </c>
      <c r="G1889" s="1">
        <v>1.9072</v>
      </c>
      <c r="H1889" s="1">
        <v>1.4272</v>
      </c>
      <c r="I1889" s="1">
        <v>2.6880000000000002</v>
      </c>
      <c r="J1889" s="1">
        <v>3.7097000000000002</v>
      </c>
    </row>
    <row r="1890" spans="2:10" x14ac:dyDescent="0.3">
      <c r="B1890" s="10">
        <f t="shared" si="58"/>
        <v>2019</v>
      </c>
      <c r="C1890" s="10">
        <f t="shared" si="59"/>
        <v>2</v>
      </c>
      <c r="D1890" s="3">
        <v>43507</v>
      </c>
      <c r="E1890" s="1">
        <v>61.51</v>
      </c>
      <c r="F1890" s="1">
        <v>52.41</v>
      </c>
      <c r="G1890" s="1">
        <v>1.8922000000000001</v>
      </c>
      <c r="H1890" s="1">
        <v>1.4192</v>
      </c>
      <c r="I1890" s="1">
        <v>2.6419999999999999</v>
      </c>
      <c r="J1890" s="1">
        <v>3.7576000000000001</v>
      </c>
    </row>
    <row r="1891" spans="2:10" x14ac:dyDescent="0.3">
      <c r="B1891" s="10">
        <f t="shared" si="58"/>
        <v>2019</v>
      </c>
      <c r="C1891" s="10">
        <f t="shared" si="59"/>
        <v>2</v>
      </c>
      <c r="D1891" s="3">
        <v>43504</v>
      </c>
      <c r="E1891" s="1">
        <v>62.1</v>
      </c>
      <c r="F1891" s="1">
        <v>52.72</v>
      </c>
      <c r="G1891" s="1">
        <v>1.9085000000000001</v>
      </c>
      <c r="H1891" s="1">
        <v>1.4463999999999999</v>
      </c>
      <c r="I1891" s="1">
        <v>2.5830000000000002</v>
      </c>
      <c r="J1891" s="1">
        <v>3.7290000000000001</v>
      </c>
    </row>
    <row r="1892" spans="2:10" x14ac:dyDescent="0.3">
      <c r="B1892" s="10">
        <f t="shared" si="58"/>
        <v>2019</v>
      </c>
      <c r="C1892" s="10">
        <f t="shared" si="59"/>
        <v>2</v>
      </c>
      <c r="D1892" s="3">
        <v>43503</v>
      </c>
      <c r="E1892" s="1">
        <v>61.63</v>
      </c>
      <c r="F1892" s="1">
        <v>52.64</v>
      </c>
      <c r="G1892" s="1">
        <v>1.9005000000000001</v>
      </c>
      <c r="H1892" s="1">
        <v>1.4258</v>
      </c>
      <c r="I1892" s="1">
        <v>2.5510000000000002</v>
      </c>
      <c r="J1892" s="1">
        <v>3.7166000000000001</v>
      </c>
    </row>
    <row r="1893" spans="2:10" x14ac:dyDescent="0.3">
      <c r="B1893" s="10">
        <f t="shared" si="58"/>
        <v>2019</v>
      </c>
      <c r="C1893" s="10">
        <f t="shared" si="59"/>
        <v>2</v>
      </c>
      <c r="D1893" s="3">
        <v>43502</v>
      </c>
      <c r="E1893" s="1">
        <v>62.69</v>
      </c>
      <c r="F1893" s="1">
        <v>54.01</v>
      </c>
      <c r="G1893" s="1">
        <v>1.9121999999999999</v>
      </c>
      <c r="H1893" s="1">
        <v>1.4591000000000001</v>
      </c>
      <c r="I1893" s="1">
        <v>2.6619999999999999</v>
      </c>
      <c r="J1893" s="1">
        <v>3.6981999999999999</v>
      </c>
    </row>
    <row r="1894" spans="2:10" x14ac:dyDescent="0.3">
      <c r="B1894" s="10">
        <f t="shared" si="58"/>
        <v>2019</v>
      </c>
      <c r="C1894" s="10">
        <f t="shared" si="59"/>
        <v>2</v>
      </c>
      <c r="D1894" s="3">
        <v>43501</v>
      </c>
      <c r="E1894" s="1">
        <v>61.98</v>
      </c>
      <c r="F1894" s="1">
        <v>53.66</v>
      </c>
      <c r="G1894" s="1">
        <v>1.8975</v>
      </c>
      <c r="H1894" s="1">
        <v>1.4258999999999999</v>
      </c>
      <c r="I1894" s="1">
        <v>2.6619999999999999</v>
      </c>
      <c r="J1894" s="1">
        <v>3.6695000000000002</v>
      </c>
    </row>
    <row r="1895" spans="2:10" x14ac:dyDescent="0.3">
      <c r="B1895" s="10">
        <f t="shared" si="58"/>
        <v>2019</v>
      </c>
      <c r="C1895" s="10">
        <f t="shared" si="59"/>
        <v>2</v>
      </c>
      <c r="D1895" s="3">
        <v>43500</v>
      </c>
      <c r="E1895" s="1">
        <v>62.51</v>
      </c>
      <c r="F1895" s="1">
        <v>54.56</v>
      </c>
      <c r="G1895" s="1">
        <v>1.9074</v>
      </c>
      <c r="H1895" s="1">
        <v>1.4322999999999999</v>
      </c>
      <c r="I1895" s="1">
        <v>2.66</v>
      </c>
      <c r="J1895" s="1">
        <v>3.6686000000000001</v>
      </c>
    </row>
    <row r="1896" spans="2:10" x14ac:dyDescent="0.3">
      <c r="B1896" s="10">
        <f t="shared" si="58"/>
        <v>2019</v>
      </c>
      <c r="C1896" s="10">
        <f t="shared" si="59"/>
        <v>2</v>
      </c>
      <c r="D1896" s="3">
        <v>43497</v>
      </c>
      <c r="E1896" s="1">
        <v>62.75</v>
      </c>
      <c r="F1896" s="1">
        <v>55.26</v>
      </c>
      <c r="G1896" s="1">
        <v>1.9127000000000001</v>
      </c>
      <c r="H1896" s="1">
        <v>1.4369000000000001</v>
      </c>
      <c r="I1896" s="1">
        <v>2.734</v>
      </c>
      <c r="J1896" s="1">
        <v>3.6596000000000002</v>
      </c>
    </row>
    <row r="1897" spans="2:10" x14ac:dyDescent="0.3">
      <c r="B1897" s="10">
        <f t="shared" si="58"/>
        <v>2019</v>
      </c>
      <c r="C1897" s="10">
        <f t="shared" si="59"/>
        <v>1</v>
      </c>
      <c r="D1897" s="3">
        <v>43496</v>
      </c>
      <c r="E1897" s="1">
        <v>61.89</v>
      </c>
      <c r="F1897" s="1">
        <v>53.79</v>
      </c>
      <c r="G1897" s="1">
        <v>1.8788</v>
      </c>
      <c r="H1897" s="1">
        <v>1.3627</v>
      </c>
      <c r="I1897" s="1">
        <v>2.8140000000000001</v>
      </c>
      <c r="J1897" s="1">
        <v>3.6438999999999999</v>
      </c>
    </row>
    <row r="1898" spans="2:10" x14ac:dyDescent="0.3">
      <c r="B1898" s="10">
        <f t="shared" si="58"/>
        <v>2019</v>
      </c>
      <c r="C1898" s="10">
        <f t="shared" si="59"/>
        <v>1</v>
      </c>
      <c r="D1898" s="3">
        <v>43495</v>
      </c>
      <c r="E1898" s="1">
        <v>61.65</v>
      </c>
      <c r="F1898" s="1">
        <v>54.23</v>
      </c>
      <c r="G1898" s="1">
        <v>1.8984000000000001</v>
      </c>
      <c r="H1898" s="1">
        <v>1.3823000000000001</v>
      </c>
      <c r="I1898" s="1">
        <v>2.8540000000000001</v>
      </c>
      <c r="J1898" s="1">
        <v>3.6848999999999998</v>
      </c>
    </row>
    <row r="1899" spans="2:10" x14ac:dyDescent="0.3">
      <c r="B1899" s="10">
        <f t="shared" si="58"/>
        <v>2019</v>
      </c>
      <c r="C1899" s="10">
        <f t="shared" si="59"/>
        <v>1</v>
      </c>
      <c r="D1899" s="3">
        <v>43494</v>
      </c>
      <c r="E1899" s="1">
        <v>61.32</v>
      </c>
      <c r="F1899" s="1">
        <v>53.31</v>
      </c>
      <c r="G1899" s="1">
        <v>1.8975</v>
      </c>
      <c r="H1899" s="1">
        <v>1.3509</v>
      </c>
      <c r="I1899" s="1">
        <v>2.95</v>
      </c>
      <c r="J1899" s="1">
        <v>3.7201</v>
      </c>
    </row>
    <row r="1900" spans="2:10" x14ac:dyDescent="0.3">
      <c r="B1900" s="10">
        <f t="shared" si="58"/>
        <v>2019</v>
      </c>
      <c r="C1900" s="10">
        <f t="shared" si="59"/>
        <v>1</v>
      </c>
      <c r="D1900" s="3">
        <v>43493</v>
      </c>
      <c r="E1900" s="1">
        <v>59.93</v>
      </c>
      <c r="F1900" s="1">
        <v>51.99</v>
      </c>
      <c r="G1900" s="1">
        <v>1.8376999999999999</v>
      </c>
      <c r="H1900" s="1">
        <v>1.3331</v>
      </c>
      <c r="I1900" s="1">
        <v>2.911</v>
      </c>
      <c r="J1900" s="1">
        <v>3.7614000000000001</v>
      </c>
    </row>
    <row r="1901" spans="2:10" x14ac:dyDescent="0.3">
      <c r="B1901" s="10">
        <f t="shared" si="58"/>
        <v>2019</v>
      </c>
      <c r="C1901" s="10">
        <f t="shared" si="59"/>
        <v>1</v>
      </c>
      <c r="D1901" s="3">
        <v>43490</v>
      </c>
      <c r="E1901" s="1">
        <v>61.64</v>
      </c>
      <c r="F1901" s="1">
        <v>53.69</v>
      </c>
      <c r="G1901" s="1">
        <v>1.8918999999999999</v>
      </c>
      <c r="H1901" s="1">
        <v>1.3894</v>
      </c>
      <c r="I1901" s="1">
        <v>3.1779999999999999</v>
      </c>
      <c r="J1901" s="1">
        <v>3.7694999999999999</v>
      </c>
    </row>
    <row r="1902" spans="2:10" x14ac:dyDescent="0.3">
      <c r="B1902" s="10">
        <f t="shared" si="58"/>
        <v>2019</v>
      </c>
      <c r="C1902" s="10">
        <f t="shared" si="59"/>
        <v>1</v>
      </c>
      <c r="D1902" s="3">
        <v>43489</v>
      </c>
      <c r="E1902" s="1">
        <v>61.09</v>
      </c>
      <c r="F1902" s="1">
        <v>53.13</v>
      </c>
      <c r="G1902" s="1">
        <v>1.8855999999999999</v>
      </c>
      <c r="H1902" s="1">
        <v>1.3875999999999999</v>
      </c>
      <c r="I1902" s="1">
        <v>3.0990000000000002</v>
      </c>
      <c r="J1902" s="1">
        <v>3.7717999999999998</v>
      </c>
    </row>
    <row r="1903" spans="2:10" x14ac:dyDescent="0.3">
      <c r="B1903" s="10">
        <f t="shared" si="58"/>
        <v>2019</v>
      </c>
      <c r="C1903" s="10">
        <f t="shared" si="59"/>
        <v>1</v>
      </c>
      <c r="D1903" s="3">
        <v>43488</v>
      </c>
      <c r="E1903" s="1">
        <v>61.14</v>
      </c>
      <c r="F1903" s="1">
        <v>52.62</v>
      </c>
      <c r="G1903" s="1">
        <v>1.8886000000000001</v>
      </c>
      <c r="H1903" s="1">
        <v>1.3856999999999999</v>
      </c>
      <c r="I1903" s="1">
        <v>2.98</v>
      </c>
      <c r="J1903" s="1">
        <v>3.7648000000000001</v>
      </c>
    </row>
    <row r="1904" spans="2:10" x14ac:dyDescent="0.3">
      <c r="B1904" s="10">
        <f t="shared" si="58"/>
        <v>2019</v>
      </c>
      <c r="C1904" s="10">
        <f t="shared" si="59"/>
        <v>1</v>
      </c>
      <c r="D1904" s="3">
        <v>43487</v>
      </c>
      <c r="E1904" s="1">
        <v>61.5</v>
      </c>
      <c r="F1904" s="1">
        <v>52.57</v>
      </c>
      <c r="G1904" s="1">
        <v>1.9011</v>
      </c>
      <c r="H1904" s="1">
        <v>1.4015</v>
      </c>
      <c r="I1904" s="1">
        <v>3.04</v>
      </c>
      <c r="J1904" s="1">
        <v>3.8142</v>
      </c>
    </row>
    <row r="1905" spans="2:10" x14ac:dyDescent="0.3">
      <c r="B1905" s="10">
        <f t="shared" si="58"/>
        <v>2019</v>
      </c>
      <c r="C1905" s="10">
        <f t="shared" si="59"/>
        <v>1</v>
      </c>
      <c r="D1905" s="3">
        <v>43486</v>
      </c>
      <c r="E1905" s="1">
        <v>62.74</v>
      </c>
      <c r="J1905" s="1">
        <v>3.7534999999999998</v>
      </c>
    </row>
    <row r="1906" spans="2:10" x14ac:dyDescent="0.3">
      <c r="B1906" s="10">
        <f t="shared" si="58"/>
        <v>2019</v>
      </c>
      <c r="C1906" s="10">
        <f t="shared" si="59"/>
        <v>1</v>
      </c>
      <c r="D1906" s="3">
        <v>43483</v>
      </c>
      <c r="E1906" s="1">
        <v>62.7</v>
      </c>
      <c r="F1906" s="1">
        <v>53.8</v>
      </c>
      <c r="G1906" s="1">
        <v>1.9159999999999999</v>
      </c>
      <c r="H1906" s="1">
        <v>1.4528000000000001</v>
      </c>
      <c r="I1906" s="1">
        <v>3.4820000000000002</v>
      </c>
      <c r="J1906" s="1">
        <v>3.7502</v>
      </c>
    </row>
    <row r="1907" spans="2:10" x14ac:dyDescent="0.3">
      <c r="B1907" s="10">
        <f t="shared" si="58"/>
        <v>2019</v>
      </c>
      <c r="C1907" s="10">
        <f t="shared" si="59"/>
        <v>1</v>
      </c>
      <c r="D1907" s="3">
        <v>43482</v>
      </c>
      <c r="E1907" s="1">
        <v>61.18</v>
      </c>
      <c r="F1907" s="1">
        <v>52.07</v>
      </c>
      <c r="G1907" s="1">
        <v>1.8843000000000001</v>
      </c>
      <c r="H1907" s="1">
        <v>1.43</v>
      </c>
      <c r="I1907" s="1">
        <v>3.4129999999999998</v>
      </c>
      <c r="J1907" s="1">
        <v>3.7502</v>
      </c>
    </row>
    <row r="1908" spans="2:10" x14ac:dyDescent="0.3">
      <c r="B1908" s="10">
        <f t="shared" si="58"/>
        <v>2019</v>
      </c>
      <c r="C1908" s="10">
        <f t="shared" si="59"/>
        <v>1</v>
      </c>
      <c r="D1908" s="3">
        <v>43481</v>
      </c>
      <c r="E1908" s="1">
        <v>61.32</v>
      </c>
      <c r="F1908" s="1">
        <v>52.31</v>
      </c>
      <c r="G1908" s="1">
        <v>1.8946000000000001</v>
      </c>
      <c r="H1908" s="1">
        <v>1.4158999999999999</v>
      </c>
      <c r="I1908" s="1">
        <v>3.3839999999999999</v>
      </c>
      <c r="J1908" s="1">
        <v>3.7361</v>
      </c>
    </row>
    <row r="1909" spans="2:10" x14ac:dyDescent="0.3">
      <c r="B1909" s="10">
        <f t="shared" si="58"/>
        <v>2019</v>
      </c>
      <c r="C1909" s="10">
        <f t="shared" si="59"/>
        <v>1</v>
      </c>
      <c r="D1909" s="3">
        <v>43480</v>
      </c>
      <c r="E1909" s="1">
        <v>60.64</v>
      </c>
      <c r="F1909" s="1">
        <v>52.11</v>
      </c>
      <c r="G1909" s="1">
        <v>1.8722000000000001</v>
      </c>
      <c r="H1909" s="1">
        <v>1.4114</v>
      </c>
      <c r="I1909" s="1">
        <v>3.5009999999999999</v>
      </c>
      <c r="J1909" s="1">
        <v>3.7166999999999999</v>
      </c>
    </row>
    <row r="1910" spans="2:10" x14ac:dyDescent="0.3">
      <c r="B1910" s="10">
        <f t="shared" si="58"/>
        <v>2019</v>
      </c>
      <c r="C1910" s="10">
        <f t="shared" si="59"/>
        <v>1</v>
      </c>
      <c r="D1910" s="3">
        <v>43479</v>
      </c>
      <c r="E1910" s="1">
        <v>58.99</v>
      </c>
      <c r="F1910" s="1">
        <v>50.51</v>
      </c>
      <c r="G1910" s="1">
        <v>1.8525</v>
      </c>
      <c r="H1910" s="1">
        <v>1.3637999999999999</v>
      </c>
      <c r="I1910" s="1">
        <v>3.5910000000000002</v>
      </c>
      <c r="J1910" s="1">
        <v>3.6978</v>
      </c>
    </row>
    <row r="1911" spans="2:10" x14ac:dyDescent="0.3">
      <c r="B1911" s="10">
        <f t="shared" si="58"/>
        <v>2019</v>
      </c>
      <c r="C1911" s="10">
        <f t="shared" si="59"/>
        <v>1</v>
      </c>
      <c r="D1911" s="3">
        <v>43476</v>
      </c>
      <c r="E1911" s="1">
        <v>60.48</v>
      </c>
      <c r="F1911" s="1">
        <v>51.59</v>
      </c>
      <c r="G1911" s="1">
        <v>1.8796999999999999</v>
      </c>
      <c r="H1911" s="1">
        <v>1.4007000000000001</v>
      </c>
      <c r="I1911" s="1">
        <v>3.0990000000000002</v>
      </c>
      <c r="J1911" s="1">
        <v>3.7107999999999999</v>
      </c>
    </row>
    <row r="1912" spans="2:10" x14ac:dyDescent="0.3">
      <c r="B1912" s="10">
        <f t="shared" si="58"/>
        <v>2019</v>
      </c>
      <c r="C1912" s="10">
        <f t="shared" si="59"/>
        <v>1</v>
      </c>
      <c r="D1912" s="3">
        <v>43475</v>
      </c>
      <c r="E1912" s="1">
        <v>61.68</v>
      </c>
      <c r="F1912" s="1">
        <v>52.59</v>
      </c>
      <c r="G1912" s="1">
        <v>1.9060999999999999</v>
      </c>
      <c r="H1912" s="1">
        <v>1.4307000000000001</v>
      </c>
      <c r="I1912" s="1">
        <v>2.9689999999999999</v>
      </c>
      <c r="J1912" s="1">
        <v>3.7103999999999999</v>
      </c>
    </row>
    <row r="1913" spans="2:10" x14ac:dyDescent="0.3">
      <c r="B1913" s="10">
        <f t="shared" si="58"/>
        <v>2019</v>
      </c>
      <c r="C1913" s="10">
        <f t="shared" si="59"/>
        <v>1</v>
      </c>
      <c r="D1913" s="3">
        <v>43474</v>
      </c>
      <c r="E1913" s="1">
        <v>61.44</v>
      </c>
      <c r="F1913" s="1">
        <v>52.36</v>
      </c>
      <c r="G1913" s="1">
        <v>1.8808</v>
      </c>
      <c r="H1913" s="1">
        <v>1.4254</v>
      </c>
      <c r="I1913" s="1">
        <v>2.984</v>
      </c>
      <c r="J1913" s="1">
        <v>3.6806000000000001</v>
      </c>
    </row>
    <row r="1914" spans="2:10" x14ac:dyDescent="0.3">
      <c r="B1914" s="10">
        <f t="shared" si="58"/>
        <v>2019</v>
      </c>
      <c r="C1914" s="10">
        <f t="shared" si="59"/>
        <v>1</v>
      </c>
      <c r="D1914" s="3">
        <v>43473</v>
      </c>
      <c r="E1914" s="1">
        <v>58.72</v>
      </c>
      <c r="F1914" s="1">
        <v>49.78</v>
      </c>
      <c r="G1914" s="1">
        <v>1.827</v>
      </c>
      <c r="H1914" s="1">
        <v>1.3626</v>
      </c>
      <c r="I1914" s="1">
        <v>2.9670000000000001</v>
      </c>
      <c r="J1914" s="1">
        <v>3.7132000000000001</v>
      </c>
    </row>
    <row r="1915" spans="2:10" x14ac:dyDescent="0.3">
      <c r="B1915" s="10">
        <f t="shared" si="58"/>
        <v>2019</v>
      </c>
      <c r="C1915" s="10">
        <f t="shared" si="59"/>
        <v>1</v>
      </c>
      <c r="D1915" s="3">
        <v>43472</v>
      </c>
      <c r="E1915" s="1">
        <v>57.33</v>
      </c>
      <c r="F1915" s="1">
        <v>48.52</v>
      </c>
      <c r="G1915" s="1">
        <v>1.7784</v>
      </c>
      <c r="H1915" s="1">
        <v>1.3408</v>
      </c>
      <c r="I1915" s="1">
        <v>2.944</v>
      </c>
      <c r="J1915" s="1">
        <v>3.7351000000000001</v>
      </c>
    </row>
    <row r="1916" spans="2:10" x14ac:dyDescent="0.3">
      <c r="B1916" s="10">
        <f t="shared" si="58"/>
        <v>2019</v>
      </c>
      <c r="C1916" s="10">
        <f t="shared" si="59"/>
        <v>1</v>
      </c>
      <c r="D1916" s="3">
        <v>43469</v>
      </c>
      <c r="E1916" s="1">
        <v>57.06</v>
      </c>
      <c r="F1916" s="1">
        <v>47.96</v>
      </c>
      <c r="G1916" s="1">
        <v>1.7692000000000001</v>
      </c>
      <c r="H1916" s="1">
        <v>1.3478000000000001</v>
      </c>
      <c r="I1916" s="1">
        <v>3.044</v>
      </c>
      <c r="J1916" s="1">
        <v>3.7153999999999998</v>
      </c>
    </row>
    <row r="1917" spans="2:10" x14ac:dyDescent="0.3">
      <c r="B1917" s="10">
        <f t="shared" si="58"/>
        <v>2019</v>
      </c>
      <c r="C1917" s="10">
        <f t="shared" si="59"/>
        <v>1</v>
      </c>
      <c r="D1917" s="3">
        <v>43468</v>
      </c>
      <c r="E1917" s="1">
        <v>55.95</v>
      </c>
      <c r="F1917" s="1">
        <v>47.09</v>
      </c>
      <c r="G1917" s="1">
        <v>1.742</v>
      </c>
      <c r="H1917" s="1">
        <v>1.3494999999999999</v>
      </c>
      <c r="I1917" s="1">
        <v>2.9449999999999998</v>
      </c>
      <c r="J1917" s="1">
        <v>3.7564000000000002</v>
      </c>
    </row>
    <row r="1918" spans="2:10" x14ac:dyDescent="0.3">
      <c r="B1918" s="10">
        <f t="shared" si="58"/>
        <v>2019</v>
      </c>
      <c r="C1918" s="10">
        <f t="shared" si="59"/>
        <v>1</v>
      </c>
      <c r="D1918" s="3">
        <v>43467</v>
      </c>
      <c r="E1918" s="1">
        <v>54.91</v>
      </c>
      <c r="F1918" s="1">
        <v>46.54</v>
      </c>
      <c r="G1918" s="1">
        <v>1.7005999999999999</v>
      </c>
      <c r="H1918" s="1">
        <v>1.3255999999999999</v>
      </c>
      <c r="I1918" s="1">
        <v>2.9580000000000002</v>
      </c>
      <c r="J1918" s="1">
        <v>3.7896999999999998</v>
      </c>
    </row>
    <row r="1919" spans="2:10" x14ac:dyDescent="0.3">
      <c r="B1919" s="10">
        <f t="shared" si="58"/>
        <v>2019</v>
      </c>
      <c r="C1919" s="10">
        <f t="shared" si="59"/>
        <v>1</v>
      </c>
      <c r="D1919" s="3">
        <v>43466</v>
      </c>
      <c r="J1919" s="1">
        <v>3.8803999999999998</v>
      </c>
    </row>
    <row r="1920" spans="2:10" x14ac:dyDescent="0.3">
      <c r="B1920" s="10">
        <f t="shared" si="58"/>
        <v>2018</v>
      </c>
      <c r="C1920" s="10">
        <f t="shared" si="59"/>
        <v>12</v>
      </c>
      <c r="D1920" s="3">
        <v>43465</v>
      </c>
      <c r="E1920" s="1">
        <v>53.8</v>
      </c>
      <c r="F1920" s="1">
        <v>45.41</v>
      </c>
      <c r="G1920" s="1">
        <v>1.6808000000000001</v>
      </c>
      <c r="H1920" s="1">
        <v>1.3237000000000001</v>
      </c>
      <c r="I1920" s="1">
        <v>2.94</v>
      </c>
      <c r="J1920" s="1">
        <v>3.8803999999999998</v>
      </c>
    </row>
    <row r="1921" spans="2:10" x14ac:dyDescent="0.3">
      <c r="B1921" s="10">
        <f t="shared" si="58"/>
        <v>2018</v>
      </c>
      <c r="C1921" s="10">
        <f t="shared" si="59"/>
        <v>12</v>
      </c>
      <c r="D1921" s="3">
        <v>43462</v>
      </c>
      <c r="E1921" s="1">
        <v>52.2</v>
      </c>
      <c r="F1921" s="1">
        <v>45.33</v>
      </c>
      <c r="G1921" s="1">
        <v>1.6647000000000001</v>
      </c>
      <c r="H1921" s="1">
        <v>1.3262</v>
      </c>
      <c r="I1921" s="1">
        <v>3.3029999999999999</v>
      </c>
      <c r="J1921" s="1">
        <v>3.8803999999999998</v>
      </c>
    </row>
    <row r="1922" spans="2:10" x14ac:dyDescent="0.3">
      <c r="B1922" s="10">
        <f t="shared" si="58"/>
        <v>2018</v>
      </c>
      <c r="C1922" s="10">
        <f t="shared" si="59"/>
        <v>12</v>
      </c>
      <c r="D1922" s="3">
        <v>43461</v>
      </c>
      <c r="E1922" s="1">
        <v>52.16</v>
      </c>
      <c r="F1922" s="1">
        <v>44.61</v>
      </c>
      <c r="G1922" s="1">
        <v>1.6782999999999999</v>
      </c>
      <c r="H1922" s="1">
        <v>1.304</v>
      </c>
      <c r="I1922" s="1">
        <v>3.6419999999999999</v>
      </c>
      <c r="J1922" s="1">
        <v>3.8732000000000002</v>
      </c>
    </row>
    <row r="1923" spans="2:10" x14ac:dyDescent="0.3">
      <c r="B1923" s="10">
        <f t="shared" si="58"/>
        <v>2018</v>
      </c>
      <c r="C1923" s="10">
        <f t="shared" si="59"/>
        <v>12</v>
      </c>
      <c r="D1923" s="3">
        <v>43460</v>
      </c>
      <c r="E1923" s="1">
        <v>54.47</v>
      </c>
      <c r="F1923" s="1">
        <v>46.22</v>
      </c>
      <c r="G1923" s="1">
        <v>1.7336</v>
      </c>
      <c r="H1923" s="1">
        <v>1.3304</v>
      </c>
      <c r="I1923" s="1">
        <v>3.5430000000000001</v>
      </c>
      <c r="J1923" s="1">
        <v>3.9218999999999999</v>
      </c>
    </row>
    <row r="1924" spans="2:10" x14ac:dyDescent="0.3">
      <c r="B1924" s="10">
        <f t="shared" si="58"/>
        <v>2018</v>
      </c>
      <c r="C1924" s="10">
        <f t="shared" si="59"/>
        <v>12</v>
      </c>
      <c r="D1924" s="3">
        <v>43459</v>
      </c>
      <c r="J1924" s="1">
        <v>3.9035000000000002</v>
      </c>
    </row>
    <row r="1925" spans="2:10" x14ac:dyDescent="0.3">
      <c r="B1925" s="10">
        <f t="shared" si="58"/>
        <v>2018</v>
      </c>
      <c r="C1925" s="10">
        <f t="shared" si="59"/>
        <v>12</v>
      </c>
      <c r="D1925" s="3">
        <v>43458</v>
      </c>
      <c r="E1925" s="1">
        <v>50.47</v>
      </c>
      <c r="F1925" s="1">
        <v>42.53</v>
      </c>
      <c r="G1925" s="1">
        <v>1.6621999999999999</v>
      </c>
      <c r="H1925" s="1">
        <v>1.2487999999999999</v>
      </c>
      <c r="I1925" s="1">
        <v>3.4670000000000001</v>
      </c>
      <c r="J1925" s="1">
        <v>3.9035000000000002</v>
      </c>
    </row>
    <row r="1926" spans="2:10" x14ac:dyDescent="0.3">
      <c r="B1926" s="10">
        <f t="shared" ref="B1926:B1989" si="60">YEAR(D1926)</f>
        <v>2018</v>
      </c>
      <c r="C1926" s="10">
        <f t="shared" ref="C1926:C1989" si="61">MONTH(D1926)</f>
        <v>12</v>
      </c>
      <c r="D1926" s="3">
        <v>43455</v>
      </c>
      <c r="E1926" s="1">
        <v>53.82</v>
      </c>
      <c r="F1926" s="1">
        <v>45.59</v>
      </c>
      <c r="G1926" s="1">
        <v>1.7326999999999999</v>
      </c>
      <c r="H1926" s="1">
        <v>1.3183</v>
      </c>
      <c r="I1926" s="1">
        <v>3.8159999999999998</v>
      </c>
      <c r="J1926" s="1">
        <v>3.9039000000000001</v>
      </c>
    </row>
    <row r="1927" spans="2:10" x14ac:dyDescent="0.3">
      <c r="B1927" s="10">
        <f t="shared" si="60"/>
        <v>2018</v>
      </c>
      <c r="C1927" s="10">
        <f t="shared" si="61"/>
        <v>12</v>
      </c>
      <c r="D1927" s="3">
        <v>43454</v>
      </c>
      <c r="E1927" s="1">
        <v>54.35</v>
      </c>
      <c r="F1927" s="1">
        <v>45.88</v>
      </c>
      <c r="G1927" s="1">
        <v>1.7497</v>
      </c>
      <c r="H1927" s="1">
        <v>1.3224</v>
      </c>
      <c r="I1927" s="1">
        <v>3.5830000000000002</v>
      </c>
      <c r="J1927" s="1">
        <v>3.8418999999999999</v>
      </c>
    </row>
    <row r="1928" spans="2:10" x14ac:dyDescent="0.3">
      <c r="B1928" s="10">
        <f t="shared" si="60"/>
        <v>2018</v>
      </c>
      <c r="C1928" s="10">
        <f t="shared" si="61"/>
        <v>12</v>
      </c>
      <c r="D1928" s="3">
        <v>43453</v>
      </c>
      <c r="E1928" s="1">
        <v>57.24</v>
      </c>
      <c r="F1928" s="1">
        <v>47.2</v>
      </c>
      <c r="G1928" s="1">
        <v>1.8053999999999999</v>
      </c>
      <c r="H1928" s="1">
        <v>1.3863000000000001</v>
      </c>
      <c r="I1928" s="1">
        <v>3.726</v>
      </c>
      <c r="J1928" s="1">
        <v>3.8976000000000002</v>
      </c>
    </row>
    <row r="1929" spans="2:10" x14ac:dyDescent="0.3">
      <c r="B1929" s="10">
        <f t="shared" si="60"/>
        <v>2018</v>
      </c>
      <c r="C1929" s="10">
        <f t="shared" si="61"/>
        <v>12</v>
      </c>
      <c r="D1929" s="3">
        <v>43452</v>
      </c>
      <c r="E1929" s="1">
        <v>56.26</v>
      </c>
      <c r="F1929" s="1">
        <v>46.24</v>
      </c>
      <c r="G1929" s="1">
        <v>1.7539</v>
      </c>
      <c r="H1929" s="1">
        <v>1.3505</v>
      </c>
      <c r="I1929" s="1">
        <v>3.8380000000000001</v>
      </c>
      <c r="J1929" s="1">
        <v>3.9123000000000001</v>
      </c>
    </row>
    <row r="1930" spans="2:10" x14ac:dyDescent="0.3">
      <c r="B1930" s="10">
        <f t="shared" si="60"/>
        <v>2018</v>
      </c>
      <c r="C1930" s="10">
        <f t="shared" si="61"/>
        <v>12</v>
      </c>
      <c r="D1930" s="3">
        <v>43451</v>
      </c>
      <c r="E1930" s="1">
        <v>59.61</v>
      </c>
      <c r="F1930" s="1">
        <v>49.88</v>
      </c>
      <c r="G1930" s="1">
        <v>1.8267</v>
      </c>
      <c r="H1930" s="1">
        <v>1.4104000000000001</v>
      </c>
      <c r="I1930" s="1">
        <v>3.528</v>
      </c>
      <c r="J1930" s="1">
        <v>3.8994</v>
      </c>
    </row>
    <row r="1931" spans="2:10" x14ac:dyDescent="0.3">
      <c r="B1931" s="10">
        <f t="shared" si="60"/>
        <v>2018</v>
      </c>
      <c r="C1931" s="10">
        <f t="shared" si="61"/>
        <v>12</v>
      </c>
      <c r="D1931" s="3">
        <v>43448</v>
      </c>
      <c r="E1931" s="1">
        <v>60.28</v>
      </c>
      <c r="F1931" s="1">
        <v>51.2</v>
      </c>
      <c r="G1931" s="1">
        <v>1.8452999999999999</v>
      </c>
      <c r="H1931" s="1">
        <v>1.4342999999999999</v>
      </c>
      <c r="I1931" s="1">
        <v>3.827</v>
      </c>
      <c r="J1931" s="1">
        <v>3.9169999999999998</v>
      </c>
    </row>
    <row r="1932" spans="2:10" x14ac:dyDescent="0.3">
      <c r="B1932" s="10">
        <f t="shared" si="60"/>
        <v>2018</v>
      </c>
      <c r="C1932" s="10">
        <f t="shared" si="61"/>
        <v>12</v>
      </c>
      <c r="D1932" s="3">
        <v>43447</v>
      </c>
      <c r="E1932" s="1">
        <v>61.45</v>
      </c>
      <c r="F1932" s="1">
        <v>52.58</v>
      </c>
      <c r="G1932" s="1">
        <v>1.8765000000000001</v>
      </c>
      <c r="H1932" s="1">
        <v>1.4782</v>
      </c>
      <c r="I1932" s="1">
        <v>4.1239999999999997</v>
      </c>
      <c r="J1932" s="1">
        <v>3.891</v>
      </c>
    </row>
    <row r="1933" spans="2:10" x14ac:dyDescent="0.3">
      <c r="B1933" s="10">
        <f t="shared" si="60"/>
        <v>2018</v>
      </c>
      <c r="C1933" s="10">
        <f t="shared" si="61"/>
        <v>12</v>
      </c>
      <c r="D1933" s="3">
        <v>43446</v>
      </c>
      <c r="E1933" s="1">
        <v>60.15</v>
      </c>
      <c r="F1933" s="1">
        <v>51.15</v>
      </c>
      <c r="G1933" s="1">
        <v>1.8509</v>
      </c>
      <c r="H1933" s="1">
        <v>1.4204000000000001</v>
      </c>
      <c r="I1933" s="1">
        <v>4.1360000000000001</v>
      </c>
      <c r="J1933" s="1">
        <v>3.8553999999999999</v>
      </c>
    </row>
    <row r="1934" spans="2:10" x14ac:dyDescent="0.3">
      <c r="B1934" s="10">
        <f t="shared" si="60"/>
        <v>2018</v>
      </c>
      <c r="C1934" s="10">
        <f t="shared" si="61"/>
        <v>12</v>
      </c>
      <c r="D1934" s="3">
        <v>43445</v>
      </c>
      <c r="E1934" s="1">
        <v>60.2</v>
      </c>
      <c r="F1934" s="1">
        <v>51.65</v>
      </c>
      <c r="G1934" s="1">
        <v>1.8471</v>
      </c>
      <c r="H1934" s="1">
        <v>1.4398</v>
      </c>
      <c r="I1934" s="1">
        <v>4.407</v>
      </c>
      <c r="J1934" s="1">
        <v>3.9039000000000001</v>
      </c>
    </row>
    <row r="1935" spans="2:10" x14ac:dyDescent="0.3">
      <c r="B1935" s="10">
        <f t="shared" si="60"/>
        <v>2018</v>
      </c>
      <c r="C1935" s="10">
        <f t="shared" si="61"/>
        <v>12</v>
      </c>
      <c r="D1935" s="3">
        <v>43444</v>
      </c>
      <c r="E1935" s="1">
        <v>59.97</v>
      </c>
      <c r="F1935" s="1">
        <v>51</v>
      </c>
      <c r="G1935" s="1">
        <v>1.8441000000000001</v>
      </c>
      <c r="H1935" s="1">
        <v>1.4189000000000001</v>
      </c>
      <c r="I1935" s="1">
        <v>4.5449999999999999</v>
      </c>
      <c r="J1935" s="1">
        <v>3.9178000000000002</v>
      </c>
    </row>
    <row r="1936" spans="2:10" x14ac:dyDescent="0.3">
      <c r="B1936" s="10">
        <f t="shared" si="60"/>
        <v>2018</v>
      </c>
      <c r="C1936" s="10">
        <f t="shared" si="61"/>
        <v>12</v>
      </c>
      <c r="D1936" s="3">
        <v>43441</v>
      </c>
      <c r="E1936" s="1">
        <v>61.67</v>
      </c>
      <c r="F1936" s="1">
        <v>52.61</v>
      </c>
      <c r="G1936" s="1">
        <v>1.8862000000000001</v>
      </c>
      <c r="H1936" s="1">
        <v>1.4858</v>
      </c>
      <c r="I1936" s="1">
        <v>4.4880000000000004</v>
      </c>
      <c r="J1936" s="1">
        <v>3.9074</v>
      </c>
    </row>
    <row r="1937" spans="2:10" x14ac:dyDescent="0.3">
      <c r="B1937" s="10">
        <f t="shared" si="60"/>
        <v>2018</v>
      </c>
      <c r="C1937" s="10">
        <f t="shared" si="61"/>
        <v>12</v>
      </c>
      <c r="D1937" s="3">
        <v>43440</v>
      </c>
      <c r="E1937" s="1">
        <v>60.06</v>
      </c>
      <c r="F1937" s="1">
        <v>51.49</v>
      </c>
      <c r="G1937" s="1">
        <v>1.8582000000000001</v>
      </c>
      <c r="H1937" s="1">
        <v>1.4334</v>
      </c>
      <c r="I1937" s="1">
        <v>4.327</v>
      </c>
      <c r="J1937" s="1">
        <v>3.8778999999999999</v>
      </c>
    </row>
    <row r="1938" spans="2:10" x14ac:dyDescent="0.3">
      <c r="B1938" s="10">
        <f t="shared" si="60"/>
        <v>2018</v>
      </c>
      <c r="C1938" s="10">
        <f t="shared" si="61"/>
        <v>12</v>
      </c>
      <c r="D1938" s="3">
        <v>43439</v>
      </c>
      <c r="E1938" s="1">
        <v>61.56</v>
      </c>
      <c r="F1938" s="1">
        <v>52.89</v>
      </c>
      <c r="G1938" s="1">
        <v>1.8886000000000001</v>
      </c>
      <c r="H1938" s="1">
        <v>1.4456</v>
      </c>
      <c r="I1938" s="1">
        <v>4.4690000000000003</v>
      </c>
      <c r="J1938" s="1">
        <v>3.8681999999999999</v>
      </c>
    </row>
    <row r="1939" spans="2:10" x14ac:dyDescent="0.3">
      <c r="B1939" s="10">
        <f t="shared" si="60"/>
        <v>2018</v>
      </c>
      <c r="C1939" s="10">
        <f t="shared" si="61"/>
        <v>12</v>
      </c>
      <c r="D1939" s="3">
        <v>43438</v>
      </c>
      <c r="E1939" s="1">
        <v>62.08</v>
      </c>
      <c r="F1939" s="1">
        <v>53.25</v>
      </c>
      <c r="G1939" s="1">
        <v>1.9009</v>
      </c>
      <c r="H1939" s="1">
        <v>1.4434</v>
      </c>
      <c r="I1939" s="1">
        <v>4.4569999999999999</v>
      </c>
      <c r="J1939" s="1">
        <v>3.8523999999999998</v>
      </c>
    </row>
    <row r="1940" spans="2:10" x14ac:dyDescent="0.3">
      <c r="B1940" s="10">
        <f t="shared" si="60"/>
        <v>2018</v>
      </c>
      <c r="C1940" s="10">
        <f t="shared" si="61"/>
        <v>12</v>
      </c>
      <c r="D1940" s="3">
        <v>43437</v>
      </c>
      <c r="E1940" s="1">
        <v>61.69</v>
      </c>
      <c r="F1940" s="1">
        <v>52.95</v>
      </c>
      <c r="G1940" s="1">
        <v>1.8875</v>
      </c>
      <c r="H1940" s="1">
        <v>1.4314</v>
      </c>
      <c r="I1940" s="1">
        <v>4.3390000000000004</v>
      </c>
      <c r="J1940" s="1">
        <v>3.8408000000000002</v>
      </c>
    </row>
    <row r="1941" spans="2:10" x14ac:dyDescent="0.3">
      <c r="B1941" s="10">
        <f t="shared" si="60"/>
        <v>2018</v>
      </c>
      <c r="C1941" s="10">
        <f t="shared" si="61"/>
        <v>11</v>
      </c>
      <c r="D1941" s="3">
        <v>43434</v>
      </c>
      <c r="E1941" s="1">
        <v>58.71</v>
      </c>
      <c r="F1941" s="1">
        <v>50.93</v>
      </c>
      <c r="G1941" s="1">
        <v>1.8454999999999999</v>
      </c>
      <c r="H1941" s="1">
        <v>1.4413</v>
      </c>
      <c r="I1941" s="1">
        <v>4.6120000000000001</v>
      </c>
      <c r="J1941" s="1">
        <v>3.8662000000000001</v>
      </c>
    </row>
    <row r="1942" spans="2:10" x14ac:dyDescent="0.3">
      <c r="B1942" s="10">
        <f t="shared" si="60"/>
        <v>2018</v>
      </c>
      <c r="C1942" s="10">
        <f t="shared" si="61"/>
        <v>11</v>
      </c>
      <c r="D1942" s="3">
        <v>43433</v>
      </c>
      <c r="E1942" s="1">
        <v>59.51</v>
      </c>
      <c r="F1942" s="1">
        <v>51.45</v>
      </c>
      <c r="G1942" s="1">
        <v>1.8435999999999999</v>
      </c>
      <c r="H1942" s="1">
        <v>1.4547000000000001</v>
      </c>
      <c r="I1942" s="1">
        <v>4.6459999999999999</v>
      </c>
      <c r="J1942" s="1">
        <v>3.8515000000000001</v>
      </c>
    </row>
    <row r="1943" spans="2:10" x14ac:dyDescent="0.3">
      <c r="B1943" s="10">
        <f t="shared" si="60"/>
        <v>2018</v>
      </c>
      <c r="C1943" s="10">
        <f t="shared" si="61"/>
        <v>11</v>
      </c>
      <c r="D1943" s="3">
        <v>43432</v>
      </c>
      <c r="E1943" s="1">
        <v>58.76</v>
      </c>
      <c r="F1943" s="1">
        <v>50.29</v>
      </c>
      <c r="G1943" s="1">
        <v>1.8384</v>
      </c>
      <c r="H1943" s="1">
        <v>1.3978999999999999</v>
      </c>
      <c r="I1943" s="1">
        <v>4.7149999999999999</v>
      </c>
      <c r="J1943" s="1">
        <v>3.8508</v>
      </c>
    </row>
    <row r="1944" spans="2:10" x14ac:dyDescent="0.3">
      <c r="B1944" s="10">
        <f t="shared" si="60"/>
        <v>2018</v>
      </c>
      <c r="C1944" s="10">
        <f t="shared" si="61"/>
        <v>11</v>
      </c>
      <c r="D1944" s="3">
        <v>43431</v>
      </c>
      <c r="E1944" s="1">
        <v>60.21</v>
      </c>
      <c r="F1944" s="1">
        <v>51.56</v>
      </c>
      <c r="G1944" s="1">
        <v>1.8859999999999999</v>
      </c>
      <c r="H1944" s="1">
        <v>1.4208000000000001</v>
      </c>
      <c r="I1944" s="1">
        <v>4.2619999999999996</v>
      </c>
      <c r="J1944" s="1">
        <v>3.875</v>
      </c>
    </row>
    <row r="1945" spans="2:10" x14ac:dyDescent="0.3">
      <c r="B1945" s="10">
        <f t="shared" si="60"/>
        <v>2018</v>
      </c>
      <c r="C1945" s="10">
        <f t="shared" si="61"/>
        <v>11</v>
      </c>
      <c r="D1945" s="3">
        <v>43430</v>
      </c>
      <c r="E1945" s="1">
        <v>60.48</v>
      </c>
      <c r="F1945" s="1">
        <v>51.63</v>
      </c>
      <c r="G1945" s="1">
        <v>1.893</v>
      </c>
      <c r="H1945" s="1">
        <v>1.4426000000000001</v>
      </c>
      <c r="I1945" s="1">
        <v>4.2480000000000002</v>
      </c>
      <c r="J1945" s="1">
        <v>3.9398</v>
      </c>
    </row>
    <row r="1946" spans="2:10" x14ac:dyDescent="0.3">
      <c r="B1946" s="10">
        <f t="shared" si="60"/>
        <v>2018</v>
      </c>
      <c r="C1946" s="10">
        <f t="shared" si="61"/>
        <v>11</v>
      </c>
      <c r="D1946" s="3">
        <v>43427</v>
      </c>
      <c r="E1946" s="1">
        <v>58.8</v>
      </c>
      <c r="F1946" s="1">
        <v>50.42</v>
      </c>
      <c r="G1946" s="1">
        <v>1.8762000000000001</v>
      </c>
      <c r="H1946" s="1">
        <v>1.3913</v>
      </c>
      <c r="I1946" s="1">
        <v>4.3079999999999998</v>
      </c>
      <c r="J1946" s="1">
        <v>3.8279999999999998</v>
      </c>
    </row>
    <row r="1947" spans="2:10" x14ac:dyDescent="0.3">
      <c r="B1947" s="10">
        <f t="shared" si="60"/>
        <v>2018</v>
      </c>
      <c r="C1947" s="10">
        <f t="shared" si="61"/>
        <v>11</v>
      </c>
      <c r="D1947" s="3">
        <v>43426</v>
      </c>
      <c r="E1947" s="1">
        <v>62.6</v>
      </c>
      <c r="J1947" s="1">
        <v>3.8033000000000001</v>
      </c>
    </row>
    <row r="1948" spans="2:10" x14ac:dyDescent="0.3">
      <c r="B1948" s="10">
        <f t="shared" si="60"/>
        <v>2018</v>
      </c>
      <c r="C1948" s="10">
        <f t="shared" si="61"/>
        <v>11</v>
      </c>
      <c r="D1948" s="3">
        <v>43425</v>
      </c>
      <c r="E1948" s="1">
        <v>63.48</v>
      </c>
      <c r="F1948" s="1">
        <v>54.63</v>
      </c>
      <c r="G1948" s="1">
        <v>1.9702</v>
      </c>
      <c r="H1948" s="1">
        <v>1.5106999999999999</v>
      </c>
      <c r="I1948" s="1">
        <v>4.4509999999999996</v>
      </c>
      <c r="J1948" s="1">
        <v>3.7974999999999999</v>
      </c>
    </row>
    <row r="1949" spans="2:10" x14ac:dyDescent="0.3">
      <c r="B1949" s="10">
        <f t="shared" si="60"/>
        <v>2018</v>
      </c>
      <c r="C1949" s="10">
        <f t="shared" si="61"/>
        <v>11</v>
      </c>
      <c r="D1949" s="3">
        <v>43424</v>
      </c>
      <c r="E1949" s="1">
        <v>62.53</v>
      </c>
      <c r="F1949" s="1">
        <v>53.43</v>
      </c>
      <c r="G1949" s="1">
        <v>1.9902</v>
      </c>
      <c r="H1949" s="1">
        <v>1.4959</v>
      </c>
      <c r="I1949" s="1">
        <v>4.5229999999999997</v>
      </c>
      <c r="J1949" s="1">
        <v>3.7566999999999999</v>
      </c>
    </row>
    <row r="1950" spans="2:10" x14ac:dyDescent="0.3">
      <c r="B1950" s="10">
        <f t="shared" si="60"/>
        <v>2018</v>
      </c>
      <c r="C1950" s="10">
        <f t="shared" si="61"/>
        <v>11</v>
      </c>
      <c r="D1950" s="3">
        <v>43423</v>
      </c>
      <c r="E1950" s="1">
        <v>66.790000000000006</v>
      </c>
      <c r="F1950" s="1">
        <v>56.76</v>
      </c>
      <c r="G1950" s="1">
        <v>2.0863999999999998</v>
      </c>
      <c r="H1950" s="1">
        <v>1.5829</v>
      </c>
      <c r="I1950" s="1">
        <v>4.7</v>
      </c>
      <c r="J1950" s="1">
        <v>3.7559999999999998</v>
      </c>
    </row>
    <row r="1951" spans="2:10" x14ac:dyDescent="0.3">
      <c r="B1951" s="10">
        <f t="shared" si="60"/>
        <v>2018</v>
      </c>
      <c r="C1951" s="10">
        <f t="shared" si="61"/>
        <v>11</v>
      </c>
      <c r="D1951" s="3">
        <v>43420</v>
      </c>
      <c r="E1951" s="1">
        <v>66.760000000000005</v>
      </c>
      <c r="F1951" s="1">
        <v>56.46</v>
      </c>
      <c r="G1951" s="1">
        <v>2.0737000000000001</v>
      </c>
      <c r="H1951" s="1">
        <v>1.577</v>
      </c>
      <c r="I1951" s="1">
        <v>4.2720000000000002</v>
      </c>
      <c r="J1951" s="1">
        <v>3.7433999999999998</v>
      </c>
    </row>
    <row r="1952" spans="2:10" x14ac:dyDescent="0.3">
      <c r="B1952" s="10">
        <f t="shared" si="60"/>
        <v>2018</v>
      </c>
      <c r="C1952" s="10">
        <f t="shared" si="61"/>
        <v>11</v>
      </c>
      <c r="D1952" s="3">
        <v>43419</v>
      </c>
      <c r="E1952" s="1">
        <v>66.62</v>
      </c>
      <c r="F1952" s="1">
        <v>56.46</v>
      </c>
      <c r="G1952" s="1">
        <v>2.0741000000000001</v>
      </c>
      <c r="H1952" s="1">
        <v>1.5566</v>
      </c>
      <c r="I1952" s="1">
        <v>4.0380000000000003</v>
      </c>
      <c r="J1952" s="1">
        <v>3.7839999999999998</v>
      </c>
    </row>
    <row r="1953" spans="2:10" x14ac:dyDescent="0.3">
      <c r="B1953" s="10">
        <f t="shared" si="60"/>
        <v>2018</v>
      </c>
      <c r="C1953" s="10">
        <f t="shared" si="61"/>
        <v>11</v>
      </c>
      <c r="D1953" s="3">
        <v>43418</v>
      </c>
      <c r="E1953" s="1">
        <v>66.12</v>
      </c>
      <c r="F1953" s="1">
        <v>56.25</v>
      </c>
      <c r="G1953" s="1">
        <v>2.0958999999999999</v>
      </c>
      <c r="H1953" s="1">
        <v>1.5606</v>
      </c>
      <c r="I1953" s="1">
        <v>4.8369999999999997</v>
      </c>
      <c r="J1953" s="1">
        <v>3.7839999999999998</v>
      </c>
    </row>
    <row r="1954" spans="2:10" x14ac:dyDescent="0.3">
      <c r="B1954" s="10">
        <f t="shared" si="60"/>
        <v>2018</v>
      </c>
      <c r="C1954" s="10">
        <f t="shared" si="61"/>
        <v>11</v>
      </c>
      <c r="D1954" s="3">
        <v>43417</v>
      </c>
      <c r="E1954" s="1">
        <v>65.47</v>
      </c>
      <c r="F1954" s="1">
        <v>55.69</v>
      </c>
      <c r="G1954" s="1">
        <v>2.0625</v>
      </c>
      <c r="H1954" s="1">
        <v>1.5427</v>
      </c>
      <c r="I1954" s="1">
        <v>4.101</v>
      </c>
      <c r="J1954" s="1">
        <v>3.8031000000000001</v>
      </c>
    </row>
    <row r="1955" spans="2:10" x14ac:dyDescent="0.3">
      <c r="B1955" s="10">
        <f t="shared" si="60"/>
        <v>2018</v>
      </c>
      <c r="C1955" s="10">
        <f t="shared" si="61"/>
        <v>11</v>
      </c>
      <c r="D1955" s="3">
        <v>43416</v>
      </c>
      <c r="E1955" s="1">
        <v>70.12</v>
      </c>
      <c r="F1955" s="1">
        <v>59.93</v>
      </c>
      <c r="G1955" s="1">
        <v>2.1556000000000002</v>
      </c>
      <c r="H1955" s="1">
        <v>1.6367</v>
      </c>
      <c r="I1955" s="1">
        <v>3.7879999999999998</v>
      </c>
      <c r="J1955" s="1">
        <v>3.7673999999999999</v>
      </c>
    </row>
    <row r="1956" spans="2:10" x14ac:dyDescent="0.3">
      <c r="B1956" s="10">
        <f t="shared" si="60"/>
        <v>2018</v>
      </c>
      <c r="C1956" s="10">
        <f t="shared" si="61"/>
        <v>11</v>
      </c>
      <c r="D1956" s="3">
        <v>43413</v>
      </c>
      <c r="E1956" s="1">
        <v>70.180000000000007</v>
      </c>
      <c r="F1956" s="1">
        <v>60.19</v>
      </c>
      <c r="G1956" s="1">
        <v>2.1728000000000001</v>
      </c>
      <c r="H1956" s="1">
        <v>1.6214</v>
      </c>
      <c r="I1956" s="1">
        <v>3.7189999999999999</v>
      </c>
      <c r="J1956" s="1">
        <v>3.7334000000000001</v>
      </c>
    </row>
    <row r="1957" spans="2:10" x14ac:dyDescent="0.3">
      <c r="B1957" s="10">
        <f t="shared" si="60"/>
        <v>2018</v>
      </c>
      <c r="C1957" s="10">
        <f t="shared" si="61"/>
        <v>11</v>
      </c>
      <c r="D1957" s="3">
        <v>43412</v>
      </c>
      <c r="E1957" s="1">
        <v>70.650000000000006</v>
      </c>
      <c r="F1957" s="1">
        <v>60.67</v>
      </c>
      <c r="G1957" s="1">
        <v>2.1682999999999999</v>
      </c>
      <c r="H1957" s="1">
        <v>1.6443000000000001</v>
      </c>
      <c r="I1957" s="1">
        <v>3.5430000000000001</v>
      </c>
      <c r="J1957" s="1">
        <v>3.7604000000000002</v>
      </c>
    </row>
    <row r="1958" spans="2:10" x14ac:dyDescent="0.3">
      <c r="B1958" s="10">
        <f t="shared" si="60"/>
        <v>2018</v>
      </c>
      <c r="C1958" s="10">
        <f t="shared" si="61"/>
        <v>11</v>
      </c>
      <c r="D1958" s="3">
        <v>43411</v>
      </c>
      <c r="E1958" s="1">
        <v>72.069999999999993</v>
      </c>
      <c r="F1958" s="1">
        <v>61.67</v>
      </c>
      <c r="G1958" s="1">
        <v>2.2370999999999999</v>
      </c>
      <c r="H1958" s="1">
        <v>1.6474</v>
      </c>
      <c r="I1958" s="1">
        <v>3.5550000000000002</v>
      </c>
      <c r="J1958" s="1">
        <v>3.7317</v>
      </c>
    </row>
    <row r="1959" spans="2:10" x14ac:dyDescent="0.3">
      <c r="B1959" s="10">
        <f t="shared" si="60"/>
        <v>2018</v>
      </c>
      <c r="C1959" s="10">
        <f t="shared" si="61"/>
        <v>11</v>
      </c>
      <c r="D1959" s="3">
        <v>43410</v>
      </c>
      <c r="E1959" s="1">
        <v>72.13</v>
      </c>
      <c r="F1959" s="1">
        <v>62.21</v>
      </c>
      <c r="G1959" s="1">
        <v>2.1882999999999999</v>
      </c>
      <c r="H1959" s="1">
        <v>1.694</v>
      </c>
      <c r="I1959" s="1">
        <v>3.5550000000000002</v>
      </c>
      <c r="J1959" s="1">
        <v>3.7614000000000001</v>
      </c>
    </row>
    <row r="1960" spans="2:10" x14ac:dyDescent="0.3">
      <c r="B1960" s="10">
        <f t="shared" si="60"/>
        <v>2018</v>
      </c>
      <c r="C1960" s="10">
        <f t="shared" si="61"/>
        <v>11</v>
      </c>
      <c r="D1960" s="3">
        <v>43409</v>
      </c>
      <c r="E1960" s="1">
        <v>73.17</v>
      </c>
      <c r="F1960" s="1">
        <v>63.1</v>
      </c>
      <c r="G1960" s="1">
        <v>2.1962999999999999</v>
      </c>
      <c r="H1960" s="1">
        <v>1.6919</v>
      </c>
      <c r="I1960" s="1">
        <v>3.5670000000000002</v>
      </c>
      <c r="J1960" s="1">
        <v>3.726</v>
      </c>
    </row>
    <row r="1961" spans="2:10" x14ac:dyDescent="0.3">
      <c r="B1961" s="10">
        <f t="shared" si="60"/>
        <v>2018</v>
      </c>
      <c r="C1961" s="10">
        <f t="shared" si="61"/>
        <v>11</v>
      </c>
      <c r="D1961" s="3">
        <v>43406</v>
      </c>
      <c r="E1961" s="1">
        <v>72.83</v>
      </c>
      <c r="F1961" s="1">
        <v>63.14</v>
      </c>
      <c r="G1961" s="1">
        <v>2.1728000000000001</v>
      </c>
      <c r="H1961" s="1">
        <v>1.7082999999999999</v>
      </c>
      <c r="I1961" s="1">
        <v>3.2839999999999998</v>
      </c>
      <c r="J1961" s="1">
        <v>3.6964999999999999</v>
      </c>
    </row>
    <row r="1962" spans="2:10" x14ac:dyDescent="0.3">
      <c r="B1962" s="10">
        <f t="shared" si="60"/>
        <v>2018</v>
      </c>
      <c r="C1962" s="10">
        <f t="shared" si="61"/>
        <v>11</v>
      </c>
      <c r="D1962" s="3">
        <v>43405</v>
      </c>
      <c r="E1962" s="1">
        <v>72.89</v>
      </c>
      <c r="F1962" s="1">
        <v>63.69</v>
      </c>
      <c r="G1962" s="1">
        <v>2.2008000000000001</v>
      </c>
      <c r="H1962" s="1">
        <v>1.7164999999999999</v>
      </c>
      <c r="I1962" s="1">
        <v>3.2370000000000001</v>
      </c>
      <c r="J1962" s="1">
        <v>3.7</v>
      </c>
    </row>
    <row r="1963" spans="2:10" x14ac:dyDescent="0.3">
      <c r="B1963" s="10">
        <f t="shared" si="60"/>
        <v>2018</v>
      </c>
      <c r="C1963" s="10">
        <f t="shared" si="61"/>
        <v>10</v>
      </c>
      <c r="D1963" s="3">
        <v>43404</v>
      </c>
      <c r="E1963" s="1">
        <v>75.47</v>
      </c>
      <c r="F1963" s="1">
        <v>65.31</v>
      </c>
      <c r="G1963" s="1">
        <v>2.2618</v>
      </c>
      <c r="H1963" s="1">
        <v>1.768</v>
      </c>
      <c r="I1963" s="1">
        <v>3.2610000000000001</v>
      </c>
      <c r="J1963" s="1">
        <v>3.7218</v>
      </c>
    </row>
    <row r="1964" spans="2:10" x14ac:dyDescent="0.3">
      <c r="B1964" s="10">
        <f t="shared" si="60"/>
        <v>2018</v>
      </c>
      <c r="C1964" s="10">
        <f t="shared" si="61"/>
        <v>10</v>
      </c>
      <c r="D1964" s="3">
        <v>43403</v>
      </c>
      <c r="E1964" s="1">
        <v>75.91</v>
      </c>
      <c r="F1964" s="1">
        <v>66.180000000000007</v>
      </c>
      <c r="G1964" s="1">
        <v>2.2597999999999998</v>
      </c>
      <c r="H1964" s="1">
        <v>1.8059000000000001</v>
      </c>
      <c r="I1964" s="1">
        <v>3.1869999999999998</v>
      </c>
      <c r="J1964" s="1">
        <v>3.6972</v>
      </c>
    </row>
    <row r="1965" spans="2:10" x14ac:dyDescent="0.3">
      <c r="B1965" s="10">
        <f t="shared" si="60"/>
        <v>2018</v>
      </c>
      <c r="C1965" s="10">
        <f t="shared" si="61"/>
        <v>10</v>
      </c>
      <c r="D1965" s="3">
        <v>43402</v>
      </c>
      <c r="E1965" s="1">
        <v>77.34</v>
      </c>
      <c r="F1965" s="1">
        <v>67.040000000000006</v>
      </c>
      <c r="G1965" s="1">
        <v>2.2843</v>
      </c>
      <c r="H1965" s="1">
        <v>1.8249</v>
      </c>
      <c r="I1965" s="1">
        <v>3.1850000000000001</v>
      </c>
      <c r="J1965" s="1">
        <v>3.7179000000000002</v>
      </c>
    </row>
    <row r="1966" spans="2:10" x14ac:dyDescent="0.3">
      <c r="B1966" s="10">
        <f t="shared" si="60"/>
        <v>2018</v>
      </c>
      <c r="C1966" s="10">
        <f t="shared" si="61"/>
        <v>10</v>
      </c>
      <c r="D1966" s="3">
        <v>43399</v>
      </c>
      <c r="E1966" s="1">
        <v>77.62</v>
      </c>
      <c r="F1966" s="1">
        <v>67.59</v>
      </c>
      <c r="G1966" s="1">
        <v>2.3029999999999999</v>
      </c>
      <c r="H1966" s="1">
        <v>1.8149999999999999</v>
      </c>
      <c r="I1966" s="1">
        <v>3.1850000000000001</v>
      </c>
      <c r="J1966" s="1">
        <v>3.6425999999999998</v>
      </c>
    </row>
    <row r="1967" spans="2:10" x14ac:dyDescent="0.3">
      <c r="B1967" s="10">
        <f t="shared" si="60"/>
        <v>2018</v>
      </c>
      <c r="C1967" s="10">
        <f t="shared" si="61"/>
        <v>10</v>
      </c>
      <c r="D1967" s="3">
        <v>43398</v>
      </c>
      <c r="E1967" s="1">
        <v>76.89</v>
      </c>
      <c r="F1967" s="1">
        <v>67.33</v>
      </c>
      <c r="G1967" s="1">
        <v>2.2780999999999998</v>
      </c>
      <c r="H1967" s="1">
        <v>1.8129</v>
      </c>
      <c r="I1967" s="1">
        <v>3.202</v>
      </c>
      <c r="J1967" s="1">
        <v>3.7046000000000001</v>
      </c>
    </row>
    <row r="1968" spans="2:10" x14ac:dyDescent="0.3">
      <c r="B1968" s="10">
        <f t="shared" si="60"/>
        <v>2018</v>
      </c>
      <c r="C1968" s="10">
        <f t="shared" si="61"/>
        <v>10</v>
      </c>
      <c r="D1968" s="3">
        <v>43397</v>
      </c>
      <c r="E1968" s="1">
        <v>76.17</v>
      </c>
      <c r="F1968" s="1">
        <v>66.819999999999993</v>
      </c>
      <c r="G1968" s="1">
        <v>2.2521</v>
      </c>
      <c r="H1968" s="1">
        <v>1.8223</v>
      </c>
      <c r="I1968" s="1">
        <v>3.1659999999999999</v>
      </c>
      <c r="J1968" s="1">
        <v>3.7334999999999998</v>
      </c>
    </row>
    <row r="1969" spans="2:10" x14ac:dyDescent="0.3">
      <c r="B1969" s="10">
        <f t="shared" si="60"/>
        <v>2018</v>
      </c>
      <c r="C1969" s="10">
        <f t="shared" si="61"/>
        <v>10</v>
      </c>
      <c r="D1969" s="3">
        <v>43396</v>
      </c>
      <c r="E1969" s="1">
        <v>76.44</v>
      </c>
      <c r="F1969" s="1">
        <v>66.430000000000007</v>
      </c>
      <c r="G1969" s="1">
        <v>2.2484000000000002</v>
      </c>
      <c r="H1969" s="1">
        <v>1.8368</v>
      </c>
      <c r="I1969" s="1">
        <v>3.2120000000000002</v>
      </c>
      <c r="J1969" s="1">
        <v>3.6932</v>
      </c>
    </row>
    <row r="1970" spans="2:10" x14ac:dyDescent="0.3">
      <c r="B1970" s="10">
        <f t="shared" si="60"/>
        <v>2018</v>
      </c>
      <c r="C1970" s="10">
        <f t="shared" si="61"/>
        <v>10</v>
      </c>
      <c r="D1970" s="3">
        <v>43395</v>
      </c>
      <c r="E1970" s="1">
        <v>79.83</v>
      </c>
      <c r="F1970" s="1">
        <v>69.17</v>
      </c>
      <c r="G1970" s="1">
        <v>2.3180999999999998</v>
      </c>
      <c r="H1970" s="1">
        <v>1.9067000000000001</v>
      </c>
      <c r="I1970" s="1">
        <v>3.1379999999999999</v>
      </c>
      <c r="J1970" s="1">
        <v>3.6846000000000001</v>
      </c>
    </row>
    <row r="1971" spans="2:10" x14ac:dyDescent="0.3">
      <c r="B1971" s="10">
        <f t="shared" si="60"/>
        <v>2018</v>
      </c>
      <c r="C1971" s="10">
        <f t="shared" si="61"/>
        <v>10</v>
      </c>
      <c r="D1971" s="3">
        <v>43392</v>
      </c>
      <c r="E1971" s="1">
        <v>79.78</v>
      </c>
      <c r="F1971" s="1">
        <v>69.12</v>
      </c>
      <c r="G1971" s="1">
        <v>2.302</v>
      </c>
      <c r="H1971" s="1">
        <v>1.9138999999999999</v>
      </c>
      <c r="I1971" s="1">
        <v>3.25</v>
      </c>
      <c r="J1971" s="1">
        <v>3.714</v>
      </c>
    </row>
    <row r="1972" spans="2:10" x14ac:dyDescent="0.3">
      <c r="B1972" s="10">
        <f t="shared" si="60"/>
        <v>2018</v>
      </c>
      <c r="C1972" s="10">
        <f t="shared" si="61"/>
        <v>10</v>
      </c>
      <c r="D1972" s="3">
        <v>43391</v>
      </c>
      <c r="E1972" s="1">
        <v>79.290000000000006</v>
      </c>
      <c r="F1972" s="1">
        <v>68.650000000000006</v>
      </c>
      <c r="G1972" s="1">
        <v>2.2949000000000002</v>
      </c>
      <c r="H1972" s="1">
        <v>1.8911</v>
      </c>
      <c r="I1972" s="1">
        <v>3.198</v>
      </c>
      <c r="J1972" s="1">
        <v>3.7214</v>
      </c>
    </row>
    <row r="1973" spans="2:10" x14ac:dyDescent="0.3">
      <c r="B1973" s="10">
        <f t="shared" si="60"/>
        <v>2018</v>
      </c>
      <c r="C1973" s="10">
        <f t="shared" si="61"/>
        <v>10</v>
      </c>
      <c r="D1973" s="3">
        <v>43390</v>
      </c>
      <c r="E1973" s="1">
        <v>80.05</v>
      </c>
      <c r="F1973" s="1">
        <v>69.75</v>
      </c>
      <c r="G1973" s="1">
        <v>2.3111000000000002</v>
      </c>
      <c r="H1973" s="1">
        <v>1.9187000000000001</v>
      </c>
      <c r="I1973" s="1">
        <v>3.32</v>
      </c>
      <c r="J1973" s="1">
        <v>3.6873</v>
      </c>
    </row>
    <row r="1974" spans="2:10" x14ac:dyDescent="0.3">
      <c r="B1974" s="10">
        <f t="shared" si="60"/>
        <v>2018</v>
      </c>
      <c r="C1974" s="10">
        <f t="shared" si="61"/>
        <v>10</v>
      </c>
      <c r="D1974" s="3">
        <v>43389</v>
      </c>
      <c r="E1974" s="1">
        <v>81.41</v>
      </c>
      <c r="F1974" s="1">
        <v>71.92</v>
      </c>
      <c r="G1974" s="1">
        <v>2.3401999999999998</v>
      </c>
      <c r="H1974" s="1">
        <v>1.9773000000000001</v>
      </c>
      <c r="I1974" s="1">
        <v>3.2389999999999999</v>
      </c>
      <c r="J1974" s="1">
        <v>3.7244000000000002</v>
      </c>
    </row>
    <row r="1975" spans="2:10" x14ac:dyDescent="0.3">
      <c r="B1975" s="10">
        <f t="shared" si="60"/>
        <v>2018</v>
      </c>
      <c r="C1975" s="10">
        <f t="shared" si="61"/>
        <v>10</v>
      </c>
      <c r="D1975" s="3">
        <v>43388</v>
      </c>
      <c r="E1975" s="1">
        <v>80.78</v>
      </c>
      <c r="F1975" s="1">
        <v>71.78</v>
      </c>
      <c r="G1975" s="1">
        <v>2.3256999999999999</v>
      </c>
      <c r="H1975" s="1">
        <v>1.9442999999999999</v>
      </c>
      <c r="I1975" s="1">
        <v>3.242</v>
      </c>
      <c r="J1975" s="1">
        <v>3.7355</v>
      </c>
    </row>
    <row r="1976" spans="2:10" x14ac:dyDescent="0.3">
      <c r="B1976" s="10">
        <f t="shared" si="60"/>
        <v>2018</v>
      </c>
      <c r="C1976" s="10">
        <f t="shared" si="61"/>
        <v>10</v>
      </c>
      <c r="D1976" s="3">
        <v>43385</v>
      </c>
      <c r="E1976" s="1">
        <v>80.430000000000007</v>
      </c>
      <c r="F1976" s="1">
        <v>71.34</v>
      </c>
      <c r="G1976" s="1">
        <v>2.3212999999999999</v>
      </c>
      <c r="H1976" s="1">
        <v>1.9419999999999999</v>
      </c>
      <c r="I1976" s="1">
        <v>3.161</v>
      </c>
      <c r="J1976" s="1">
        <v>3.7825000000000002</v>
      </c>
    </row>
    <row r="1977" spans="2:10" x14ac:dyDescent="0.3">
      <c r="B1977" s="10">
        <f t="shared" si="60"/>
        <v>2018</v>
      </c>
      <c r="C1977" s="10">
        <f t="shared" si="61"/>
        <v>10</v>
      </c>
      <c r="D1977" s="3">
        <v>43384</v>
      </c>
      <c r="E1977" s="1">
        <v>80.260000000000005</v>
      </c>
      <c r="F1977" s="1">
        <v>70.97</v>
      </c>
      <c r="G1977" s="1">
        <v>2.3321999999999998</v>
      </c>
      <c r="H1977" s="1">
        <v>1.9327000000000001</v>
      </c>
      <c r="I1977" s="1">
        <v>3.222</v>
      </c>
      <c r="J1977" s="1">
        <v>3.7810000000000001</v>
      </c>
    </row>
    <row r="1978" spans="2:10" x14ac:dyDescent="0.3">
      <c r="B1978" s="10">
        <f t="shared" si="60"/>
        <v>2018</v>
      </c>
      <c r="C1978" s="10">
        <f t="shared" si="61"/>
        <v>10</v>
      </c>
      <c r="D1978" s="3">
        <v>43383</v>
      </c>
      <c r="E1978" s="1">
        <v>83.09</v>
      </c>
      <c r="F1978" s="1">
        <v>73.17</v>
      </c>
      <c r="G1978" s="1">
        <v>2.3948999999999998</v>
      </c>
      <c r="H1978" s="1">
        <v>2.0204</v>
      </c>
      <c r="I1978" s="1">
        <v>3.2839999999999998</v>
      </c>
      <c r="J1978" s="1">
        <v>3.7545000000000002</v>
      </c>
    </row>
    <row r="1979" spans="2:10" x14ac:dyDescent="0.3">
      <c r="B1979" s="10">
        <f t="shared" si="60"/>
        <v>2018</v>
      </c>
      <c r="C1979" s="10">
        <f t="shared" si="61"/>
        <v>10</v>
      </c>
      <c r="D1979" s="3">
        <v>43382</v>
      </c>
      <c r="E1979" s="1">
        <v>85</v>
      </c>
      <c r="F1979" s="1">
        <v>74.959999999999994</v>
      </c>
      <c r="G1979" s="1">
        <v>2.4238</v>
      </c>
      <c r="H1979" s="1">
        <v>2.0773999999999999</v>
      </c>
      <c r="I1979" s="1">
        <v>3.266</v>
      </c>
      <c r="J1979" s="1">
        <v>3.7153</v>
      </c>
    </row>
    <row r="1980" spans="2:10" x14ac:dyDescent="0.3">
      <c r="B1980" s="10">
        <f t="shared" si="60"/>
        <v>2018</v>
      </c>
      <c r="C1980" s="10">
        <f t="shared" si="61"/>
        <v>10</v>
      </c>
      <c r="D1980" s="3">
        <v>43381</v>
      </c>
      <c r="E1980" s="1">
        <v>83.91</v>
      </c>
      <c r="F1980" s="1">
        <v>74.290000000000006</v>
      </c>
      <c r="G1980" s="1">
        <v>2.3942000000000001</v>
      </c>
      <c r="H1980" s="1">
        <v>2.0937000000000001</v>
      </c>
      <c r="I1980" s="1">
        <v>3.2669999999999999</v>
      </c>
      <c r="J1980" s="1">
        <v>3.7786</v>
      </c>
    </row>
    <row r="1981" spans="2:10" x14ac:dyDescent="0.3">
      <c r="B1981" s="10">
        <f t="shared" si="60"/>
        <v>2018</v>
      </c>
      <c r="C1981" s="10">
        <f t="shared" si="61"/>
        <v>10</v>
      </c>
      <c r="D1981" s="3">
        <v>43378</v>
      </c>
      <c r="E1981" s="1">
        <v>84.16</v>
      </c>
      <c r="F1981" s="1">
        <v>74.34</v>
      </c>
      <c r="G1981" s="1">
        <v>2.3923000000000001</v>
      </c>
      <c r="H1981" s="1">
        <v>2.0861000000000001</v>
      </c>
      <c r="I1981" s="1">
        <v>3.1429999999999998</v>
      </c>
      <c r="J1981" s="1">
        <v>3.8405999999999998</v>
      </c>
    </row>
    <row r="1982" spans="2:10" x14ac:dyDescent="0.3">
      <c r="B1982" s="10">
        <f t="shared" si="60"/>
        <v>2018</v>
      </c>
      <c r="C1982" s="10">
        <f t="shared" si="61"/>
        <v>10</v>
      </c>
      <c r="D1982" s="3">
        <v>43377</v>
      </c>
      <c r="E1982" s="1">
        <v>84.58</v>
      </c>
      <c r="F1982" s="1">
        <v>74.33</v>
      </c>
      <c r="G1982" s="1">
        <v>2.3997000000000002</v>
      </c>
      <c r="H1982" s="1">
        <v>2.1004</v>
      </c>
      <c r="I1982" s="1">
        <v>3.165</v>
      </c>
      <c r="J1982" s="1">
        <v>3.8742999999999999</v>
      </c>
    </row>
    <row r="1983" spans="2:10" x14ac:dyDescent="0.3">
      <c r="B1983" s="10">
        <f t="shared" si="60"/>
        <v>2018</v>
      </c>
      <c r="C1983" s="10">
        <f t="shared" si="61"/>
        <v>10</v>
      </c>
      <c r="D1983" s="3">
        <v>43376</v>
      </c>
      <c r="E1983" s="1">
        <v>86.29</v>
      </c>
      <c r="F1983" s="1">
        <v>76.41</v>
      </c>
      <c r="G1983" s="1">
        <v>2.4371999999999998</v>
      </c>
      <c r="H1983" s="1">
        <v>2.1377999999999999</v>
      </c>
      <c r="I1983" s="1">
        <v>3.23</v>
      </c>
      <c r="J1983" s="1">
        <v>3.9007999999999998</v>
      </c>
    </row>
    <row r="1984" spans="2:10" x14ac:dyDescent="0.3">
      <c r="B1984" s="10">
        <f t="shared" si="60"/>
        <v>2018</v>
      </c>
      <c r="C1984" s="10">
        <f t="shared" si="61"/>
        <v>10</v>
      </c>
      <c r="D1984" s="3">
        <v>43375</v>
      </c>
      <c r="E1984" s="1">
        <v>84.8</v>
      </c>
      <c r="F1984" s="1">
        <v>75.23</v>
      </c>
      <c r="G1984" s="1">
        <v>2.4076</v>
      </c>
      <c r="H1984" s="1">
        <v>2.1269</v>
      </c>
      <c r="I1984" s="1">
        <v>3.1659999999999999</v>
      </c>
      <c r="J1984" s="1">
        <v>3.9403999999999999</v>
      </c>
    </row>
    <row r="1985" spans="2:10" x14ac:dyDescent="0.3">
      <c r="B1985" s="10">
        <f t="shared" si="60"/>
        <v>2018</v>
      </c>
      <c r="C1985" s="10">
        <f t="shared" si="61"/>
        <v>10</v>
      </c>
      <c r="D1985" s="3">
        <v>43374</v>
      </c>
      <c r="E1985" s="1">
        <v>84.98</v>
      </c>
      <c r="F1985" s="1">
        <v>75.3</v>
      </c>
      <c r="G1985" s="1">
        <v>2.4079000000000002</v>
      </c>
      <c r="H1985" s="1">
        <v>2.1274999999999999</v>
      </c>
      <c r="I1985" s="1">
        <v>3.0939999999999999</v>
      </c>
      <c r="J1985" s="1">
        <v>4.0175999999999998</v>
      </c>
    </row>
    <row r="1986" spans="2:10" x14ac:dyDescent="0.3">
      <c r="B1986" s="10">
        <f t="shared" si="60"/>
        <v>2018</v>
      </c>
      <c r="C1986" s="10">
        <f t="shared" si="61"/>
        <v>9</v>
      </c>
      <c r="D1986" s="3">
        <v>43371</v>
      </c>
      <c r="E1986" s="1">
        <v>82.72</v>
      </c>
      <c r="F1986" s="1">
        <v>73.25</v>
      </c>
      <c r="G1986" s="1">
        <v>2.3517999999999999</v>
      </c>
      <c r="H1986" s="1">
        <v>2.1012</v>
      </c>
      <c r="I1986" s="1">
        <v>3.008</v>
      </c>
      <c r="J1986" s="1">
        <v>4.0476999999999999</v>
      </c>
    </row>
    <row r="1987" spans="2:10" x14ac:dyDescent="0.3">
      <c r="B1987" s="10">
        <f t="shared" si="60"/>
        <v>2018</v>
      </c>
      <c r="C1987" s="10">
        <f t="shared" si="61"/>
        <v>9</v>
      </c>
      <c r="D1987" s="3">
        <v>43370</v>
      </c>
      <c r="E1987" s="1">
        <v>81.72</v>
      </c>
      <c r="F1987" s="1">
        <v>72.12</v>
      </c>
      <c r="G1987" s="1">
        <v>2.3231000000000002</v>
      </c>
      <c r="H1987" s="1">
        <v>2.0823999999999998</v>
      </c>
      <c r="I1987" s="1">
        <v>3.056</v>
      </c>
      <c r="J1987" s="1">
        <v>4.0119999999999996</v>
      </c>
    </row>
    <row r="1988" spans="2:10" x14ac:dyDescent="0.3">
      <c r="B1988" s="10">
        <f t="shared" si="60"/>
        <v>2018</v>
      </c>
      <c r="C1988" s="10">
        <f t="shared" si="61"/>
        <v>9</v>
      </c>
      <c r="D1988" s="3">
        <v>43369</v>
      </c>
      <c r="E1988" s="1">
        <v>81.34</v>
      </c>
      <c r="F1988" s="1">
        <v>71.569999999999993</v>
      </c>
      <c r="G1988" s="1">
        <v>2.2997999999999998</v>
      </c>
      <c r="H1988" s="1">
        <v>2.0585</v>
      </c>
      <c r="I1988" s="1">
        <v>3.0209999999999999</v>
      </c>
      <c r="J1988" s="1">
        <v>4.0309999999999997</v>
      </c>
    </row>
    <row r="1989" spans="2:10" x14ac:dyDescent="0.3">
      <c r="B1989" s="10">
        <f t="shared" si="60"/>
        <v>2018</v>
      </c>
      <c r="C1989" s="10">
        <f t="shared" si="61"/>
        <v>9</v>
      </c>
      <c r="D1989" s="3">
        <v>43368</v>
      </c>
      <c r="E1989" s="1">
        <v>81.87</v>
      </c>
      <c r="F1989" s="1">
        <v>72.28</v>
      </c>
      <c r="G1989" s="1">
        <v>2.3052999999999999</v>
      </c>
      <c r="H1989" s="1">
        <v>2.0676999999999999</v>
      </c>
      <c r="I1989" s="1">
        <v>3.0819999999999999</v>
      </c>
      <c r="J1989" s="1">
        <v>4.0750999999999999</v>
      </c>
    </row>
    <row r="1990" spans="2:10" x14ac:dyDescent="0.3">
      <c r="B1990" s="10">
        <f t="shared" ref="B1990:B2053" si="62">YEAR(D1990)</f>
        <v>2018</v>
      </c>
      <c r="C1990" s="10">
        <f t="shared" ref="C1990:C2053" si="63">MONTH(D1990)</f>
        <v>9</v>
      </c>
      <c r="D1990" s="3">
        <v>43367</v>
      </c>
      <c r="E1990" s="1">
        <v>81.2</v>
      </c>
      <c r="F1990" s="1">
        <v>72.08</v>
      </c>
      <c r="G1990" s="1">
        <v>2.2858999999999998</v>
      </c>
      <c r="H1990" s="1">
        <v>2.0547</v>
      </c>
      <c r="I1990" s="1">
        <v>3.0379999999999998</v>
      </c>
      <c r="J1990" s="1">
        <v>4.0914000000000001</v>
      </c>
    </row>
    <row r="1991" spans="2:10" x14ac:dyDescent="0.3">
      <c r="B1991" s="10">
        <f t="shared" si="62"/>
        <v>2018</v>
      </c>
      <c r="C1991" s="10">
        <f t="shared" si="63"/>
        <v>9</v>
      </c>
      <c r="D1991" s="3">
        <v>43364</v>
      </c>
      <c r="E1991" s="1">
        <v>78.8</v>
      </c>
      <c r="F1991" s="1">
        <v>70.78</v>
      </c>
      <c r="G1991" s="1">
        <v>2.226</v>
      </c>
      <c r="H1991" s="1">
        <v>2.0171000000000001</v>
      </c>
      <c r="I1991" s="1">
        <v>2.9769999999999999</v>
      </c>
      <c r="J1991" s="1">
        <v>4.0510999999999999</v>
      </c>
    </row>
    <row r="1992" spans="2:10" x14ac:dyDescent="0.3">
      <c r="B1992" s="10">
        <f t="shared" si="62"/>
        <v>2018</v>
      </c>
      <c r="C1992" s="10">
        <f t="shared" si="63"/>
        <v>9</v>
      </c>
      <c r="D1992" s="3">
        <v>43363</v>
      </c>
      <c r="E1992" s="1">
        <v>78.7</v>
      </c>
      <c r="F1992" s="1">
        <v>70.8</v>
      </c>
      <c r="G1992" s="1">
        <v>2.2280000000000002</v>
      </c>
      <c r="H1992" s="1">
        <v>2.0146000000000002</v>
      </c>
      <c r="I1992" s="1">
        <v>2.976</v>
      </c>
      <c r="J1992" s="1">
        <v>4.0766</v>
      </c>
    </row>
    <row r="1993" spans="2:10" x14ac:dyDescent="0.3">
      <c r="B1993" s="10">
        <f t="shared" si="62"/>
        <v>2018</v>
      </c>
      <c r="C1993" s="10">
        <f t="shared" si="63"/>
        <v>9</v>
      </c>
      <c r="D1993" s="3">
        <v>43362</v>
      </c>
      <c r="E1993" s="1">
        <v>79.400000000000006</v>
      </c>
      <c r="F1993" s="1">
        <v>71.12</v>
      </c>
      <c r="G1993" s="1">
        <v>2.2465999999999999</v>
      </c>
      <c r="H1993" s="1">
        <v>2.0207000000000002</v>
      </c>
      <c r="I1993" s="1">
        <v>2.9079999999999999</v>
      </c>
      <c r="J1993" s="1">
        <v>4.1304999999999996</v>
      </c>
    </row>
    <row r="1994" spans="2:10" x14ac:dyDescent="0.3">
      <c r="B1994" s="10">
        <f t="shared" si="62"/>
        <v>2018</v>
      </c>
      <c r="C1994" s="10">
        <f t="shared" si="63"/>
        <v>9</v>
      </c>
      <c r="D1994" s="3">
        <v>43361</v>
      </c>
      <c r="E1994" s="1">
        <v>79.03</v>
      </c>
      <c r="F1994" s="1">
        <v>69.849999999999994</v>
      </c>
      <c r="G1994" s="1">
        <v>2.2357</v>
      </c>
      <c r="H1994" s="1">
        <v>2.0049000000000001</v>
      </c>
      <c r="I1994" s="1">
        <v>2.9329999999999998</v>
      </c>
      <c r="J1994" s="1">
        <v>4.1596000000000002</v>
      </c>
    </row>
    <row r="1995" spans="2:10" x14ac:dyDescent="0.3">
      <c r="B1995" s="10">
        <f t="shared" si="62"/>
        <v>2018</v>
      </c>
      <c r="C1995" s="10">
        <f t="shared" si="63"/>
        <v>9</v>
      </c>
      <c r="D1995" s="3">
        <v>43360</v>
      </c>
      <c r="E1995" s="1">
        <v>78.05</v>
      </c>
      <c r="F1995" s="1">
        <v>68.91</v>
      </c>
      <c r="G1995" s="1">
        <v>2.2063999999999999</v>
      </c>
      <c r="H1995" s="1">
        <v>1.9767999999999999</v>
      </c>
      <c r="I1995" s="1">
        <v>2.8140000000000001</v>
      </c>
      <c r="J1995" s="1">
        <v>4.1315999999999997</v>
      </c>
    </row>
    <row r="1996" spans="2:10" x14ac:dyDescent="0.3">
      <c r="B1996" s="10">
        <f t="shared" si="62"/>
        <v>2018</v>
      </c>
      <c r="C1996" s="10">
        <f t="shared" si="63"/>
        <v>9</v>
      </c>
      <c r="D1996" s="3">
        <v>43357</v>
      </c>
      <c r="E1996" s="1">
        <v>78.09</v>
      </c>
      <c r="F1996" s="1">
        <v>68.989999999999995</v>
      </c>
      <c r="G1996" s="1">
        <v>2.2092000000000001</v>
      </c>
      <c r="H1996" s="1">
        <v>1.9702</v>
      </c>
      <c r="I1996" s="1">
        <v>2.7669999999999999</v>
      </c>
      <c r="J1996" s="1">
        <v>4.1738999999999997</v>
      </c>
    </row>
    <row r="1997" spans="2:10" x14ac:dyDescent="0.3">
      <c r="B1997" s="10">
        <f t="shared" si="62"/>
        <v>2018</v>
      </c>
      <c r="C1997" s="10">
        <f t="shared" si="63"/>
        <v>9</v>
      </c>
      <c r="D1997" s="3">
        <v>43356</v>
      </c>
      <c r="E1997" s="1">
        <v>78.180000000000007</v>
      </c>
      <c r="F1997" s="1">
        <v>68.59</v>
      </c>
      <c r="G1997" s="1">
        <v>2.2235</v>
      </c>
      <c r="H1997" s="1">
        <v>1.9928999999999999</v>
      </c>
      <c r="I1997" s="1">
        <v>2.8170000000000002</v>
      </c>
      <c r="J1997" s="1">
        <v>4.2066999999999997</v>
      </c>
    </row>
    <row r="1998" spans="2:10" x14ac:dyDescent="0.3">
      <c r="B1998" s="10">
        <f t="shared" si="62"/>
        <v>2018</v>
      </c>
      <c r="C1998" s="10">
        <f t="shared" si="63"/>
        <v>9</v>
      </c>
      <c r="D1998" s="3">
        <v>43355</v>
      </c>
      <c r="E1998" s="1">
        <v>79.739999999999995</v>
      </c>
      <c r="F1998" s="1">
        <v>70.37</v>
      </c>
      <c r="G1998" s="1">
        <v>2.2576999999999998</v>
      </c>
      <c r="H1998" s="1">
        <v>2.0348000000000002</v>
      </c>
      <c r="I1998" s="1">
        <v>2.8290000000000002</v>
      </c>
      <c r="J1998" s="1">
        <v>4.1569000000000003</v>
      </c>
    </row>
    <row r="1999" spans="2:10" x14ac:dyDescent="0.3">
      <c r="B1999" s="10">
        <f t="shared" si="62"/>
        <v>2018</v>
      </c>
      <c r="C1999" s="10">
        <f t="shared" si="63"/>
        <v>9</v>
      </c>
      <c r="D1999" s="3">
        <v>43354</v>
      </c>
      <c r="E1999" s="1">
        <v>79.06</v>
      </c>
      <c r="F1999" s="1">
        <v>69.25</v>
      </c>
      <c r="G1999" s="1">
        <v>2.2519999999999998</v>
      </c>
      <c r="H1999" s="1">
        <v>2.0142000000000002</v>
      </c>
      <c r="I1999" s="1">
        <v>2.8279999999999998</v>
      </c>
      <c r="J1999" s="1">
        <v>4.1527000000000003</v>
      </c>
    </row>
    <row r="2000" spans="2:10" x14ac:dyDescent="0.3">
      <c r="B2000" s="10">
        <f t="shared" si="62"/>
        <v>2018</v>
      </c>
      <c r="C2000" s="10">
        <f t="shared" si="63"/>
        <v>9</v>
      </c>
      <c r="D2000" s="3">
        <v>43353</v>
      </c>
      <c r="E2000" s="1">
        <v>77.37</v>
      </c>
      <c r="F2000" s="1">
        <v>67.540000000000006</v>
      </c>
      <c r="G2000" s="1">
        <v>2.2178</v>
      </c>
      <c r="H2000" s="1">
        <v>1.9592000000000001</v>
      </c>
      <c r="I2000" s="1">
        <v>2.8039999999999998</v>
      </c>
      <c r="J2000" s="1">
        <v>4.0854999999999997</v>
      </c>
    </row>
    <row r="2001" spans="2:10" x14ac:dyDescent="0.3">
      <c r="B2001" s="10">
        <f t="shared" si="62"/>
        <v>2018</v>
      </c>
      <c r="C2001" s="10">
        <f t="shared" si="63"/>
        <v>9</v>
      </c>
      <c r="D2001" s="3">
        <v>43350</v>
      </c>
      <c r="E2001" s="1">
        <v>76.83</v>
      </c>
      <c r="F2001" s="1">
        <v>67.75</v>
      </c>
      <c r="G2001" s="1">
        <v>2.2181999999999999</v>
      </c>
      <c r="H2001" s="1">
        <v>1.97</v>
      </c>
      <c r="I2001" s="1">
        <v>2.7759999999999998</v>
      </c>
      <c r="J2001" s="1">
        <v>4.0594000000000001</v>
      </c>
    </row>
    <row r="2002" spans="2:10" x14ac:dyDescent="0.3">
      <c r="B2002" s="10">
        <f t="shared" si="62"/>
        <v>2018</v>
      </c>
      <c r="C2002" s="10">
        <f t="shared" si="63"/>
        <v>9</v>
      </c>
      <c r="D2002" s="3">
        <v>43349</v>
      </c>
      <c r="E2002" s="1">
        <v>76.5</v>
      </c>
      <c r="F2002" s="1">
        <v>67.77</v>
      </c>
      <c r="G2002" s="1">
        <v>2.2090999999999998</v>
      </c>
      <c r="H2002" s="1">
        <v>1.9510000000000001</v>
      </c>
      <c r="I2002" s="1">
        <v>2.7719999999999998</v>
      </c>
      <c r="J2002" s="1">
        <v>4.0587</v>
      </c>
    </row>
    <row r="2003" spans="2:10" x14ac:dyDescent="0.3">
      <c r="B2003" s="10">
        <f t="shared" si="62"/>
        <v>2018</v>
      </c>
      <c r="C2003" s="10">
        <f t="shared" si="63"/>
        <v>9</v>
      </c>
      <c r="D2003" s="3">
        <v>43348</v>
      </c>
      <c r="E2003" s="1">
        <v>77.27</v>
      </c>
      <c r="F2003" s="1">
        <v>68.72</v>
      </c>
      <c r="G2003" s="1">
        <v>2.2345000000000002</v>
      </c>
      <c r="H2003" s="1">
        <v>1.9648000000000001</v>
      </c>
      <c r="I2003" s="1">
        <v>2.7949999999999999</v>
      </c>
      <c r="J2003" s="1">
        <v>4.1456999999999997</v>
      </c>
    </row>
    <row r="2004" spans="2:10" x14ac:dyDescent="0.3">
      <c r="B2004" s="10">
        <f t="shared" si="62"/>
        <v>2018</v>
      </c>
      <c r="C2004" s="10">
        <f t="shared" si="63"/>
        <v>9</v>
      </c>
      <c r="D2004" s="3">
        <v>43347</v>
      </c>
      <c r="E2004" s="1">
        <v>78.17</v>
      </c>
      <c r="F2004" s="1">
        <v>69.87</v>
      </c>
      <c r="G2004" s="1">
        <v>2.2547000000000001</v>
      </c>
      <c r="H2004" s="1">
        <v>1.9942</v>
      </c>
      <c r="I2004" s="1">
        <v>2.823</v>
      </c>
      <c r="J2004" s="1">
        <v>4.16</v>
      </c>
    </row>
    <row r="2005" spans="2:10" x14ac:dyDescent="0.3">
      <c r="B2005" s="10">
        <f t="shared" si="62"/>
        <v>2018</v>
      </c>
      <c r="C2005" s="10">
        <f t="shared" si="63"/>
        <v>9</v>
      </c>
      <c r="D2005" s="3">
        <v>43346</v>
      </c>
      <c r="E2005" s="1">
        <v>78.150000000000006</v>
      </c>
      <c r="J2005" s="1">
        <v>4.1578999999999997</v>
      </c>
    </row>
    <row r="2006" spans="2:10" x14ac:dyDescent="0.3">
      <c r="B2006" s="10">
        <f t="shared" si="62"/>
        <v>2018</v>
      </c>
      <c r="C2006" s="10">
        <f t="shared" si="63"/>
        <v>8</v>
      </c>
      <c r="D2006" s="3">
        <v>43343</v>
      </c>
      <c r="E2006" s="1">
        <v>77.42</v>
      </c>
      <c r="F2006" s="1">
        <v>69.8</v>
      </c>
      <c r="G2006" s="1">
        <v>2.2412999999999998</v>
      </c>
      <c r="H2006" s="1">
        <v>2.1436999999999999</v>
      </c>
      <c r="I2006" s="1">
        <v>2.9159999999999999</v>
      </c>
      <c r="J2006" s="1">
        <v>4.0545</v>
      </c>
    </row>
    <row r="2007" spans="2:10" x14ac:dyDescent="0.3">
      <c r="B2007" s="10">
        <f t="shared" si="62"/>
        <v>2018</v>
      </c>
      <c r="C2007" s="10">
        <f t="shared" si="63"/>
        <v>8</v>
      </c>
      <c r="D2007" s="3">
        <v>43342</v>
      </c>
      <c r="E2007" s="1">
        <v>77.77</v>
      </c>
      <c r="F2007" s="1">
        <v>70.25</v>
      </c>
      <c r="G2007" s="1">
        <v>2.2483</v>
      </c>
      <c r="H2007" s="1">
        <v>2.1435</v>
      </c>
      <c r="I2007" s="1">
        <v>2.8740000000000001</v>
      </c>
      <c r="J2007" s="1">
        <v>4.1493000000000002</v>
      </c>
    </row>
    <row r="2008" spans="2:10" x14ac:dyDescent="0.3">
      <c r="B2008" s="10">
        <f t="shared" si="62"/>
        <v>2018</v>
      </c>
      <c r="C2008" s="10">
        <f t="shared" si="63"/>
        <v>8</v>
      </c>
      <c r="D2008" s="3">
        <v>43341</v>
      </c>
      <c r="E2008" s="1">
        <v>77.14</v>
      </c>
      <c r="F2008" s="1">
        <v>69.510000000000005</v>
      </c>
      <c r="G2008" s="1">
        <v>2.2421000000000002</v>
      </c>
      <c r="H2008" s="1">
        <v>2.1059999999999999</v>
      </c>
      <c r="I2008" s="1">
        <v>2.895</v>
      </c>
      <c r="J2008" s="1">
        <v>4.1064999999999996</v>
      </c>
    </row>
    <row r="2009" spans="2:10" x14ac:dyDescent="0.3">
      <c r="B2009" s="10">
        <f t="shared" si="62"/>
        <v>2018</v>
      </c>
      <c r="C2009" s="10">
        <f t="shared" si="63"/>
        <v>8</v>
      </c>
      <c r="D2009" s="3">
        <v>43340</v>
      </c>
      <c r="E2009" s="1">
        <v>75.95</v>
      </c>
      <c r="F2009" s="1">
        <v>68.53</v>
      </c>
      <c r="G2009" s="1">
        <v>2.2113999999999998</v>
      </c>
      <c r="H2009" s="1">
        <v>2.0787</v>
      </c>
      <c r="I2009" s="1">
        <v>2.8519999999999999</v>
      </c>
      <c r="J2009" s="1">
        <v>4.1337000000000002</v>
      </c>
    </row>
    <row r="2010" spans="2:10" x14ac:dyDescent="0.3">
      <c r="B2010" s="10">
        <f t="shared" si="62"/>
        <v>2018</v>
      </c>
      <c r="C2010" s="10">
        <f t="shared" si="63"/>
        <v>8</v>
      </c>
      <c r="D2010" s="3">
        <v>43339</v>
      </c>
      <c r="E2010" s="1">
        <v>76.209999999999994</v>
      </c>
      <c r="F2010" s="1">
        <v>68.87</v>
      </c>
      <c r="G2010" s="1">
        <v>2.2149000000000001</v>
      </c>
      <c r="H2010" s="1">
        <v>2.0895999999999999</v>
      </c>
      <c r="I2010" s="1">
        <v>2.8759999999999999</v>
      </c>
      <c r="J2010" s="1">
        <v>4.0772000000000004</v>
      </c>
    </row>
    <row r="2011" spans="2:10" x14ac:dyDescent="0.3">
      <c r="B2011" s="10">
        <f t="shared" si="62"/>
        <v>2018</v>
      </c>
      <c r="C2011" s="10">
        <f t="shared" si="63"/>
        <v>8</v>
      </c>
      <c r="D2011" s="3">
        <v>43336</v>
      </c>
      <c r="E2011" s="1">
        <v>75.819999999999993</v>
      </c>
      <c r="F2011" s="1">
        <v>68.72</v>
      </c>
      <c r="G2011" s="1">
        <v>2.2021999999999999</v>
      </c>
      <c r="H2011" s="1">
        <v>2.0779000000000001</v>
      </c>
      <c r="I2011" s="1">
        <v>2.9169999999999998</v>
      </c>
      <c r="J2011" s="1">
        <v>4.1012000000000004</v>
      </c>
    </row>
    <row r="2012" spans="2:10" x14ac:dyDescent="0.3">
      <c r="B2012" s="10">
        <f t="shared" si="62"/>
        <v>2018</v>
      </c>
      <c r="C2012" s="10">
        <f t="shared" si="63"/>
        <v>8</v>
      </c>
      <c r="D2012" s="3">
        <v>43335</v>
      </c>
      <c r="E2012" s="1">
        <v>74.73</v>
      </c>
      <c r="F2012" s="1">
        <v>67.83</v>
      </c>
      <c r="G2012" s="1">
        <v>2.1753999999999998</v>
      </c>
      <c r="H2012" s="1">
        <v>2.0592000000000001</v>
      </c>
      <c r="I2012" s="1">
        <v>2.964</v>
      </c>
      <c r="J2012" s="1">
        <v>4.1144999999999996</v>
      </c>
    </row>
    <row r="2013" spans="2:10" x14ac:dyDescent="0.3">
      <c r="B2013" s="10">
        <f t="shared" si="62"/>
        <v>2018</v>
      </c>
      <c r="C2013" s="10">
        <f t="shared" si="63"/>
        <v>8</v>
      </c>
      <c r="D2013" s="3">
        <v>43334</v>
      </c>
      <c r="E2013" s="1">
        <v>74.78</v>
      </c>
      <c r="F2013" s="1">
        <v>67.86</v>
      </c>
      <c r="G2013" s="1">
        <v>2.1682999999999999</v>
      </c>
      <c r="H2013" s="1">
        <v>2.0680000000000001</v>
      </c>
      <c r="I2013" s="1">
        <v>2.956</v>
      </c>
      <c r="J2013" s="1">
        <v>4.0415000000000001</v>
      </c>
    </row>
    <row r="2014" spans="2:10" x14ac:dyDescent="0.3">
      <c r="B2014" s="10">
        <f t="shared" si="62"/>
        <v>2018</v>
      </c>
      <c r="C2014" s="10">
        <f t="shared" si="63"/>
        <v>8</v>
      </c>
      <c r="D2014" s="3">
        <v>43333</v>
      </c>
      <c r="E2014" s="1">
        <v>72.63</v>
      </c>
      <c r="F2014" s="1">
        <v>67.349999999999994</v>
      </c>
      <c r="G2014" s="1">
        <v>2.1236000000000002</v>
      </c>
      <c r="H2014" s="1">
        <v>2.0179</v>
      </c>
      <c r="I2014" s="1">
        <v>2.98</v>
      </c>
      <c r="J2014" s="1">
        <v>4.0467000000000004</v>
      </c>
    </row>
    <row r="2015" spans="2:10" x14ac:dyDescent="0.3">
      <c r="B2015" s="10">
        <f t="shared" si="62"/>
        <v>2018</v>
      </c>
      <c r="C2015" s="10">
        <f t="shared" si="63"/>
        <v>8</v>
      </c>
      <c r="D2015" s="3">
        <v>43332</v>
      </c>
      <c r="E2015" s="1">
        <v>72.209999999999994</v>
      </c>
      <c r="F2015" s="1">
        <v>66.430000000000007</v>
      </c>
      <c r="G2015" s="1">
        <v>2.1137999999999999</v>
      </c>
      <c r="H2015" s="1">
        <v>2.0150999999999999</v>
      </c>
      <c r="I2015" s="1">
        <v>2.9409999999999998</v>
      </c>
      <c r="J2015" s="1">
        <v>3.9691999999999998</v>
      </c>
    </row>
    <row r="2016" spans="2:10" x14ac:dyDescent="0.3">
      <c r="B2016" s="10">
        <f t="shared" si="62"/>
        <v>2018</v>
      </c>
      <c r="C2016" s="10">
        <f t="shared" si="63"/>
        <v>8</v>
      </c>
      <c r="D2016" s="3">
        <v>43329</v>
      </c>
      <c r="E2016" s="1">
        <v>71.83</v>
      </c>
      <c r="F2016" s="1">
        <v>65.91</v>
      </c>
      <c r="G2016" s="1">
        <v>2.0981999999999998</v>
      </c>
      <c r="H2016" s="1">
        <v>1.9809000000000001</v>
      </c>
      <c r="I2016" s="1">
        <v>2.9460000000000002</v>
      </c>
      <c r="J2016" s="1">
        <v>3.9108000000000001</v>
      </c>
    </row>
    <row r="2017" spans="2:10" x14ac:dyDescent="0.3">
      <c r="B2017" s="10">
        <f t="shared" si="62"/>
        <v>2018</v>
      </c>
      <c r="C2017" s="10">
        <f t="shared" si="63"/>
        <v>8</v>
      </c>
      <c r="D2017" s="3">
        <v>43328</v>
      </c>
      <c r="E2017" s="1">
        <v>71.430000000000007</v>
      </c>
      <c r="F2017" s="1">
        <v>65.459999999999994</v>
      </c>
      <c r="G2017" s="1">
        <v>2.0964</v>
      </c>
      <c r="H2017" s="1">
        <v>1.9874000000000001</v>
      </c>
      <c r="I2017" s="1">
        <v>2.9079999999999999</v>
      </c>
      <c r="J2017" s="1">
        <v>3.9058999999999999</v>
      </c>
    </row>
    <row r="2018" spans="2:10" x14ac:dyDescent="0.3">
      <c r="B2018" s="10">
        <f t="shared" si="62"/>
        <v>2018</v>
      </c>
      <c r="C2018" s="10">
        <f t="shared" si="63"/>
        <v>8</v>
      </c>
      <c r="D2018" s="3">
        <v>43327</v>
      </c>
      <c r="E2018" s="1">
        <v>70.760000000000005</v>
      </c>
      <c r="F2018" s="1">
        <v>65.010000000000005</v>
      </c>
      <c r="G2018" s="1">
        <v>2.0903999999999998</v>
      </c>
      <c r="H2018" s="1">
        <v>1.9974000000000001</v>
      </c>
      <c r="I2018" s="1">
        <v>2.94</v>
      </c>
      <c r="J2018" s="1">
        <v>3.9053</v>
      </c>
    </row>
    <row r="2019" spans="2:10" x14ac:dyDescent="0.3">
      <c r="B2019" s="10">
        <f t="shared" si="62"/>
        <v>2018</v>
      </c>
      <c r="C2019" s="10">
        <f t="shared" si="63"/>
        <v>8</v>
      </c>
      <c r="D2019" s="3">
        <v>43326</v>
      </c>
      <c r="E2019" s="1">
        <v>72.459999999999994</v>
      </c>
      <c r="F2019" s="1">
        <v>67.040000000000006</v>
      </c>
      <c r="G2019" s="1">
        <v>2.1286999999999998</v>
      </c>
      <c r="H2019" s="1">
        <v>2.0341</v>
      </c>
      <c r="I2019" s="1">
        <v>2.9590000000000001</v>
      </c>
      <c r="J2019" s="1">
        <v>3.8662999999999998</v>
      </c>
    </row>
    <row r="2020" spans="2:10" x14ac:dyDescent="0.3">
      <c r="B2020" s="10">
        <f t="shared" si="62"/>
        <v>2018</v>
      </c>
      <c r="C2020" s="10">
        <f t="shared" si="63"/>
        <v>8</v>
      </c>
      <c r="D2020" s="3">
        <v>43325</v>
      </c>
      <c r="E2020" s="1">
        <v>72.61</v>
      </c>
      <c r="F2020" s="1">
        <v>67.2</v>
      </c>
      <c r="G2020" s="1">
        <v>2.137</v>
      </c>
      <c r="H2020" s="1">
        <v>2.0146999999999999</v>
      </c>
      <c r="I2020" s="1">
        <v>2.93</v>
      </c>
      <c r="J2020" s="1">
        <v>3.8835999999999999</v>
      </c>
    </row>
    <row r="2021" spans="2:10" x14ac:dyDescent="0.3">
      <c r="B2021" s="10">
        <f t="shared" si="62"/>
        <v>2018</v>
      </c>
      <c r="C2021" s="10">
        <f t="shared" si="63"/>
        <v>8</v>
      </c>
      <c r="D2021" s="3">
        <v>43322</v>
      </c>
      <c r="E2021" s="1">
        <v>72.81</v>
      </c>
      <c r="F2021" s="1">
        <v>67.63</v>
      </c>
      <c r="G2021" s="1">
        <v>2.1396999999999999</v>
      </c>
      <c r="H2021" s="1">
        <v>2.0392000000000001</v>
      </c>
      <c r="I2021" s="1">
        <v>2.944</v>
      </c>
      <c r="J2021" s="1">
        <v>3.8584000000000001</v>
      </c>
    </row>
    <row r="2022" spans="2:10" x14ac:dyDescent="0.3">
      <c r="B2022" s="10">
        <f t="shared" si="62"/>
        <v>2018</v>
      </c>
      <c r="C2022" s="10">
        <f t="shared" si="63"/>
        <v>8</v>
      </c>
      <c r="D2022" s="3">
        <v>43321</v>
      </c>
      <c r="E2022" s="1">
        <v>72.069999999999993</v>
      </c>
      <c r="F2022" s="1">
        <v>66.81</v>
      </c>
      <c r="G2022" s="1">
        <v>2.1118999999999999</v>
      </c>
      <c r="H2022" s="1">
        <v>1.9999</v>
      </c>
      <c r="I2022" s="1">
        <v>2.9550000000000001</v>
      </c>
      <c r="J2022" s="1">
        <v>3.8007</v>
      </c>
    </row>
    <row r="2023" spans="2:10" x14ac:dyDescent="0.3">
      <c r="B2023" s="10">
        <f t="shared" si="62"/>
        <v>2018</v>
      </c>
      <c r="C2023" s="10">
        <f t="shared" si="63"/>
        <v>8</v>
      </c>
      <c r="D2023" s="3">
        <v>43320</v>
      </c>
      <c r="E2023" s="1">
        <v>72.28</v>
      </c>
      <c r="F2023" s="1">
        <v>66.94</v>
      </c>
      <c r="G2023" s="1">
        <v>2.1156999999999999</v>
      </c>
      <c r="H2023" s="1">
        <v>2.0194999999999999</v>
      </c>
      <c r="I2023" s="1">
        <v>2.9489999999999998</v>
      </c>
      <c r="J2023" s="1">
        <v>3.7713000000000001</v>
      </c>
    </row>
    <row r="2024" spans="2:10" x14ac:dyDescent="0.3">
      <c r="B2024" s="10">
        <f t="shared" si="62"/>
        <v>2018</v>
      </c>
      <c r="C2024" s="10">
        <f t="shared" si="63"/>
        <v>8</v>
      </c>
      <c r="D2024" s="3">
        <v>43319</v>
      </c>
      <c r="E2024" s="1">
        <v>74.650000000000006</v>
      </c>
      <c r="F2024" s="1">
        <v>69.17</v>
      </c>
      <c r="G2024" s="1">
        <v>2.1690999999999998</v>
      </c>
      <c r="H2024" s="1">
        <v>2.1040000000000001</v>
      </c>
      <c r="I2024" s="1">
        <v>2.8969999999999998</v>
      </c>
      <c r="J2024" s="1">
        <v>3.7505000000000002</v>
      </c>
    </row>
    <row r="2025" spans="2:10" x14ac:dyDescent="0.3">
      <c r="B2025" s="10">
        <f t="shared" si="62"/>
        <v>2018</v>
      </c>
      <c r="C2025" s="10">
        <f t="shared" si="63"/>
        <v>8</v>
      </c>
      <c r="D2025" s="3">
        <v>43318</v>
      </c>
      <c r="E2025" s="1">
        <v>73.75</v>
      </c>
      <c r="F2025" s="1">
        <v>69.010000000000005</v>
      </c>
      <c r="G2025" s="1">
        <v>2.1393</v>
      </c>
      <c r="H2025" s="1">
        <v>2.0651000000000002</v>
      </c>
      <c r="I2025" s="1">
        <v>2.86</v>
      </c>
      <c r="J2025" s="1">
        <v>3.7355999999999998</v>
      </c>
    </row>
    <row r="2026" spans="2:10" x14ac:dyDescent="0.3">
      <c r="B2026" s="10">
        <f t="shared" si="62"/>
        <v>2018</v>
      </c>
      <c r="C2026" s="10">
        <f t="shared" si="63"/>
        <v>8</v>
      </c>
      <c r="D2026" s="3">
        <v>43315</v>
      </c>
      <c r="E2026" s="1">
        <v>73.209999999999994</v>
      </c>
      <c r="F2026" s="1">
        <v>68.489999999999995</v>
      </c>
      <c r="G2026" s="1">
        <v>2.1269</v>
      </c>
      <c r="H2026" s="1">
        <v>2.0655000000000001</v>
      </c>
      <c r="I2026" s="1">
        <v>2.8530000000000002</v>
      </c>
      <c r="J2026" s="1">
        <v>3.7069999999999999</v>
      </c>
    </row>
    <row r="2027" spans="2:10" x14ac:dyDescent="0.3">
      <c r="B2027" s="10">
        <f t="shared" si="62"/>
        <v>2018</v>
      </c>
      <c r="C2027" s="10">
        <f t="shared" si="63"/>
        <v>8</v>
      </c>
      <c r="D2027" s="3">
        <v>43314</v>
      </c>
      <c r="E2027" s="1">
        <v>73.45</v>
      </c>
      <c r="F2027" s="1">
        <v>68.959999999999994</v>
      </c>
      <c r="G2027" s="1">
        <v>2.1318000000000001</v>
      </c>
      <c r="H2027" s="1">
        <v>2.0680999999999998</v>
      </c>
      <c r="I2027" s="1">
        <v>2.8159999999999998</v>
      </c>
      <c r="J2027" s="1">
        <v>3.7496</v>
      </c>
    </row>
    <row r="2028" spans="2:10" x14ac:dyDescent="0.3">
      <c r="B2028" s="10">
        <f t="shared" si="62"/>
        <v>2018</v>
      </c>
      <c r="C2028" s="10">
        <f t="shared" si="63"/>
        <v>8</v>
      </c>
      <c r="D2028" s="3">
        <v>43313</v>
      </c>
      <c r="E2028" s="1">
        <v>72.39</v>
      </c>
      <c r="F2028" s="1">
        <v>67.66</v>
      </c>
      <c r="G2028" s="1">
        <v>2.0973999999999999</v>
      </c>
      <c r="H2028" s="1">
        <v>2.0451000000000001</v>
      </c>
      <c r="I2028" s="1">
        <v>2.758</v>
      </c>
      <c r="J2028" s="1">
        <v>3.7492000000000001</v>
      </c>
    </row>
    <row r="2029" spans="2:10" x14ac:dyDescent="0.3">
      <c r="B2029" s="10">
        <f t="shared" si="62"/>
        <v>2018</v>
      </c>
      <c r="C2029" s="10">
        <f t="shared" si="63"/>
        <v>7</v>
      </c>
      <c r="D2029" s="3">
        <v>43312</v>
      </c>
      <c r="E2029" s="1">
        <v>74.25</v>
      </c>
      <c r="F2029" s="1">
        <v>68.760000000000005</v>
      </c>
      <c r="G2029" s="1">
        <v>2.1318999999999999</v>
      </c>
      <c r="H2029" s="1">
        <v>2.1291000000000002</v>
      </c>
      <c r="I2029" s="1">
        <v>2.782</v>
      </c>
      <c r="J2029" s="1">
        <v>3.7557</v>
      </c>
    </row>
    <row r="2030" spans="2:10" x14ac:dyDescent="0.3">
      <c r="B2030" s="10">
        <f t="shared" si="62"/>
        <v>2018</v>
      </c>
      <c r="C2030" s="10">
        <f t="shared" si="63"/>
        <v>7</v>
      </c>
      <c r="D2030" s="3">
        <v>43311</v>
      </c>
      <c r="E2030" s="1">
        <v>74.97</v>
      </c>
      <c r="F2030" s="1">
        <v>70.13</v>
      </c>
      <c r="G2030" s="1">
        <v>2.1709999999999998</v>
      </c>
      <c r="H2030" s="1">
        <v>2.1602999999999999</v>
      </c>
      <c r="I2030" s="1">
        <v>2.7970000000000002</v>
      </c>
      <c r="J2030" s="1">
        <v>3.7303999999999999</v>
      </c>
    </row>
    <row r="2031" spans="2:10" x14ac:dyDescent="0.3">
      <c r="B2031" s="10">
        <f t="shared" si="62"/>
        <v>2018</v>
      </c>
      <c r="C2031" s="10">
        <f t="shared" si="63"/>
        <v>7</v>
      </c>
      <c r="D2031" s="3">
        <v>43308</v>
      </c>
      <c r="E2031" s="1">
        <v>74.290000000000006</v>
      </c>
      <c r="F2031" s="1">
        <v>68.69</v>
      </c>
      <c r="G2031" s="1">
        <v>2.1551999999999998</v>
      </c>
      <c r="H2031" s="1">
        <v>2.1619000000000002</v>
      </c>
      <c r="I2031" s="1">
        <v>2.8220000000000001</v>
      </c>
      <c r="J2031" s="1">
        <v>3.7099000000000002</v>
      </c>
    </row>
    <row r="2032" spans="2:10" x14ac:dyDescent="0.3">
      <c r="B2032" s="10">
        <f t="shared" si="62"/>
        <v>2018</v>
      </c>
      <c r="C2032" s="10">
        <f t="shared" si="63"/>
        <v>7</v>
      </c>
      <c r="D2032" s="3">
        <v>43307</v>
      </c>
      <c r="E2032" s="1">
        <v>74.540000000000006</v>
      </c>
      <c r="F2032" s="1">
        <v>69.61</v>
      </c>
      <c r="G2032" s="1">
        <v>2.1768999999999998</v>
      </c>
      <c r="H2032" s="1">
        <v>2.1623000000000001</v>
      </c>
      <c r="I2032" s="1">
        <v>2.78</v>
      </c>
      <c r="J2032" s="1">
        <v>3.7454000000000001</v>
      </c>
    </row>
    <row r="2033" spans="2:10" x14ac:dyDescent="0.3">
      <c r="B2033" s="10">
        <f t="shared" si="62"/>
        <v>2018</v>
      </c>
      <c r="C2033" s="10">
        <f t="shared" si="63"/>
        <v>7</v>
      </c>
      <c r="D2033" s="3">
        <v>43306</v>
      </c>
      <c r="E2033" s="1">
        <v>73.930000000000007</v>
      </c>
      <c r="F2033" s="1">
        <v>69.3</v>
      </c>
      <c r="G2033" s="1">
        <v>2.1511999999999998</v>
      </c>
      <c r="H2033" s="1">
        <v>2.1231</v>
      </c>
      <c r="I2033" s="1">
        <v>2.7749999999999999</v>
      </c>
      <c r="J2033" s="1">
        <v>3.6877</v>
      </c>
    </row>
    <row r="2034" spans="2:10" x14ac:dyDescent="0.3">
      <c r="B2034" s="10">
        <f t="shared" si="62"/>
        <v>2018</v>
      </c>
      <c r="C2034" s="10">
        <f t="shared" si="63"/>
        <v>7</v>
      </c>
      <c r="D2034" s="3">
        <v>43305</v>
      </c>
      <c r="E2034" s="1">
        <v>73.44</v>
      </c>
      <c r="F2034" s="1">
        <v>68.52</v>
      </c>
      <c r="G2034" s="1">
        <v>2.1326000000000001</v>
      </c>
      <c r="H2034" s="1">
        <v>2.0956000000000001</v>
      </c>
      <c r="I2034" s="1">
        <v>2.7320000000000002</v>
      </c>
      <c r="J2034" s="1">
        <v>3.7471000000000001</v>
      </c>
    </row>
    <row r="2035" spans="2:10" x14ac:dyDescent="0.3">
      <c r="B2035" s="10">
        <f t="shared" si="62"/>
        <v>2018</v>
      </c>
      <c r="C2035" s="10">
        <f t="shared" si="63"/>
        <v>7</v>
      </c>
      <c r="D2035" s="3">
        <v>43304</v>
      </c>
      <c r="E2035" s="1">
        <v>73.06</v>
      </c>
      <c r="F2035" s="1">
        <v>67.89</v>
      </c>
      <c r="G2035" s="1">
        <v>2.1179999999999999</v>
      </c>
      <c r="H2035" s="1">
        <v>2.0914000000000001</v>
      </c>
      <c r="I2035" s="1">
        <v>2.7210000000000001</v>
      </c>
      <c r="J2035" s="1">
        <v>3.7823000000000002</v>
      </c>
    </row>
    <row r="2036" spans="2:10" x14ac:dyDescent="0.3">
      <c r="B2036" s="10">
        <f t="shared" si="62"/>
        <v>2018</v>
      </c>
      <c r="C2036" s="10">
        <f t="shared" si="63"/>
        <v>7</v>
      </c>
      <c r="D2036" s="3">
        <v>43301</v>
      </c>
      <c r="E2036" s="1">
        <v>73.069999999999993</v>
      </c>
      <c r="F2036" s="1">
        <v>70.459999999999994</v>
      </c>
      <c r="G2036" s="1">
        <v>2.1044</v>
      </c>
      <c r="H2036" s="1">
        <v>2.069</v>
      </c>
      <c r="I2036" s="1">
        <v>2.7570000000000001</v>
      </c>
      <c r="J2036" s="1">
        <v>3.7671000000000001</v>
      </c>
    </row>
    <row r="2037" spans="2:10" x14ac:dyDescent="0.3">
      <c r="B2037" s="10">
        <f t="shared" si="62"/>
        <v>2018</v>
      </c>
      <c r="C2037" s="10">
        <f t="shared" si="63"/>
        <v>7</v>
      </c>
      <c r="D2037" s="3">
        <v>43300</v>
      </c>
      <c r="E2037" s="1">
        <v>72.58</v>
      </c>
      <c r="F2037" s="1">
        <v>69.459999999999994</v>
      </c>
      <c r="G2037" s="1">
        <v>2.0901000000000001</v>
      </c>
      <c r="H2037" s="1">
        <v>2.0434999999999999</v>
      </c>
      <c r="I2037" s="1">
        <v>2.7690000000000001</v>
      </c>
      <c r="J2037" s="1">
        <v>3.8290000000000002</v>
      </c>
    </row>
    <row r="2038" spans="2:10" x14ac:dyDescent="0.3">
      <c r="B2038" s="10">
        <f t="shared" si="62"/>
        <v>2018</v>
      </c>
      <c r="C2038" s="10">
        <f t="shared" si="63"/>
        <v>7</v>
      </c>
      <c r="D2038" s="3">
        <v>43299</v>
      </c>
      <c r="E2038" s="1">
        <v>72.900000000000006</v>
      </c>
      <c r="F2038" s="1">
        <v>68.760000000000005</v>
      </c>
      <c r="G2038" s="1">
        <v>2.0903</v>
      </c>
      <c r="H2038" s="1">
        <v>2.0444</v>
      </c>
      <c r="I2038" s="1">
        <v>2.7210000000000001</v>
      </c>
      <c r="J2038" s="1">
        <v>3.8509000000000002</v>
      </c>
    </row>
    <row r="2039" spans="2:10" x14ac:dyDescent="0.3">
      <c r="B2039" s="10">
        <f t="shared" si="62"/>
        <v>2018</v>
      </c>
      <c r="C2039" s="10">
        <f t="shared" si="63"/>
        <v>7</v>
      </c>
      <c r="D2039" s="3">
        <v>43298</v>
      </c>
      <c r="E2039" s="1">
        <v>72.16</v>
      </c>
      <c r="F2039" s="1">
        <v>68.08</v>
      </c>
      <c r="G2039" s="1">
        <v>2.0701000000000001</v>
      </c>
      <c r="H2039" s="1">
        <v>2.0261</v>
      </c>
      <c r="I2039" s="1">
        <v>2.74</v>
      </c>
      <c r="J2039" s="1">
        <v>3.8374999999999999</v>
      </c>
    </row>
    <row r="2040" spans="2:10" x14ac:dyDescent="0.3">
      <c r="B2040" s="10">
        <f t="shared" si="62"/>
        <v>2018</v>
      </c>
      <c r="C2040" s="10">
        <f t="shared" si="63"/>
        <v>7</v>
      </c>
      <c r="D2040" s="3">
        <v>43297</v>
      </c>
      <c r="E2040" s="1">
        <v>71.84</v>
      </c>
      <c r="F2040" s="1">
        <v>68.06</v>
      </c>
      <c r="G2040" s="1">
        <v>2.0543</v>
      </c>
      <c r="H2040" s="1">
        <v>2.0022000000000002</v>
      </c>
      <c r="I2040" s="1">
        <v>2.7589999999999999</v>
      </c>
      <c r="J2040" s="1">
        <v>3.8597000000000001</v>
      </c>
    </row>
    <row r="2041" spans="2:10" x14ac:dyDescent="0.3">
      <c r="B2041" s="10">
        <f t="shared" si="62"/>
        <v>2018</v>
      </c>
      <c r="C2041" s="10">
        <f t="shared" si="63"/>
        <v>7</v>
      </c>
      <c r="D2041" s="3">
        <v>43294</v>
      </c>
      <c r="E2041" s="1">
        <v>75.33</v>
      </c>
      <c r="F2041" s="1">
        <v>71.010000000000005</v>
      </c>
      <c r="G2041" s="1">
        <v>2.1334</v>
      </c>
      <c r="H2041" s="1">
        <v>2.1067</v>
      </c>
      <c r="I2041" s="1">
        <v>2.7519999999999998</v>
      </c>
      <c r="J2041" s="1">
        <v>3.8513999999999999</v>
      </c>
    </row>
    <row r="2042" spans="2:10" x14ac:dyDescent="0.3">
      <c r="B2042" s="10">
        <f t="shared" si="62"/>
        <v>2018</v>
      </c>
      <c r="C2042" s="10">
        <f t="shared" si="63"/>
        <v>7</v>
      </c>
      <c r="D2042" s="3">
        <v>43293</v>
      </c>
      <c r="E2042" s="1">
        <v>74.45</v>
      </c>
      <c r="F2042" s="1">
        <v>70.33</v>
      </c>
      <c r="G2042" s="1">
        <v>2.1231</v>
      </c>
      <c r="H2042" s="1">
        <v>2.0716999999999999</v>
      </c>
      <c r="I2042" s="1">
        <v>2.7970000000000002</v>
      </c>
      <c r="J2042" s="1">
        <v>3.8809</v>
      </c>
    </row>
    <row r="2043" spans="2:10" x14ac:dyDescent="0.3">
      <c r="B2043" s="10">
        <f t="shared" si="62"/>
        <v>2018</v>
      </c>
      <c r="C2043" s="10">
        <f t="shared" si="63"/>
        <v>7</v>
      </c>
      <c r="D2043" s="3">
        <v>43292</v>
      </c>
      <c r="E2043" s="1">
        <v>73.400000000000006</v>
      </c>
      <c r="F2043" s="1">
        <v>70.38</v>
      </c>
      <c r="G2043" s="1">
        <v>2.1008</v>
      </c>
      <c r="H2043" s="1">
        <v>2.0613999999999999</v>
      </c>
      <c r="I2043" s="1">
        <v>2.8290000000000002</v>
      </c>
      <c r="J2043" s="1">
        <v>3.8763999999999998</v>
      </c>
    </row>
    <row r="2044" spans="2:10" x14ac:dyDescent="0.3">
      <c r="B2044" s="10">
        <f t="shared" si="62"/>
        <v>2018</v>
      </c>
      <c r="C2044" s="10">
        <f t="shared" si="63"/>
        <v>7</v>
      </c>
      <c r="D2044" s="3">
        <v>43291</v>
      </c>
      <c r="E2044" s="1">
        <v>78.86</v>
      </c>
      <c r="F2044" s="1">
        <v>74.11</v>
      </c>
      <c r="G2044" s="1">
        <v>2.2218</v>
      </c>
      <c r="H2044" s="1">
        <v>2.1602999999999999</v>
      </c>
      <c r="I2044" s="1">
        <v>2.7879999999999998</v>
      </c>
      <c r="J2044" s="1">
        <v>3.8142999999999998</v>
      </c>
    </row>
    <row r="2045" spans="2:10" x14ac:dyDescent="0.3">
      <c r="B2045" s="10">
        <f t="shared" si="62"/>
        <v>2018</v>
      </c>
      <c r="C2045" s="10">
        <f t="shared" si="63"/>
        <v>7</v>
      </c>
      <c r="D2045" s="3">
        <v>43290</v>
      </c>
      <c r="E2045" s="1">
        <v>78.069999999999993</v>
      </c>
      <c r="F2045" s="1">
        <v>73.849999999999994</v>
      </c>
      <c r="G2045" s="1">
        <v>2.1957</v>
      </c>
      <c r="H2045" s="1">
        <v>2.1484999999999999</v>
      </c>
      <c r="I2045" s="1">
        <v>2.8279999999999998</v>
      </c>
      <c r="J2045" s="1">
        <v>3.8714</v>
      </c>
    </row>
    <row r="2046" spans="2:10" x14ac:dyDescent="0.3">
      <c r="B2046" s="10">
        <f t="shared" si="62"/>
        <v>2018</v>
      </c>
      <c r="C2046" s="10">
        <f t="shared" si="63"/>
        <v>7</v>
      </c>
      <c r="D2046" s="3">
        <v>43287</v>
      </c>
      <c r="E2046" s="1">
        <v>77.11</v>
      </c>
      <c r="F2046" s="1">
        <v>73.8</v>
      </c>
      <c r="G2046" s="1">
        <v>2.1684000000000001</v>
      </c>
      <c r="H2046" s="1">
        <v>2.1084999999999998</v>
      </c>
      <c r="I2046" s="1">
        <v>2.8580000000000001</v>
      </c>
      <c r="J2046" s="1">
        <v>3.8624000000000001</v>
      </c>
    </row>
    <row r="2047" spans="2:10" x14ac:dyDescent="0.3">
      <c r="B2047" s="10">
        <f t="shared" si="62"/>
        <v>2018</v>
      </c>
      <c r="C2047" s="10">
        <f t="shared" si="63"/>
        <v>7</v>
      </c>
      <c r="D2047" s="3">
        <v>43286</v>
      </c>
      <c r="E2047" s="1">
        <v>77.39</v>
      </c>
      <c r="F2047" s="1">
        <v>72.94</v>
      </c>
      <c r="G2047" s="1">
        <v>2.1787000000000001</v>
      </c>
      <c r="H2047" s="1">
        <v>2.1293000000000002</v>
      </c>
      <c r="I2047" s="1">
        <v>2.8370000000000002</v>
      </c>
      <c r="J2047" s="1">
        <v>3.9323999999999999</v>
      </c>
    </row>
    <row r="2048" spans="2:10" x14ac:dyDescent="0.3">
      <c r="B2048" s="10">
        <f t="shared" si="62"/>
        <v>2018</v>
      </c>
      <c r="C2048" s="10">
        <f t="shared" si="63"/>
        <v>7</v>
      </c>
      <c r="D2048" s="3">
        <v>43285</v>
      </c>
      <c r="E2048" s="1">
        <v>78.239999999999995</v>
      </c>
      <c r="J2048" s="1">
        <v>3.9135</v>
      </c>
    </row>
    <row r="2049" spans="2:10" x14ac:dyDescent="0.3">
      <c r="B2049" s="10">
        <f t="shared" si="62"/>
        <v>2018</v>
      </c>
      <c r="C2049" s="10">
        <f t="shared" si="63"/>
        <v>7</v>
      </c>
      <c r="D2049" s="3">
        <v>43284</v>
      </c>
      <c r="E2049" s="1">
        <v>77.760000000000005</v>
      </c>
      <c r="F2049" s="1">
        <v>74.14</v>
      </c>
      <c r="G2049" s="1">
        <v>2.1642000000000001</v>
      </c>
      <c r="H2049" s="1">
        <v>2.1175999999999999</v>
      </c>
      <c r="I2049" s="1">
        <v>2.87</v>
      </c>
      <c r="J2049" s="1">
        <v>3.8965999999999998</v>
      </c>
    </row>
    <row r="2050" spans="2:10" x14ac:dyDescent="0.3">
      <c r="B2050" s="10">
        <f t="shared" si="62"/>
        <v>2018</v>
      </c>
      <c r="C2050" s="10">
        <f t="shared" si="63"/>
        <v>7</v>
      </c>
      <c r="D2050" s="3">
        <v>43283</v>
      </c>
      <c r="E2050" s="1">
        <v>77.3</v>
      </c>
      <c r="F2050" s="1">
        <v>73.94</v>
      </c>
      <c r="G2050" s="1">
        <v>2.1558000000000002</v>
      </c>
      <c r="H2050" s="1">
        <v>2.1048</v>
      </c>
      <c r="I2050" s="1">
        <v>2.8620000000000001</v>
      </c>
      <c r="J2050" s="1">
        <v>3.9117000000000002</v>
      </c>
    </row>
    <row r="2051" spans="2:10" x14ac:dyDescent="0.3">
      <c r="B2051" s="10">
        <f t="shared" si="62"/>
        <v>2018</v>
      </c>
      <c r="C2051" s="10">
        <f t="shared" si="63"/>
        <v>6</v>
      </c>
      <c r="D2051" s="3">
        <v>43280</v>
      </c>
      <c r="E2051" s="1">
        <v>79.44</v>
      </c>
      <c r="F2051" s="1">
        <v>74.150000000000006</v>
      </c>
      <c r="G2051" s="1">
        <v>2.2092999999999998</v>
      </c>
      <c r="H2051" s="1">
        <v>2.1791</v>
      </c>
      <c r="I2051" s="1">
        <v>2.9239999999999999</v>
      </c>
      <c r="J2051" s="1">
        <v>3.8765000000000001</v>
      </c>
    </row>
    <row r="2052" spans="2:10" x14ac:dyDescent="0.3">
      <c r="B2052" s="10">
        <f t="shared" si="62"/>
        <v>2018</v>
      </c>
      <c r="C2052" s="10">
        <f t="shared" si="63"/>
        <v>6</v>
      </c>
      <c r="D2052" s="3">
        <v>43279</v>
      </c>
      <c r="E2052" s="1">
        <v>77.849999999999994</v>
      </c>
      <c r="F2052" s="1">
        <v>73.45</v>
      </c>
      <c r="G2052" s="1">
        <v>2.1781999999999999</v>
      </c>
      <c r="H2052" s="1">
        <v>2.1328999999999998</v>
      </c>
      <c r="I2052" s="1">
        <v>2.94</v>
      </c>
      <c r="J2052" s="1">
        <v>3.8612000000000002</v>
      </c>
    </row>
    <row r="2053" spans="2:10" x14ac:dyDescent="0.3">
      <c r="B2053" s="10">
        <f t="shared" si="62"/>
        <v>2018</v>
      </c>
      <c r="C2053" s="10">
        <f t="shared" si="63"/>
        <v>6</v>
      </c>
      <c r="D2053" s="3">
        <v>43278</v>
      </c>
      <c r="E2053" s="1">
        <v>77.62</v>
      </c>
      <c r="F2053" s="1">
        <v>72.760000000000005</v>
      </c>
      <c r="G2053" s="1">
        <v>2.1772</v>
      </c>
      <c r="H2053" s="1">
        <v>2.1335999999999999</v>
      </c>
      <c r="I2053" s="1">
        <v>2.996</v>
      </c>
      <c r="J2053" s="1">
        <v>3.8624999999999998</v>
      </c>
    </row>
    <row r="2054" spans="2:10" x14ac:dyDescent="0.3">
      <c r="B2054" s="10">
        <f t="shared" ref="B2054:B2117" si="64">YEAR(D2054)</f>
        <v>2018</v>
      </c>
      <c r="C2054" s="10">
        <f t="shared" ref="C2054:C2117" si="65">MONTH(D2054)</f>
        <v>6</v>
      </c>
      <c r="D2054" s="3">
        <v>43277</v>
      </c>
      <c r="E2054" s="1">
        <v>76.31</v>
      </c>
      <c r="F2054" s="1">
        <v>70.53</v>
      </c>
      <c r="G2054" s="1">
        <v>2.129</v>
      </c>
      <c r="H2054" s="1">
        <v>2.0746000000000002</v>
      </c>
      <c r="I2054" s="1">
        <v>2.9390000000000001</v>
      </c>
      <c r="J2054" s="1">
        <v>3.8010999999999999</v>
      </c>
    </row>
    <row r="2055" spans="2:10" x14ac:dyDescent="0.3">
      <c r="B2055" s="10">
        <f t="shared" si="64"/>
        <v>2018</v>
      </c>
      <c r="C2055" s="10">
        <f t="shared" si="65"/>
        <v>6</v>
      </c>
      <c r="D2055" s="3">
        <v>43276</v>
      </c>
      <c r="E2055" s="1">
        <v>74.73</v>
      </c>
      <c r="F2055" s="1">
        <v>68.08</v>
      </c>
      <c r="G2055" s="1">
        <v>2.1004</v>
      </c>
      <c r="H2055" s="1">
        <v>2.0514999999999999</v>
      </c>
      <c r="I2055" s="1">
        <v>2.923</v>
      </c>
      <c r="J2055" s="1">
        <v>3.7753000000000001</v>
      </c>
    </row>
    <row r="2056" spans="2:10" x14ac:dyDescent="0.3">
      <c r="B2056" s="10">
        <f t="shared" si="64"/>
        <v>2018</v>
      </c>
      <c r="C2056" s="10">
        <f t="shared" si="65"/>
        <v>6</v>
      </c>
      <c r="D2056" s="3">
        <v>43273</v>
      </c>
      <c r="E2056" s="1">
        <v>75.55</v>
      </c>
      <c r="F2056" s="1">
        <v>68.58</v>
      </c>
      <c r="G2056" s="1">
        <v>2.1254</v>
      </c>
      <c r="H2056" s="1">
        <v>2.0705</v>
      </c>
      <c r="I2056" s="1">
        <v>2.9449999999999998</v>
      </c>
      <c r="J2056" s="1">
        <v>3.7852000000000001</v>
      </c>
    </row>
    <row r="2057" spans="2:10" x14ac:dyDescent="0.3">
      <c r="B2057" s="10">
        <f t="shared" si="64"/>
        <v>2018</v>
      </c>
      <c r="C2057" s="10">
        <f t="shared" si="65"/>
        <v>6</v>
      </c>
      <c r="D2057" s="3">
        <v>43272</v>
      </c>
      <c r="E2057" s="1">
        <v>73.05</v>
      </c>
      <c r="F2057" s="1">
        <v>65.540000000000006</v>
      </c>
      <c r="G2057" s="1">
        <v>2.0701000000000001</v>
      </c>
      <c r="H2057" s="1">
        <v>2.0123000000000002</v>
      </c>
      <c r="I2057" s="1">
        <v>2.9750000000000001</v>
      </c>
      <c r="J2057" s="1">
        <v>3.7675999999999998</v>
      </c>
    </row>
    <row r="2058" spans="2:10" x14ac:dyDescent="0.3">
      <c r="B2058" s="10">
        <f t="shared" si="64"/>
        <v>2018</v>
      </c>
      <c r="C2058" s="10">
        <f t="shared" si="65"/>
        <v>6</v>
      </c>
      <c r="D2058" s="3">
        <v>43271</v>
      </c>
      <c r="E2058" s="1">
        <v>74.739999999999995</v>
      </c>
      <c r="F2058" s="1">
        <v>66.22</v>
      </c>
      <c r="G2058" s="1">
        <v>2.1071</v>
      </c>
      <c r="H2058" s="1">
        <v>2.0234999999999999</v>
      </c>
      <c r="I2058" s="1">
        <v>2.964</v>
      </c>
      <c r="J2058" s="1">
        <v>3.7711999999999999</v>
      </c>
    </row>
    <row r="2059" spans="2:10" x14ac:dyDescent="0.3">
      <c r="B2059" s="10">
        <f t="shared" si="64"/>
        <v>2018</v>
      </c>
      <c r="C2059" s="10">
        <f t="shared" si="65"/>
        <v>6</v>
      </c>
      <c r="D2059" s="3">
        <v>43270</v>
      </c>
      <c r="E2059" s="1">
        <v>75.08</v>
      </c>
      <c r="F2059" s="1">
        <v>65.069999999999993</v>
      </c>
      <c r="G2059" s="1">
        <v>2.1217999999999999</v>
      </c>
      <c r="H2059" s="1">
        <v>2.0379</v>
      </c>
      <c r="I2059" s="1">
        <v>2.9</v>
      </c>
      <c r="J2059" s="1">
        <v>3.7461000000000002</v>
      </c>
    </row>
    <row r="2060" spans="2:10" x14ac:dyDescent="0.3">
      <c r="B2060" s="10">
        <f t="shared" si="64"/>
        <v>2018</v>
      </c>
      <c r="C2060" s="10">
        <f t="shared" si="65"/>
        <v>6</v>
      </c>
      <c r="D2060" s="3">
        <v>43269</v>
      </c>
      <c r="E2060" s="1">
        <v>75.34</v>
      </c>
      <c r="F2060" s="1">
        <v>65.849999999999994</v>
      </c>
      <c r="G2060" s="1">
        <v>2.1316000000000002</v>
      </c>
      <c r="H2060" s="1">
        <v>2.0546000000000002</v>
      </c>
      <c r="I2060" s="1">
        <v>2.9510000000000001</v>
      </c>
      <c r="J2060" s="1">
        <v>3.746</v>
      </c>
    </row>
    <row r="2061" spans="2:10" x14ac:dyDescent="0.3">
      <c r="B2061" s="10">
        <f t="shared" si="64"/>
        <v>2018</v>
      </c>
      <c r="C2061" s="10">
        <f t="shared" si="65"/>
        <v>6</v>
      </c>
      <c r="D2061" s="3">
        <v>43266</v>
      </c>
      <c r="E2061" s="1">
        <v>73.44</v>
      </c>
      <c r="F2061" s="1">
        <v>65.06</v>
      </c>
      <c r="G2061" s="1">
        <v>2.0870000000000002</v>
      </c>
      <c r="H2061" s="1">
        <v>2.0232000000000001</v>
      </c>
      <c r="I2061" s="1">
        <v>3.0219999999999998</v>
      </c>
      <c r="J2061" s="1">
        <v>3.7294</v>
      </c>
    </row>
    <row r="2062" spans="2:10" x14ac:dyDescent="0.3">
      <c r="B2062" s="10">
        <f t="shared" si="64"/>
        <v>2018</v>
      </c>
      <c r="C2062" s="10">
        <f t="shared" si="65"/>
        <v>6</v>
      </c>
      <c r="D2062" s="3">
        <v>43265</v>
      </c>
      <c r="E2062" s="1">
        <v>75.94</v>
      </c>
      <c r="F2062" s="1">
        <v>66.89</v>
      </c>
      <c r="G2062" s="1">
        <v>2.1587000000000001</v>
      </c>
      <c r="H2062" s="1">
        <v>2.0910000000000002</v>
      </c>
      <c r="I2062" s="1">
        <v>2.9649999999999999</v>
      </c>
      <c r="J2062" s="1">
        <v>3.8052000000000001</v>
      </c>
    </row>
    <row r="2063" spans="2:10" x14ac:dyDescent="0.3">
      <c r="B2063" s="10">
        <f t="shared" si="64"/>
        <v>2018</v>
      </c>
      <c r="C2063" s="10">
        <f t="shared" si="65"/>
        <v>6</v>
      </c>
      <c r="D2063" s="3">
        <v>43264</v>
      </c>
      <c r="E2063" s="1">
        <v>76.739999999999995</v>
      </c>
      <c r="F2063" s="1">
        <v>66.64</v>
      </c>
      <c r="G2063" s="1">
        <v>2.1850999999999998</v>
      </c>
      <c r="H2063" s="1">
        <v>2.1252</v>
      </c>
      <c r="I2063" s="1">
        <v>2.9630000000000001</v>
      </c>
      <c r="J2063" s="1">
        <v>3.7195</v>
      </c>
    </row>
    <row r="2064" spans="2:10" x14ac:dyDescent="0.3">
      <c r="B2064" s="10">
        <f t="shared" si="64"/>
        <v>2018</v>
      </c>
      <c r="C2064" s="10">
        <f t="shared" si="65"/>
        <v>6</v>
      </c>
      <c r="D2064" s="3">
        <v>43263</v>
      </c>
      <c r="E2064" s="1">
        <v>75.88</v>
      </c>
      <c r="F2064" s="1">
        <v>66.36</v>
      </c>
      <c r="G2064" s="1">
        <v>2.1617999999999999</v>
      </c>
      <c r="H2064" s="1">
        <v>2.0899000000000001</v>
      </c>
      <c r="I2064" s="1">
        <v>2.9390000000000001</v>
      </c>
      <c r="J2064" s="1">
        <v>3.7174</v>
      </c>
    </row>
    <row r="2065" spans="2:10" x14ac:dyDescent="0.3">
      <c r="B2065" s="10">
        <f t="shared" si="64"/>
        <v>2018</v>
      </c>
      <c r="C2065" s="10">
        <f t="shared" si="65"/>
        <v>6</v>
      </c>
      <c r="D2065" s="3">
        <v>43262</v>
      </c>
      <c r="E2065" s="1">
        <v>76.459999999999994</v>
      </c>
      <c r="F2065" s="1">
        <v>66.099999999999994</v>
      </c>
      <c r="G2065" s="1">
        <v>2.1606999999999998</v>
      </c>
      <c r="H2065" s="1">
        <v>2.1049000000000002</v>
      </c>
      <c r="I2065" s="1">
        <v>2.9489999999999998</v>
      </c>
      <c r="J2065" s="1">
        <v>3.7086999999999999</v>
      </c>
    </row>
    <row r="2066" spans="2:10" x14ac:dyDescent="0.3">
      <c r="B2066" s="10">
        <f t="shared" si="64"/>
        <v>2018</v>
      </c>
      <c r="C2066" s="10">
        <f t="shared" si="65"/>
        <v>6</v>
      </c>
      <c r="D2066" s="3">
        <v>43259</v>
      </c>
      <c r="E2066" s="1">
        <v>76.459999999999994</v>
      </c>
      <c r="F2066" s="1">
        <v>65.739999999999995</v>
      </c>
      <c r="G2066" s="1">
        <v>2.1642999999999999</v>
      </c>
      <c r="H2066" s="1">
        <v>2.1153</v>
      </c>
      <c r="I2066" s="1">
        <v>2.89</v>
      </c>
      <c r="J2066" s="1">
        <v>3.7090999999999998</v>
      </c>
    </row>
    <row r="2067" spans="2:10" x14ac:dyDescent="0.3">
      <c r="B2067" s="10">
        <f t="shared" si="64"/>
        <v>2018</v>
      </c>
      <c r="C2067" s="10">
        <f t="shared" si="65"/>
        <v>6</v>
      </c>
      <c r="D2067" s="3">
        <v>43258</v>
      </c>
      <c r="E2067" s="1">
        <v>77.319999999999993</v>
      </c>
      <c r="F2067" s="1">
        <v>65.95</v>
      </c>
      <c r="G2067" s="1">
        <v>2.1798999999999999</v>
      </c>
      <c r="H2067" s="1">
        <v>2.1147999999999998</v>
      </c>
      <c r="I2067" s="1">
        <v>2.93</v>
      </c>
      <c r="J2067" s="1">
        <v>3.9064999999999999</v>
      </c>
    </row>
    <row r="2068" spans="2:10" x14ac:dyDescent="0.3">
      <c r="B2068" s="10">
        <f t="shared" si="64"/>
        <v>2018</v>
      </c>
      <c r="C2068" s="10">
        <f t="shared" si="65"/>
        <v>6</v>
      </c>
      <c r="D2068" s="3">
        <v>43257</v>
      </c>
      <c r="E2068" s="1">
        <v>75.36</v>
      </c>
      <c r="F2068" s="1">
        <v>64.73</v>
      </c>
      <c r="G2068" s="1">
        <v>2.1265999999999998</v>
      </c>
      <c r="H2068" s="1">
        <v>2.0699999999999998</v>
      </c>
      <c r="I2068" s="1">
        <v>2.8959999999999999</v>
      </c>
      <c r="J2068" s="1">
        <v>3.8477000000000001</v>
      </c>
    </row>
    <row r="2069" spans="2:10" x14ac:dyDescent="0.3">
      <c r="B2069" s="10">
        <f t="shared" si="64"/>
        <v>2018</v>
      </c>
      <c r="C2069" s="10">
        <f t="shared" si="65"/>
        <v>6</v>
      </c>
      <c r="D2069" s="3">
        <v>43256</v>
      </c>
      <c r="E2069" s="1">
        <v>75.38</v>
      </c>
      <c r="F2069" s="1">
        <v>65.52</v>
      </c>
      <c r="G2069" s="1">
        <v>2.1415999999999999</v>
      </c>
      <c r="H2069" s="1">
        <v>2.1061999999999999</v>
      </c>
      <c r="I2069" s="1">
        <v>2.89</v>
      </c>
      <c r="J2069" s="1">
        <v>3.806</v>
      </c>
    </row>
    <row r="2070" spans="2:10" x14ac:dyDescent="0.3">
      <c r="B2070" s="10">
        <f t="shared" si="64"/>
        <v>2018</v>
      </c>
      <c r="C2070" s="10">
        <f t="shared" si="65"/>
        <v>6</v>
      </c>
      <c r="D2070" s="3">
        <v>43255</v>
      </c>
      <c r="E2070" s="1">
        <v>75.290000000000006</v>
      </c>
      <c r="F2070" s="1">
        <v>64.75</v>
      </c>
      <c r="G2070" s="1">
        <v>2.1524999999999999</v>
      </c>
      <c r="H2070" s="1">
        <v>2.1223999999999998</v>
      </c>
      <c r="I2070" s="1">
        <v>2.93</v>
      </c>
      <c r="J2070" s="1">
        <v>3.7462</v>
      </c>
    </row>
    <row r="2071" spans="2:10" x14ac:dyDescent="0.3">
      <c r="B2071" s="10">
        <f t="shared" si="64"/>
        <v>2018</v>
      </c>
      <c r="C2071" s="10">
        <f t="shared" si="65"/>
        <v>6</v>
      </c>
      <c r="D2071" s="3">
        <v>43252</v>
      </c>
      <c r="E2071" s="1">
        <v>76.790000000000006</v>
      </c>
      <c r="F2071" s="1">
        <v>65.81</v>
      </c>
      <c r="G2071" s="1">
        <v>2.1762999999999999</v>
      </c>
      <c r="H2071" s="1">
        <v>2.1434000000000002</v>
      </c>
      <c r="I2071" s="1">
        <v>2.9620000000000002</v>
      </c>
      <c r="J2071" s="1">
        <v>3.7629999999999999</v>
      </c>
    </row>
    <row r="2072" spans="2:10" x14ac:dyDescent="0.3">
      <c r="B2072" s="10">
        <f t="shared" si="64"/>
        <v>2018</v>
      </c>
      <c r="C2072" s="10">
        <f t="shared" si="65"/>
        <v>5</v>
      </c>
      <c r="D2072" s="3">
        <v>43251</v>
      </c>
      <c r="E2072" s="1">
        <v>77.59</v>
      </c>
      <c r="F2072" s="1">
        <v>67.040000000000006</v>
      </c>
      <c r="G2072" s="1">
        <v>2.1913999999999998</v>
      </c>
      <c r="H2072" s="1">
        <v>2.1602999999999999</v>
      </c>
      <c r="I2072" s="1">
        <v>2.952</v>
      </c>
      <c r="J2072" s="1">
        <v>3.7225000000000001</v>
      </c>
    </row>
    <row r="2073" spans="2:10" x14ac:dyDescent="0.3">
      <c r="B2073" s="10">
        <f t="shared" si="64"/>
        <v>2018</v>
      </c>
      <c r="C2073" s="10">
        <f t="shared" si="65"/>
        <v>5</v>
      </c>
      <c r="D2073" s="3">
        <v>43250</v>
      </c>
      <c r="E2073" s="1">
        <v>77.5</v>
      </c>
      <c r="F2073" s="1">
        <v>68.209999999999994</v>
      </c>
      <c r="G2073" s="1">
        <v>2.2317</v>
      </c>
      <c r="H2073" s="1">
        <v>2.1842000000000001</v>
      </c>
      <c r="I2073" s="1">
        <v>2.8849999999999998</v>
      </c>
      <c r="J2073" s="1">
        <v>3.7240000000000002</v>
      </c>
    </row>
    <row r="2074" spans="2:10" x14ac:dyDescent="0.3">
      <c r="B2074" s="10">
        <f t="shared" si="64"/>
        <v>2018</v>
      </c>
      <c r="C2074" s="10">
        <f t="shared" si="65"/>
        <v>5</v>
      </c>
      <c r="D2074" s="3">
        <v>43249</v>
      </c>
      <c r="E2074" s="1">
        <v>75.39</v>
      </c>
      <c r="F2074" s="1">
        <v>66.73</v>
      </c>
      <c r="G2074" s="1">
        <v>2.1859000000000002</v>
      </c>
      <c r="H2074" s="1">
        <v>2.1440999999999999</v>
      </c>
      <c r="I2074" s="1">
        <v>2.875</v>
      </c>
      <c r="J2074" s="1">
        <v>3.7252000000000001</v>
      </c>
    </row>
    <row r="2075" spans="2:10" x14ac:dyDescent="0.3">
      <c r="B2075" s="10">
        <f t="shared" si="64"/>
        <v>2018</v>
      </c>
      <c r="C2075" s="10">
        <f t="shared" si="65"/>
        <v>5</v>
      </c>
      <c r="D2075" s="3">
        <v>43248</v>
      </c>
      <c r="E2075" s="1">
        <v>75.3</v>
      </c>
      <c r="J2075" s="1">
        <v>3.7341000000000002</v>
      </c>
    </row>
    <row r="2076" spans="2:10" x14ac:dyDescent="0.3">
      <c r="B2076" s="10">
        <f t="shared" si="64"/>
        <v>2018</v>
      </c>
      <c r="C2076" s="10">
        <f t="shared" si="65"/>
        <v>5</v>
      </c>
      <c r="D2076" s="3">
        <v>43245</v>
      </c>
      <c r="E2076" s="1">
        <v>76.44</v>
      </c>
      <c r="F2076" s="1">
        <v>67.88</v>
      </c>
      <c r="G2076" s="1">
        <v>2.2098</v>
      </c>
      <c r="H2076" s="1">
        <v>2.1814</v>
      </c>
      <c r="I2076" s="1">
        <v>2.9390000000000001</v>
      </c>
      <c r="J2076" s="1">
        <v>3.6514000000000002</v>
      </c>
    </row>
    <row r="2077" spans="2:10" x14ac:dyDescent="0.3">
      <c r="B2077" s="10">
        <f t="shared" si="64"/>
        <v>2018</v>
      </c>
      <c r="C2077" s="10">
        <f t="shared" si="65"/>
        <v>5</v>
      </c>
      <c r="D2077" s="3">
        <v>43244</v>
      </c>
      <c r="E2077" s="1">
        <v>78.790000000000006</v>
      </c>
      <c r="F2077" s="1">
        <v>70.709999999999994</v>
      </c>
      <c r="G2077" s="1">
        <v>2.2667000000000002</v>
      </c>
      <c r="H2077" s="1">
        <v>2.2338</v>
      </c>
      <c r="I2077" s="1">
        <v>2.94</v>
      </c>
      <c r="J2077" s="1">
        <v>3.6490999999999998</v>
      </c>
    </row>
    <row r="2078" spans="2:10" x14ac:dyDescent="0.3">
      <c r="B2078" s="10">
        <f t="shared" si="64"/>
        <v>2018</v>
      </c>
      <c r="C2078" s="10">
        <f t="shared" si="65"/>
        <v>5</v>
      </c>
      <c r="D2078" s="3">
        <v>43243</v>
      </c>
      <c r="E2078" s="1">
        <v>79.8</v>
      </c>
      <c r="F2078" s="1">
        <v>71.84</v>
      </c>
      <c r="G2078" s="1">
        <v>2.2896000000000001</v>
      </c>
      <c r="H2078" s="1">
        <v>2.2601</v>
      </c>
      <c r="I2078" s="1">
        <v>2.9140000000000001</v>
      </c>
      <c r="J2078" s="1">
        <v>3.6278999999999999</v>
      </c>
    </row>
    <row r="2079" spans="2:10" x14ac:dyDescent="0.3">
      <c r="B2079" s="10">
        <f t="shared" si="64"/>
        <v>2018</v>
      </c>
      <c r="C2079" s="10">
        <f t="shared" si="65"/>
        <v>5</v>
      </c>
      <c r="D2079" s="3">
        <v>43242</v>
      </c>
      <c r="E2079" s="1">
        <v>79.569999999999993</v>
      </c>
      <c r="F2079" s="1">
        <v>72.13</v>
      </c>
      <c r="G2079" s="1">
        <v>2.2799999999999998</v>
      </c>
      <c r="H2079" s="1">
        <v>2.2702</v>
      </c>
      <c r="I2079" s="1">
        <v>2.9079999999999999</v>
      </c>
      <c r="J2079" s="1">
        <v>3.6440999999999999</v>
      </c>
    </row>
    <row r="2080" spans="2:10" x14ac:dyDescent="0.3">
      <c r="B2080" s="10">
        <f t="shared" si="64"/>
        <v>2018</v>
      </c>
      <c r="C2080" s="10">
        <f t="shared" si="65"/>
        <v>5</v>
      </c>
      <c r="D2080" s="3">
        <v>43241</v>
      </c>
      <c r="E2080" s="1">
        <v>79.22</v>
      </c>
      <c r="F2080" s="1">
        <v>72.239999999999995</v>
      </c>
      <c r="G2080" s="1">
        <v>2.2738</v>
      </c>
      <c r="H2080" s="1">
        <v>2.2565</v>
      </c>
      <c r="I2080" s="1">
        <v>2.81</v>
      </c>
      <c r="J2080" s="1">
        <v>3.6768999999999998</v>
      </c>
    </row>
    <row r="2081" spans="2:10" x14ac:dyDescent="0.3">
      <c r="B2081" s="10">
        <f t="shared" si="64"/>
        <v>2018</v>
      </c>
      <c r="C2081" s="10">
        <f t="shared" si="65"/>
        <v>5</v>
      </c>
      <c r="D2081" s="3">
        <v>43238</v>
      </c>
      <c r="E2081" s="1">
        <v>78.510000000000005</v>
      </c>
      <c r="F2081" s="1">
        <v>71.28</v>
      </c>
      <c r="G2081" s="1">
        <v>2.2654999999999998</v>
      </c>
      <c r="H2081" s="1">
        <v>2.2332999999999998</v>
      </c>
      <c r="I2081" s="1">
        <v>2.847</v>
      </c>
      <c r="J2081" s="1">
        <v>3.7360000000000002</v>
      </c>
    </row>
    <row r="2082" spans="2:10" x14ac:dyDescent="0.3">
      <c r="B2082" s="10">
        <f t="shared" si="64"/>
        <v>2018</v>
      </c>
      <c r="C2082" s="10">
        <f t="shared" si="65"/>
        <v>5</v>
      </c>
      <c r="D2082" s="3">
        <v>43237</v>
      </c>
      <c r="E2082" s="1">
        <v>79.3</v>
      </c>
      <c r="F2082" s="1">
        <v>71.489999999999995</v>
      </c>
      <c r="G2082" s="1">
        <v>2.2808000000000002</v>
      </c>
      <c r="H2082" s="1">
        <v>2.2431000000000001</v>
      </c>
      <c r="I2082" s="1">
        <v>2.859</v>
      </c>
      <c r="J2082" s="1">
        <v>3.6960000000000002</v>
      </c>
    </row>
    <row r="2083" spans="2:10" x14ac:dyDescent="0.3">
      <c r="B2083" s="10">
        <f t="shared" si="64"/>
        <v>2018</v>
      </c>
      <c r="C2083" s="10">
        <f t="shared" si="65"/>
        <v>5</v>
      </c>
      <c r="D2083" s="3">
        <v>43236</v>
      </c>
      <c r="E2083" s="1">
        <v>79.28</v>
      </c>
      <c r="F2083" s="1">
        <v>71.489999999999995</v>
      </c>
      <c r="G2083" s="1">
        <v>2.2692000000000001</v>
      </c>
      <c r="H2083" s="1">
        <v>2.2498999999999998</v>
      </c>
      <c r="I2083" s="1">
        <v>2.8149999999999999</v>
      </c>
      <c r="J2083" s="1">
        <v>3.6753999999999998</v>
      </c>
    </row>
    <row r="2084" spans="2:10" x14ac:dyDescent="0.3">
      <c r="B2084" s="10">
        <f t="shared" si="64"/>
        <v>2018</v>
      </c>
      <c r="C2084" s="10">
        <f t="shared" si="65"/>
        <v>5</v>
      </c>
      <c r="D2084" s="3">
        <v>43235</v>
      </c>
      <c r="E2084" s="1">
        <v>78.430000000000007</v>
      </c>
      <c r="F2084" s="1">
        <v>71.31</v>
      </c>
      <c r="G2084" s="1">
        <v>2.2490000000000001</v>
      </c>
      <c r="H2084" s="1">
        <v>2.2048000000000001</v>
      </c>
      <c r="I2084" s="1">
        <v>2.8359999999999999</v>
      </c>
      <c r="J2084" s="1">
        <v>3.653</v>
      </c>
    </row>
    <row r="2085" spans="2:10" x14ac:dyDescent="0.3">
      <c r="B2085" s="10">
        <f t="shared" si="64"/>
        <v>2018</v>
      </c>
      <c r="C2085" s="10">
        <f t="shared" si="65"/>
        <v>5</v>
      </c>
      <c r="D2085" s="3">
        <v>43234</v>
      </c>
      <c r="E2085" s="1">
        <v>78.23</v>
      </c>
      <c r="F2085" s="1">
        <v>70.959999999999994</v>
      </c>
      <c r="G2085" s="1">
        <v>2.2496</v>
      </c>
      <c r="H2085" s="1">
        <v>2.2002000000000002</v>
      </c>
      <c r="I2085" s="1">
        <v>2.8420000000000001</v>
      </c>
      <c r="J2085" s="1">
        <v>3.6221000000000001</v>
      </c>
    </row>
    <row r="2086" spans="2:10" x14ac:dyDescent="0.3">
      <c r="B2086" s="10">
        <f t="shared" si="64"/>
        <v>2018</v>
      </c>
      <c r="C2086" s="10">
        <f t="shared" si="65"/>
        <v>5</v>
      </c>
      <c r="D2086" s="3">
        <v>43231</v>
      </c>
      <c r="E2086" s="1">
        <v>77.12</v>
      </c>
      <c r="F2086" s="1">
        <v>70.7</v>
      </c>
      <c r="G2086" s="1">
        <v>2.222</v>
      </c>
      <c r="H2086" s="1">
        <v>2.1888000000000001</v>
      </c>
      <c r="I2086" s="1">
        <v>2.806</v>
      </c>
      <c r="J2086" s="1">
        <v>3.5991</v>
      </c>
    </row>
    <row r="2087" spans="2:10" x14ac:dyDescent="0.3">
      <c r="B2087" s="10">
        <f t="shared" si="64"/>
        <v>2018</v>
      </c>
      <c r="C2087" s="10">
        <f t="shared" si="65"/>
        <v>5</v>
      </c>
      <c r="D2087" s="3">
        <v>43230</v>
      </c>
      <c r="E2087" s="1">
        <v>77.47</v>
      </c>
      <c r="F2087" s="1">
        <v>71.36</v>
      </c>
      <c r="G2087" s="1">
        <v>2.2227999999999999</v>
      </c>
      <c r="H2087" s="1">
        <v>2.1890000000000001</v>
      </c>
      <c r="I2087" s="1">
        <v>2.8140000000000001</v>
      </c>
      <c r="J2087" s="1">
        <v>3.5495999999999999</v>
      </c>
    </row>
    <row r="2088" spans="2:10" x14ac:dyDescent="0.3">
      <c r="B2088" s="10">
        <f t="shared" si="64"/>
        <v>2018</v>
      </c>
      <c r="C2088" s="10">
        <f t="shared" si="65"/>
        <v>5</v>
      </c>
      <c r="D2088" s="3">
        <v>43229</v>
      </c>
      <c r="E2088" s="1">
        <v>77.209999999999994</v>
      </c>
      <c r="F2088" s="1">
        <v>71.14</v>
      </c>
      <c r="G2088" s="1">
        <v>2.218</v>
      </c>
      <c r="H2088" s="1">
        <v>2.1673</v>
      </c>
      <c r="I2088" s="1">
        <v>2.7370000000000001</v>
      </c>
      <c r="J2088" s="1">
        <v>3.5918000000000001</v>
      </c>
    </row>
    <row r="2089" spans="2:10" x14ac:dyDescent="0.3">
      <c r="B2089" s="10">
        <f t="shared" si="64"/>
        <v>2018</v>
      </c>
      <c r="C2089" s="10">
        <f t="shared" si="65"/>
        <v>5</v>
      </c>
      <c r="D2089" s="3">
        <v>43228</v>
      </c>
      <c r="E2089" s="1">
        <v>74.849999999999994</v>
      </c>
      <c r="F2089" s="1">
        <v>69.06</v>
      </c>
      <c r="G2089" s="1">
        <v>2.1577000000000002</v>
      </c>
      <c r="H2089" s="1">
        <v>2.1114000000000002</v>
      </c>
      <c r="I2089" s="1">
        <v>2.7320000000000002</v>
      </c>
      <c r="J2089" s="1">
        <v>3.5632000000000001</v>
      </c>
    </row>
    <row r="2090" spans="2:10" x14ac:dyDescent="0.3">
      <c r="B2090" s="10">
        <f t="shared" si="64"/>
        <v>2018</v>
      </c>
      <c r="C2090" s="10">
        <f t="shared" si="65"/>
        <v>5</v>
      </c>
      <c r="D2090" s="3">
        <v>43227</v>
      </c>
      <c r="E2090" s="1">
        <v>76.17</v>
      </c>
      <c r="F2090" s="1">
        <v>70.73</v>
      </c>
      <c r="G2090" s="1">
        <v>2.1850000000000001</v>
      </c>
      <c r="H2090" s="1">
        <v>2.1339999999999999</v>
      </c>
      <c r="I2090" s="1">
        <v>2.7410000000000001</v>
      </c>
      <c r="J2090" s="1">
        <v>3.5524</v>
      </c>
    </row>
    <row r="2091" spans="2:10" x14ac:dyDescent="0.3">
      <c r="B2091" s="10">
        <f t="shared" si="64"/>
        <v>2018</v>
      </c>
      <c r="C2091" s="10">
        <f t="shared" si="65"/>
        <v>5</v>
      </c>
      <c r="D2091" s="3">
        <v>43224</v>
      </c>
      <c r="E2091" s="1">
        <v>74.87</v>
      </c>
      <c r="F2091" s="1">
        <v>69.72</v>
      </c>
      <c r="G2091" s="1">
        <v>2.1539999999999999</v>
      </c>
      <c r="H2091" s="1">
        <v>2.1139999999999999</v>
      </c>
      <c r="I2091" s="1">
        <v>2.7109999999999999</v>
      </c>
      <c r="J2091" s="1">
        <v>3.5291000000000001</v>
      </c>
    </row>
    <row r="2092" spans="2:10" x14ac:dyDescent="0.3">
      <c r="B2092" s="10">
        <f t="shared" si="64"/>
        <v>2018</v>
      </c>
      <c r="C2092" s="10">
        <f t="shared" si="65"/>
        <v>5</v>
      </c>
      <c r="D2092" s="3">
        <v>43223</v>
      </c>
      <c r="E2092" s="1">
        <v>73.62</v>
      </c>
      <c r="F2092" s="1">
        <v>68.430000000000007</v>
      </c>
      <c r="G2092" s="1">
        <v>2.1126999999999998</v>
      </c>
      <c r="H2092" s="1">
        <v>2.0874999999999999</v>
      </c>
      <c r="I2092" s="1">
        <v>2.726</v>
      </c>
      <c r="J2092" s="1">
        <v>3.5276000000000001</v>
      </c>
    </row>
    <row r="2093" spans="2:10" x14ac:dyDescent="0.3">
      <c r="B2093" s="10">
        <f t="shared" si="64"/>
        <v>2018</v>
      </c>
      <c r="C2093" s="10">
        <f t="shared" si="65"/>
        <v>5</v>
      </c>
      <c r="D2093" s="3">
        <v>43222</v>
      </c>
      <c r="E2093" s="1">
        <v>73.36</v>
      </c>
      <c r="F2093" s="1">
        <v>67.930000000000007</v>
      </c>
      <c r="G2093" s="1">
        <v>2.1215000000000002</v>
      </c>
      <c r="H2093" s="1">
        <v>2.0798000000000001</v>
      </c>
      <c r="I2093" s="1">
        <v>2.754</v>
      </c>
      <c r="J2093" s="1">
        <v>3.5512999999999999</v>
      </c>
    </row>
    <row r="2094" spans="2:10" x14ac:dyDescent="0.3">
      <c r="B2094" s="10">
        <f t="shared" si="64"/>
        <v>2018</v>
      </c>
      <c r="C2094" s="10">
        <f t="shared" si="65"/>
        <v>5</v>
      </c>
      <c r="D2094" s="3">
        <v>43221</v>
      </c>
      <c r="E2094" s="1">
        <v>73.13</v>
      </c>
      <c r="F2094" s="1">
        <v>67.25</v>
      </c>
      <c r="G2094" s="1">
        <v>2.0996999999999999</v>
      </c>
      <c r="H2094" s="1">
        <v>2.0876000000000001</v>
      </c>
      <c r="I2094" s="1">
        <v>2.802</v>
      </c>
      <c r="J2094" s="1">
        <v>3.5070999999999999</v>
      </c>
    </row>
    <row r="2095" spans="2:10" x14ac:dyDescent="0.3">
      <c r="B2095" s="10">
        <f t="shared" si="64"/>
        <v>2018</v>
      </c>
      <c r="C2095" s="10">
        <f t="shared" si="65"/>
        <v>4</v>
      </c>
      <c r="D2095" s="3">
        <v>43220</v>
      </c>
      <c r="E2095" s="1">
        <v>75.17</v>
      </c>
      <c r="F2095" s="1">
        <v>68.569999999999993</v>
      </c>
      <c r="G2095" s="1">
        <v>2.1674000000000002</v>
      </c>
      <c r="H2095" s="1">
        <v>2.1292</v>
      </c>
      <c r="I2095" s="1">
        <v>2.7629999999999999</v>
      </c>
      <c r="J2095" s="1">
        <v>3.5066000000000002</v>
      </c>
    </row>
    <row r="2096" spans="2:10" x14ac:dyDescent="0.3">
      <c r="B2096" s="10">
        <f t="shared" si="64"/>
        <v>2018</v>
      </c>
      <c r="C2096" s="10">
        <f t="shared" si="65"/>
        <v>4</v>
      </c>
      <c r="D2096" s="3">
        <v>43217</v>
      </c>
      <c r="E2096" s="1">
        <v>74.64</v>
      </c>
      <c r="F2096" s="1">
        <v>68.099999999999994</v>
      </c>
      <c r="G2096" s="1">
        <v>2.1509</v>
      </c>
      <c r="H2096" s="1">
        <v>2.1269</v>
      </c>
      <c r="I2096" s="1">
        <v>2.7709999999999999</v>
      </c>
      <c r="J2096" s="1">
        <v>3.4559000000000002</v>
      </c>
    </row>
    <row r="2097" spans="2:10" x14ac:dyDescent="0.3">
      <c r="B2097" s="10">
        <f t="shared" si="64"/>
        <v>2018</v>
      </c>
      <c r="C2097" s="10">
        <f t="shared" si="65"/>
        <v>4</v>
      </c>
      <c r="D2097" s="3">
        <v>43216</v>
      </c>
      <c r="E2097" s="1">
        <v>74.739999999999995</v>
      </c>
      <c r="F2097" s="1">
        <v>68.19</v>
      </c>
      <c r="G2097" s="1">
        <v>2.16</v>
      </c>
      <c r="H2097" s="1">
        <v>2.1122999999999998</v>
      </c>
      <c r="I2097" s="1">
        <v>2.8210000000000002</v>
      </c>
      <c r="J2097" s="1">
        <v>3.4744999999999999</v>
      </c>
    </row>
    <row r="2098" spans="2:10" x14ac:dyDescent="0.3">
      <c r="B2098" s="10">
        <f t="shared" si="64"/>
        <v>2018</v>
      </c>
      <c r="C2098" s="10">
        <f t="shared" si="65"/>
        <v>4</v>
      </c>
      <c r="D2098" s="3">
        <v>43215</v>
      </c>
      <c r="E2098" s="1">
        <v>74</v>
      </c>
      <c r="F2098" s="1">
        <v>68.05</v>
      </c>
      <c r="G2098" s="1">
        <v>2.1360000000000001</v>
      </c>
      <c r="H2098" s="1">
        <v>2.0897000000000001</v>
      </c>
      <c r="I2098" s="1">
        <v>2.786</v>
      </c>
      <c r="J2098" s="1">
        <v>3.4843000000000002</v>
      </c>
    </row>
    <row r="2099" spans="2:10" x14ac:dyDescent="0.3">
      <c r="B2099" s="10">
        <f t="shared" si="64"/>
        <v>2018</v>
      </c>
      <c r="C2099" s="10">
        <f t="shared" si="65"/>
        <v>4</v>
      </c>
      <c r="D2099" s="3">
        <v>43214</v>
      </c>
      <c r="E2099" s="1">
        <v>73.86</v>
      </c>
      <c r="F2099" s="1">
        <v>67.7</v>
      </c>
      <c r="G2099" s="1">
        <v>2.1276000000000002</v>
      </c>
      <c r="H2099" s="1">
        <v>2.0949</v>
      </c>
      <c r="I2099" s="1">
        <v>2.7810000000000001</v>
      </c>
      <c r="J2099" s="1">
        <v>3.4708999999999999</v>
      </c>
    </row>
    <row r="2100" spans="2:10" x14ac:dyDescent="0.3">
      <c r="B2100" s="10">
        <f t="shared" si="64"/>
        <v>2018</v>
      </c>
      <c r="C2100" s="10">
        <f t="shared" si="65"/>
        <v>4</v>
      </c>
      <c r="D2100" s="3">
        <v>43213</v>
      </c>
      <c r="E2100" s="1">
        <v>74.709999999999994</v>
      </c>
      <c r="F2100" s="1">
        <v>68.64</v>
      </c>
      <c r="G2100" s="1">
        <v>2.1408999999999998</v>
      </c>
      <c r="H2100" s="1">
        <v>2.1236999999999999</v>
      </c>
      <c r="I2100" s="1">
        <v>2.74</v>
      </c>
      <c r="J2100" s="1">
        <v>3.4521000000000002</v>
      </c>
    </row>
    <row r="2101" spans="2:10" x14ac:dyDescent="0.3">
      <c r="B2101" s="10">
        <f t="shared" si="64"/>
        <v>2018</v>
      </c>
      <c r="C2101" s="10">
        <f t="shared" si="65"/>
        <v>4</v>
      </c>
      <c r="D2101" s="3">
        <v>43210</v>
      </c>
      <c r="E2101" s="1">
        <v>74.06</v>
      </c>
      <c r="F2101" s="1">
        <v>68.38</v>
      </c>
      <c r="G2101" s="1">
        <v>2.1230000000000002</v>
      </c>
      <c r="H2101" s="1">
        <v>2.0958999999999999</v>
      </c>
      <c r="I2101" s="1">
        <v>2.7389999999999999</v>
      </c>
      <c r="J2101" s="1">
        <v>3.4123999999999999</v>
      </c>
    </row>
    <row r="2102" spans="2:10" x14ac:dyDescent="0.3">
      <c r="B2102" s="10">
        <f t="shared" si="64"/>
        <v>2018</v>
      </c>
      <c r="C2102" s="10">
        <f t="shared" si="65"/>
        <v>4</v>
      </c>
      <c r="D2102" s="3">
        <v>43209</v>
      </c>
      <c r="E2102" s="1">
        <v>73.78</v>
      </c>
      <c r="F2102" s="1">
        <v>68.290000000000006</v>
      </c>
      <c r="G2102" s="1">
        <v>2.1093999999999999</v>
      </c>
      <c r="H2102" s="1">
        <v>2.0773999999999999</v>
      </c>
      <c r="I2102" s="1">
        <v>2.66</v>
      </c>
      <c r="J2102" s="1">
        <v>3.3875000000000002</v>
      </c>
    </row>
    <row r="2103" spans="2:10" x14ac:dyDescent="0.3">
      <c r="B2103" s="10">
        <f t="shared" si="64"/>
        <v>2018</v>
      </c>
      <c r="C2103" s="10">
        <f t="shared" si="65"/>
        <v>4</v>
      </c>
      <c r="D2103" s="3">
        <v>43208</v>
      </c>
      <c r="E2103" s="1">
        <v>73.48</v>
      </c>
      <c r="F2103" s="1">
        <v>68.47</v>
      </c>
      <c r="G2103" s="1">
        <v>2.0911</v>
      </c>
      <c r="H2103" s="1">
        <v>2.0682999999999998</v>
      </c>
      <c r="I2103" s="1">
        <v>2.7389999999999999</v>
      </c>
      <c r="J2103" s="1">
        <v>3.3801999999999999</v>
      </c>
    </row>
    <row r="2104" spans="2:10" x14ac:dyDescent="0.3">
      <c r="B2104" s="10">
        <f t="shared" si="64"/>
        <v>2018</v>
      </c>
      <c r="C2104" s="10">
        <f t="shared" si="65"/>
        <v>4</v>
      </c>
      <c r="D2104" s="3">
        <v>43207</v>
      </c>
      <c r="E2104" s="1">
        <v>71.58</v>
      </c>
      <c r="F2104" s="1">
        <v>66.52</v>
      </c>
      <c r="G2104" s="1">
        <v>2.0571000000000002</v>
      </c>
      <c r="H2104" s="1">
        <v>2.0411999999999999</v>
      </c>
      <c r="I2104" s="1">
        <v>2.738</v>
      </c>
      <c r="J2104" s="1">
        <v>3.4070999999999998</v>
      </c>
    </row>
    <row r="2105" spans="2:10" x14ac:dyDescent="0.3">
      <c r="B2105" s="10">
        <f t="shared" si="64"/>
        <v>2018</v>
      </c>
      <c r="C2105" s="10">
        <f t="shared" si="65"/>
        <v>4</v>
      </c>
      <c r="D2105" s="3">
        <v>43206</v>
      </c>
      <c r="E2105" s="1">
        <v>71.42</v>
      </c>
      <c r="F2105" s="1">
        <v>66.22</v>
      </c>
      <c r="G2105" s="1">
        <v>2.0703</v>
      </c>
      <c r="H2105" s="1">
        <v>2.0398999999999998</v>
      </c>
      <c r="I2105" s="1">
        <v>2.7519999999999998</v>
      </c>
      <c r="J2105" s="1">
        <v>3.4190999999999998</v>
      </c>
    </row>
    <row r="2106" spans="2:10" x14ac:dyDescent="0.3">
      <c r="B2106" s="10">
        <f t="shared" si="64"/>
        <v>2018</v>
      </c>
      <c r="C2106" s="10">
        <f t="shared" si="65"/>
        <v>4</v>
      </c>
      <c r="D2106" s="3">
        <v>43203</v>
      </c>
      <c r="E2106" s="1">
        <v>72.58</v>
      </c>
      <c r="F2106" s="1">
        <v>67.39</v>
      </c>
      <c r="G2106" s="1">
        <v>2.1002000000000001</v>
      </c>
      <c r="H2106" s="1">
        <v>2.0653999999999999</v>
      </c>
      <c r="I2106" s="1">
        <v>2.7349999999999999</v>
      </c>
      <c r="J2106" s="1">
        <v>3.4220000000000002</v>
      </c>
    </row>
    <row r="2107" spans="2:10" x14ac:dyDescent="0.3">
      <c r="B2107" s="10">
        <f t="shared" si="64"/>
        <v>2018</v>
      </c>
      <c r="C2107" s="10">
        <f t="shared" si="65"/>
        <v>4</v>
      </c>
      <c r="D2107" s="3">
        <v>43202</v>
      </c>
      <c r="E2107" s="1">
        <v>72.02</v>
      </c>
      <c r="F2107" s="1">
        <v>67.069999999999993</v>
      </c>
      <c r="G2107" s="1">
        <v>2.0838000000000001</v>
      </c>
      <c r="H2107" s="1">
        <v>2.0546000000000002</v>
      </c>
      <c r="I2107" s="1">
        <v>2.6859999999999999</v>
      </c>
      <c r="J2107" s="1">
        <v>3.4123999999999999</v>
      </c>
    </row>
    <row r="2108" spans="2:10" x14ac:dyDescent="0.3">
      <c r="B2108" s="10">
        <f t="shared" si="64"/>
        <v>2018</v>
      </c>
      <c r="C2108" s="10">
        <f t="shared" si="65"/>
        <v>4</v>
      </c>
      <c r="D2108" s="3">
        <v>43201</v>
      </c>
      <c r="E2108" s="1">
        <v>72.06</v>
      </c>
      <c r="F2108" s="1">
        <v>66.819999999999993</v>
      </c>
      <c r="G2108" s="1">
        <v>2.0926999999999998</v>
      </c>
      <c r="H2108" s="1">
        <v>2.0676000000000001</v>
      </c>
      <c r="I2108" s="1">
        <v>2.6749999999999998</v>
      </c>
      <c r="J2108" s="1">
        <v>3.3734000000000002</v>
      </c>
    </row>
    <row r="2109" spans="2:10" x14ac:dyDescent="0.3">
      <c r="B2109" s="10">
        <f t="shared" si="64"/>
        <v>2018</v>
      </c>
      <c r="C2109" s="10">
        <f t="shared" si="65"/>
        <v>4</v>
      </c>
      <c r="D2109" s="3">
        <v>43200</v>
      </c>
      <c r="E2109" s="1">
        <v>71.040000000000006</v>
      </c>
      <c r="F2109" s="1">
        <v>65.510000000000005</v>
      </c>
      <c r="G2109" s="1">
        <v>2.0648</v>
      </c>
      <c r="H2109" s="1">
        <v>2.0409000000000002</v>
      </c>
      <c r="I2109" s="1">
        <v>2.6560000000000001</v>
      </c>
      <c r="J2109" s="1">
        <v>3.4087000000000001</v>
      </c>
    </row>
    <row r="2110" spans="2:10" x14ac:dyDescent="0.3">
      <c r="B2110" s="10">
        <f t="shared" si="64"/>
        <v>2018</v>
      </c>
      <c r="C2110" s="10">
        <f t="shared" si="65"/>
        <v>4</v>
      </c>
      <c r="D2110" s="3">
        <v>43199</v>
      </c>
      <c r="E2110" s="1">
        <v>68.650000000000006</v>
      </c>
      <c r="F2110" s="1">
        <v>63.42</v>
      </c>
      <c r="G2110" s="1">
        <v>1.9965999999999999</v>
      </c>
      <c r="H2110" s="1">
        <v>1.9842</v>
      </c>
      <c r="I2110" s="1">
        <v>2.6930000000000001</v>
      </c>
      <c r="J2110" s="1">
        <v>3.4186999999999999</v>
      </c>
    </row>
    <row r="2111" spans="2:10" x14ac:dyDescent="0.3">
      <c r="B2111" s="10">
        <f t="shared" si="64"/>
        <v>2018</v>
      </c>
      <c r="C2111" s="10">
        <f t="shared" si="65"/>
        <v>4</v>
      </c>
      <c r="D2111" s="3">
        <v>43196</v>
      </c>
      <c r="E2111" s="1">
        <v>67.11</v>
      </c>
      <c r="F2111" s="1">
        <v>62.06</v>
      </c>
      <c r="G2111" s="1">
        <v>1.9578</v>
      </c>
      <c r="H2111" s="1">
        <v>1.9547000000000001</v>
      </c>
      <c r="I2111" s="1">
        <v>2.7010000000000001</v>
      </c>
      <c r="J2111" s="1">
        <v>3.3689</v>
      </c>
    </row>
    <row r="2112" spans="2:10" x14ac:dyDescent="0.3">
      <c r="B2112" s="10">
        <f t="shared" si="64"/>
        <v>2018</v>
      </c>
      <c r="C2112" s="10">
        <f t="shared" si="65"/>
        <v>4</v>
      </c>
      <c r="D2112" s="3">
        <v>43195</v>
      </c>
      <c r="E2112" s="1">
        <v>68.33</v>
      </c>
      <c r="F2112" s="1">
        <v>63.54</v>
      </c>
      <c r="G2112" s="1">
        <v>1.9764999999999999</v>
      </c>
      <c r="H2112" s="1">
        <v>1.9816</v>
      </c>
      <c r="I2112" s="1">
        <v>2.6749999999999998</v>
      </c>
      <c r="J2112" s="1">
        <v>3.3439000000000001</v>
      </c>
    </row>
    <row r="2113" spans="2:10" x14ac:dyDescent="0.3">
      <c r="B2113" s="10">
        <f t="shared" si="64"/>
        <v>2018</v>
      </c>
      <c r="C2113" s="10">
        <f t="shared" si="65"/>
        <v>4</v>
      </c>
      <c r="D2113" s="3">
        <v>43194</v>
      </c>
      <c r="E2113" s="1">
        <v>68.02</v>
      </c>
      <c r="F2113" s="1">
        <v>63.37</v>
      </c>
      <c r="G2113" s="1">
        <v>1.9773000000000001</v>
      </c>
      <c r="H2113" s="1">
        <v>1.9767999999999999</v>
      </c>
      <c r="I2113" s="1">
        <v>2.718</v>
      </c>
      <c r="J2113" s="1">
        <v>3.3290000000000002</v>
      </c>
    </row>
    <row r="2114" spans="2:10" x14ac:dyDescent="0.3">
      <c r="B2114" s="10">
        <f t="shared" si="64"/>
        <v>2018</v>
      </c>
      <c r="C2114" s="10">
        <f t="shared" si="65"/>
        <v>4</v>
      </c>
      <c r="D2114" s="3">
        <v>43193</v>
      </c>
      <c r="E2114" s="1">
        <v>68.12</v>
      </c>
      <c r="F2114" s="1">
        <v>63.51</v>
      </c>
      <c r="G2114" s="1">
        <v>1.9950000000000001</v>
      </c>
      <c r="H2114" s="1">
        <v>1.9741</v>
      </c>
      <c r="I2114" s="1">
        <v>2.6970000000000001</v>
      </c>
      <c r="J2114" s="1">
        <v>3.3412000000000002</v>
      </c>
    </row>
    <row r="2115" spans="2:10" x14ac:dyDescent="0.3">
      <c r="B2115" s="10">
        <f t="shared" si="64"/>
        <v>2018</v>
      </c>
      <c r="C2115" s="10">
        <f t="shared" si="65"/>
        <v>4</v>
      </c>
      <c r="D2115" s="3">
        <v>43192</v>
      </c>
      <c r="E2115" s="1">
        <v>67.64</v>
      </c>
      <c r="F2115" s="1">
        <v>63.01</v>
      </c>
      <c r="G2115" s="1">
        <v>1.9802</v>
      </c>
      <c r="H2115" s="1">
        <v>1.9661</v>
      </c>
      <c r="I2115" s="1">
        <v>2.6829999999999998</v>
      </c>
      <c r="J2115" s="1">
        <v>3.3098999999999998</v>
      </c>
    </row>
    <row r="2116" spans="2:10" x14ac:dyDescent="0.3">
      <c r="B2116" s="10">
        <f t="shared" si="64"/>
        <v>2018</v>
      </c>
      <c r="C2116" s="10">
        <f t="shared" si="65"/>
        <v>3</v>
      </c>
      <c r="D2116" s="3">
        <v>43189</v>
      </c>
      <c r="J2116" s="1">
        <v>3.3046000000000002</v>
      </c>
    </row>
    <row r="2117" spans="2:10" x14ac:dyDescent="0.3">
      <c r="B2117" s="10">
        <f t="shared" si="64"/>
        <v>2018</v>
      </c>
      <c r="C2117" s="10">
        <f t="shared" si="65"/>
        <v>3</v>
      </c>
      <c r="D2117" s="3">
        <v>43188</v>
      </c>
      <c r="E2117" s="1">
        <v>70.27</v>
      </c>
      <c r="F2117" s="1">
        <v>64.94</v>
      </c>
      <c r="G2117" s="1">
        <v>2.0284</v>
      </c>
      <c r="H2117" s="1">
        <v>2.0179</v>
      </c>
      <c r="I2117" s="1">
        <v>2.7330000000000001</v>
      </c>
      <c r="J2117" s="1">
        <v>3.3054000000000001</v>
      </c>
    </row>
    <row r="2118" spans="2:10" x14ac:dyDescent="0.3">
      <c r="B2118" s="10">
        <f t="shared" ref="B2118:B2181" si="66">YEAR(D2118)</f>
        <v>2018</v>
      </c>
      <c r="C2118" s="10">
        <f t="shared" ref="C2118:C2181" si="67">MONTH(D2118)</f>
        <v>3</v>
      </c>
      <c r="D2118" s="3">
        <v>43187</v>
      </c>
      <c r="E2118" s="1">
        <v>69.53</v>
      </c>
      <c r="F2118" s="1">
        <v>64.38</v>
      </c>
      <c r="G2118" s="1">
        <v>2.0148000000000001</v>
      </c>
      <c r="H2118" s="1">
        <v>2.0116000000000001</v>
      </c>
      <c r="I2118" s="1">
        <v>2.698</v>
      </c>
      <c r="J2118" s="1">
        <v>3.3195000000000001</v>
      </c>
    </row>
    <row r="2119" spans="2:10" x14ac:dyDescent="0.3">
      <c r="B2119" s="10">
        <f t="shared" si="66"/>
        <v>2018</v>
      </c>
      <c r="C2119" s="10">
        <f t="shared" si="67"/>
        <v>3</v>
      </c>
      <c r="D2119" s="3">
        <v>43186</v>
      </c>
      <c r="E2119" s="1">
        <v>70.11</v>
      </c>
      <c r="F2119" s="1">
        <v>65.25</v>
      </c>
      <c r="G2119" s="1">
        <v>2.0224000000000002</v>
      </c>
      <c r="H2119" s="1">
        <v>2.0135000000000001</v>
      </c>
      <c r="I2119" s="1">
        <v>2.6909999999999998</v>
      </c>
      <c r="J2119" s="1">
        <v>3.3277999999999999</v>
      </c>
    </row>
    <row r="2120" spans="2:10" x14ac:dyDescent="0.3">
      <c r="B2120" s="10">
        <f t="shared" si="66"/>
        <v>2018</v>
      </c>
      <c r="C2120" s="10">
        <f t="shared" si="67"/>
        <v>3</v>
      </c>
      <c r="D2120" s="3">
        <v>43185</v>
      </c>
      <c r="E2120" s="1">
        <v>70.12</v>
      </c>
      <c r="F2120" s="1">
        <v>65.55</v>
      </c>
      <c r="G2120" s="1">
        <v>2.0150000000000001</v>
      </c>
      <c r="H2120" s="1">
        <v>2.0104000000000002</v>
      </c>
      <c r="I2120" s="1">
        <v>2.6179999999999999</v>
      </c>
      <c r="J2120" s="1">
        <v>3.3113000000000001</v>
      </c>
    </row>
    <row r="2121" spans="2:10" x14ac:dyDescent="0.3">
      <c r="B2121" s="10">
        <f t="shared" si="66"/>
        <v>2018</v>
      </c>
      <c r="C2121" s="10">
        <f t="shared" si="67"/>
        <v>3</v>
      </c>
      <c r="D2121" s="3">
        <v>43182</v>
      </c>
      <c r="E2121" s="1">
        <v>70.45</v>
      </c>
      <c r="F2121" s="1">
        <v>65.88</v>
      </c>
      <c r="G2121" s="1">
        <v>2.0184000000000002</v>
      </c>
      <c r="H2121" s="1">
        <v>2.0335999999999999</v>
      </c>
      <c r="I2121" s="1">
        <v>2.5910000000000002</v>
      </c>
      <c r="J2121" s="1">
        <v>3.3119000000000001</v>
      </c>
    </row>
    <row r="2122" spans="2:10" x14ac:dyDescent="0.3">
      <c r="B2122" s="10">
        <f t="shared" si="66"/>
        <v>2018</v>
      </c>
      <c r="C2122" s="10">
        <f t="shared" si="67"/>
        <v>3</v>
      </c>
      <c r="D2122" s="3">
        <v>43181</v>
      </c>
      <c r="E2122" s="1">
        <v>68.91</v>
      </c>
      <c r="F2122" s="1">
        <v>64.3</v>
      </c>
      <c r="G2122" s="1">
        <v>1.9923</v>
      </c>
      <c r="H2122" s="1">
        <v>2.0095999999999998</v>
      </c>
      <c r="I2122" s="1">
        <v>2.617</v>
      </c>
      <c r="J2122" s="1">
        <v>3.3151999999999999</v>
      </c>
    </row>
    <row r="2123" spans="2:10" x14ac:dyDescent="0.3">
      <c r="B2123" s="10">
        <f t="shared" si="66"/>
        <v>2018</v>
      </c>
      <c r="C2123" s="10">
        <f t="shared" si="67"/>
        <v>3</v>
      </c>
      <c r="D2123" s="3">
        <v>43180</v>
      </c>
      <c r="E2123" s="1">
        <v>69.47</v>
      </c>
      <c r="F2123" s="1">
        <v>65.17</v>
      </c>
      <c r="G2123" s="1">
        <v>2.0036999999999998</v>
      </c>
      <c r="H2123" s="1">
        <v>2.0122</v>
      </c>
      <c r="I2123" s="1">
        <v>2.6379999999999999</v>
      </c>
      <c r="J2123" s="1">
        <v>3.2717000000000001</v>
      </c>
    </row>
    <row r="2124" spans="2:10" x14ac:dyDescent="0.3">
      <c r="B2124" s="10">
        <f t="shared" si="66"/>
        <v>2018</v>
      </c>
      <c r="C2124" s="10">
        <f t="shared" si="67"/>
        <v>3</v>
      </c>
      <c r="D2124" s="3">
        <v>43179</v>
      </c>
      <c r="E2124" s="1">
        <v>67.42</v>
      </c>
      <c r="F2124" s="1">
        <v>63.4</v>
      </c>
      <c r="G2124" s="1">
        <v>1.9495</v>
      </c>
      <c r="H2124" s="1">
        <v>1.9659</v>
      </c>
      <c r="I2124" s="1">
        <v>2.6749999999999998</v>
      </c>
      <c r="J2124" s="1">
        <v>3.3113999999999999</v>
      </c>
    </row>
    <row r="2125" spans="2:10" x14ac:dyDescent="0.3">
      <c r="B2125" s="10">
        <f t="shared" si="66"/>
        <v>2018</v>
      </c>
      <c r="C2125" s="10">
        <f t="shared" si="67"/>
        <v>3</v>
      </c>
      <c r="D2125" s="3">
        <v>43178</v>
      </c>
      <c r="E2125" s="1">
        <v>66.05</v>
      </c>
      <c r="F2125" s="1">
        <v>62.06</v>
      </c>
      <c r="G2125" s="1">
        <v>1.907</v>
      </c>
      <c r="H2125" s="1">
        <v>1.9249000000000001</v>
      </c>
      <c r="I2125" s="1">
        <v>2.6509999999999998</v>
      </c>
      <c r="J2125" s="1">
        <v>3.2852999999999999</v>
      </c>
    </row>
    <row r="2126" spans="2:10" x14ac:dyDescent="0.3">
      <c r="B2126" s="10">
        <f t="shared" si="66"/>
        <v>2018</v>
      </c>
      <c r="C2126" s="10">
        <f t="shared" si="67"/>
        <v>3</v>
      </c>
      <c r="D2126" s="3">
        <v>43175</v>
      </c>
      <c r="E2126" s="1">
        <v>66.209999999999994</v>
      </c>
      <c r="F2126" s="1">
        <v>62.34</v>
      </c>
      <c r="G2126" s="1">
        <v>1.9117999999999999</v>
      </c>
      <c r="H2126" s="1">
        <v>1.9459</v>
      </c>
      <c r="I2126" s="1">
        <v>2.6880000000000002</v>
      </c>
      <c r="J2126" s="1">
        <v>3.2806999999999999</v>
      </c>
    </row>
    <row r="2127" spans="2:10" x14ac:dyDescent="0.3">
      <c r="B2127" s="10">
        <f t="shared" si="66"/>
        <v>2018</v>
      </c>
      <c r="C2127" s="10">
        <f t="shared" si="67"/>
        <v>3</v>
      </c>
      <c r="D2127" s="3">
        <v>43174</v>
      </c>
      <c r="E2127" s="1">
        <v>65.12</v>
      </c>
      <c r="F2127" s="1">
        <v>61.19</v>
      </c>
      <c r="G2127" s="1">
        <v>1.8929</v>
      </c>
      <c r="H2127" s="1">
        <v>1.9248000000000001</v>
      </c>
      <c r="I2127" s="1">
        <v>2.681</v>
      </c>
      <c r="J2127" s="1">
        <v>3.2848999999999999</v>
      </c>
    </row>
    <row r="2128" spans="2:10" x14ac:dyDescent="0.3">
      <c r="B2128" s="10">
        <f t="shared" si="66"/>
        <v>2018</v>
      </c>
      <c r="C2128" s="10">
        <f t="shared" si="67"/>
        <v>3</v>
      </c>
      <c r="D2128" s="3">
        <v>43173</v>
      </c>
      <c r="E2128" s="1">
        <v>64.89</v>
      </c>
      <c r="F2128" s="1">
        <v>60.96</v>
      </c>
      <c r="G2128" s="1">
        <v>1.8871</v>
      </c>
      <c r="H2128" s="1">
        <v>1.9242999999999999</v>
      </c>
      <c r="I2128" s="1">
        <v>2.7309999999999999</v>
      </c>
      <c r="J2128" s="1">
        <v>3.2597999999999998</v>
      </c>
    </row>
    <row r="2129" spans="2:10" x14ac:dyDescent="0.3">
      <c r="B2129" s="10">
        <f t="shared" si="66"/>
        <v>2018</v>
      </c>
      <c r="C2129" s="10">
        <f t="shared" si="67"/>
        <v>3</v>
      </c>
      <c r="D2129" s="3">
        <v>43172</v>
      </c>
      <c r="E2129" s="1">
        <v>64.64</v>
      </c>
      <c r="F2129" s="1">
        <v>60.71</v>
      </c>
      <c r="G2129" s="1">
        <v>1.8738999999999999</v>
      </c>
      <c r="H2129" s="1">
        <v>1.8863000000000001</v>
      </c>
      <c r="I2129" s="1">
        <v>2.786</v>
      </c>
      <c r="J2129" s="1">
        <v>3.2602000000000002</v>
      </c>
    </row>
    <row r="2130" spans="2:10" x14ac:dyDescent="0.3">
      <c r="B2130" s="10">
        <f t="shared" si="66"/>
        <v>2018</v>
      </c>
      <c r="C2130" s="10">
        <f t="shared" si="67"/>
        <v>3</v>
      </c>
      <c r="D2130" s="3">
        <v>43171</v>
      </c>
      <c r="E2130" s="1">
        <v>64.95</v>
      </c>
      <c r="F2130" s="1">
        <v>61.36</v>
      </c>
      <c r="G2130" s="1">
        <v>1.8647</v>
      </c>
      <c r="H2130" s="1">
        <v>1.8939999999999999</v>
      </c>
      <c r="I2130" s="1">
        <v>2.778</v>
      </c>
      <c r="J2130" s="1">
        <v>3.2610000000000001</v>
      </c>
    </row>
    <row r="2131" spans="2:10" x14ac:dyDescent="0.3">
      <c r="B2131" s="10">
        <f t="shared" si="66"/>
        <v>2018</v>
      </c>
      <c r="C2131" s="10">
        <f t="shared" si="67"/>
        <v>3</v>
      </c>
      <c r="D2131" s="3">
        <v>43168</v>
      </c>
      <c r="E2131" s="1">
        <v>65.489999999999995</v>
      </c>
      <c r="F2131" s="1">
        <v>62.04</v>
      </c>
      <c r="G2131" s="1">
        <v>1.8866000000000001</v>
      </c>
      <c r="H2131" s="1">
        <v>1.9043000000000001</v>
      </c>
      <c r="I2131" s="1">
        <v>2.7320000000000002</v>
      </c>
      <c r="J2131" s="1">
        <v>3.2547999999999999</v>
      </c>
    </row>
    <row r="2132" spans="2:10" x14ac:dyDescent="0.3">
      <c r="B2132" s="10">
        <f t="shared" si="66"/>
        <v>2018</v>
      </c>
      <c r="C2132" s="10">
        <f t="shared" si="67"/>
        <v>3</v>
      </c>
      <c r="D2132" s="3">
        <v>43167</v>
      </c>
      <c r="E2132" s="1">
        <v>63.61</v>
      </c>
      <c r="F2132" s="1">
        <v>60.12</v>
      </c>
      <c r="G2132" s="1">
        <v>1.8591</v>
      </c>
      <c r="H2132" s="1">
        <v>1.8676999999999999</v>
      </c>
      <c r="I2132" s="1">
        <v>2.7559999999999998</v>
      </c>
      <c r="J2132" s="1">
        <v>3.2664</v>
      </c>
    </row>
    <row r="2133" spans="2:10" x14ac:dyDescent="0.3">
      <c r="B2133" s="10">
        <f t="shared" si="66"/>
        <v>2018</v>
      </c>
      <c r="C2133" s="10">
        <f t="shared" si="67"/>
        <v>3</v>
      </c>
      <c r="D2133" s="3">
        <v>43166</v>
      </c>
      <c r="E2133" s="1">
        <v>64.34</v>
      </c>
      <c r="F2133" s="1">
        <v>61.15</v>
      </c>
      <c r="G2133" s="1">
        <v>1.8746</v>
      </c>
      <c r="H2133" s="1">
        <v>1.9103000000000001</v>
      </c>
      <c r="I2133" s="1">
        <v>2.7770000000000001</v>
      </c>
      <c r="J2133" s="1">
        <v>3.2448999999999999</v>
      </c>
    </row>
    <row r="2134" spans="2:10" x14ac:dyDescent="0.3">
      <c r="B2134" s="10">
        <f t="shared" si="66"/>
        <v>2018</v>
      </c>
      <c r="C2134" s="10">
        <f t="shared" si="67"/>
        <v>3</v>
      </c>
      <c r="D2134" s="3">
        <v>43165</v>
      </c>
      <c r="E2134" s="1">
        <v>65.790000000000006</v>
      </c>
      <c r="F2134" s="1">
        <v>62.6</v>
      </c>
      <c r="G2134" s="1">
        <v>1.9033</v>
      </c>
      <c r="H2134" s="1">
        <v>1.9331</v>
      </c>
      <c r="I2134" s="1">
        <v>2.7490000000000001</v>
      </c>
      <c r="J2134" s="1">
        <v>3.2111999999999998</v>
      </c>
    </row>
    <row r="2135" spans="2:10" x14ac:dyDescent="0.3">
      <c r="B2135" s="10">
        <f t="shared" si="66"/>
        <v>2018</v>
      </c>
      <c r="C2135" s="10">
        <f t="shared" si="67"/>
        <v>3</v>
      </c>
      <c r="D2135" s="3">
        <v>43164</v>
      </c>
      <c r="E2135" s="1">
        <v>65.540000000000006</v>
      </c>
      <c r="F2135" s="1">
        <v>62.57</v>
      </c>
      <c r="G2135" s="1">
        <v>1.8967000000000001</v>
      </c>
      <c r="H2135" s="1">
        <v>1.9349000000000001</v>
      </c>
      <c r="I2135" s="1">
        <v>2.7040000000000002</v>
      </c>
      <c r="J2135" s="1">
        <v>3.2425000000000002</v>
      </c>
    </row>
    <row r="2136" spans="2:10" x14ac:dyDescent="0.3">
      <c r="B2136" s="10">
        <f t="shared" si="66"/>
        <v>2018</v>
      </c>
      <c r="C2136" s="10">
        <f t="shared" si="67"/>
        <v>3</v>
      </c>
      <c r="D2136" s="3">
        <v>43161</v>
      </c>
      <c r="E2136" s="1">
        <v>64.37</v>
      </c>
      <c r="F2136" s="1">
        <v>61.25</v>
      </c>
      <c r="G2136" s="1">
        <v>1.8795999999999999</v>
      </c>
      <c r="H2136" s="1">
        <v>1.9014</v>
      </c>
      <c r="I2136" s="1">
        <v>2.6949999999999998</v>
      </c>
      <c r="J2136" s="1">
        <v>3.2523</v>
      </c>
    </row>
    <row r="2137" spans="2:10" x14ac:dyDescent="0.3">
      <c r="B2137" s="10">
        <f t="shared" si="66"/>
        <v>2018</v>
      </c>
      <c r="C2137" s="10">
        <f t="shared" si="67"/>
        <v>3</v>
      </c>
      <c r="D2137" s="3">
        <v>43160</v>
      </c>
      <c r="E2137" s="1">
        <v>63.83</v>
      </c>
      <c r="F2137" s="1">
        <v>60.99</v>
      </c>
      <c r="G2137" s="1">
        <v>1.8855</v>
      </c>
      <c r="H2137" s="1">
        <v>1.8964000000000001</v>
      </c>
      <c r="I2137" s="1">
        <v>2.698</v>
      </c>
      <c r="J2137" s="1">
        <v>3.2511000000000001</v>
      </c>
    </row>
    <row r="2138" spans="2:10" x14ac:dyDescent="0.3">
      <c r="B2138" s="10">
        <f t="shared" si="66"/>
        <v>2018</v>
      </c>
      <c r="C2138" s="10">
        <f t="shared" si="67"/>
        <v>2</v>
      </c>
      <c r="D2138" s="3">
        <v>43159</v>
      </c>
      <c r="E2138" s="1">
        <v>65.78</v>
      </c>
      <c r="F2138" s="1">
        <v>61.64</v>
      </c>
      <c r="G2138" s="1">
        <v>1.9136</v>
      </c>
      <c r="H2138" s="1">
        <v>1.7577</v>
      </c>
      <c r="I2138" s="1">
        <v>2.6669999999999998</v>
      </c>
      <c r="J2138" s="1">
        <v>3.2458</v>
      </c>
    </row>
    <row r="2139" spans="2:10" x14ac:dyDescent="0.3">
      <c r="B2139" s="10">
        <f t="shared" si="66"/>
        <v>2018</v>
      </c>
      <c r="C2139" s="10">
        <f t="shared" si="67"/>
        <v>2</v>
      </c>
      <c r="D2139" s="3">
        <v>43158</v>
      </c>
      <c r="E2139" s="1">
        <v>66.63</v>
      </c>
      <c r="F2139" s="1">
        <v>63.01</v>
      </c>
      <c r="G2139" s="1">
        <v>1.9630000000000001</v>
      </c>
      <c r="H2139" s="1">
        <v>1.8033999999999999</v>
      </c>
      <c r="I2139" s="1">
        <v>2.6829999999999998</v>
      </c>
      <c r="J2139" s="1">
        <v>3.2511999999999999</v>
      </c>
    </row>
    <row r="2140" spans="2:10" x14ac:dyDescent="0.3">
      <c r="B2140" s="10">
        <f t="shared" si="66"/>
        <v>2018</v>
      </c>
      <c r="C2140" s="10">
        <f t="shared" si="67"/>
        <v>2</v>
      </c>
      <c r="D2140" s="3">
        <v>43157</v>
      </c>
      <c r="E2140" s="1">
        <v>67.5</v>
      </c>
      <c r="F2140" s="1">
        <v>63.91</v>
      </c>
      <c r="G2140" s="1">
        <v>1.9859</v>
      </c>
      <c r="H2140" s="1">
        <v>1.8267</v>
      </c>
      <c r="I2140" s="1">
        <v>2.6389999999999998</v>
      </c>
      <c r="J2140" s="1">
        <v>3.2252999999999998</v>
      </c>
    </row>
    <row r="2141" spans="2:10" x14ac:dyDescent="0.3">
      <c r="B2141" s="10">
        <f t="shared" si="66"/>
        <v>2018</v>
      </c>
      <c r="C2141" s="10">
        <f t="shared" si="67"/>
        <v>2</v>
      </c>
      <c r="D2141" s="3">
        <v>43154</v>
      </c>
      <c r="E2141" s="1">
        <v>67.31</v>
      </c>
      <c r="F2141" s="1">
        <v>63.55</v>
      </c>
      <c r="G2141" s="1">
        <v>1.9694</v>
      </c>
      <c r="H2141" s="1">
        <v>1.8085</v>
      </c>
      <c r="I2141" s="1">
        <v>2.625</v>
      </c>
      <c r="J2141" s="1">
        <v>3.2374000000000001</v>
      </c>
    </row>
    <row r="2142" spans="2:10" x14ac:dyDescent="0.3">
      <c r="B2142" s="10">
        <f t="shared" si="66"/>
        <v>2018</v>
      </c>
      <c r="C2142" s="10">
        <f t="shared" si="67"/>
        <v>2</v>
      </c>
      <c r="D2142" s="3">
        <v>43153</v>
      </c>
      <c r="E2142" s="1">
        <v>66.39</v>
      </c>
      <c r="F2142" s="1">
        <v>62.77</v>
      </c>
      <c r="G2142" s="1">
        <v>1.9527000000000001</v>
      </c>
      <c r="H2142" s="1">
        <v>1.7657</v>
      </c>
      <c r="I2142" s="1">
        <v>2.6339999999999999</v>
      </c>
      <c r="J2142" s="1">
        <v>3.2496999999999998</v>
      </c>
    </row>
    <row r="2143" spans="2:10" x14ac:dyDescent="0.3">
      <c r="B2143" s="10">
        <f t="shared" si="66"/>
        <v>2018</v>
      </c>
      <c r="C2143" s="10">
        <f t="shared" si="67"/>
        <v>2</v>
      </c>
      <c r="D2143" s="3">
        <v>43152</v>
      </c>
      <c r="E2143" s="1">
        <v>65.42</v>
      </c>
      <c r="F2143" s="1">
        <v>61.68</v>
      </c>
      <c r="G2143" s="1">
        <v>1.9322999999999999</v>
      </c>
      <c r="H2143" s="1">
        <v>1.7573000000000001</v>
      </c>
      <c r="I2143" s="1">
        <v>2.6589999999999998</v>
      </c>
      <c r="J2143" s="1">
        <v>3.2682000000000002</v>
      </c>
    </row>
    <row r="2144" spans="2:10" x14ac:dyDescent="0.3">
      <c r="B2144" s="10">
        <f t="shared" si="66"/>
        <v>2018</v>
      </c>
      <c r="C2144" s="10">
        <f t="shared" si="67"/>
        <v>2</v>
      </c>
      <c r="D2144" s="3">
        <v>43151</v>
      </c>
      <c r="E2144" s="1">
        <v>65.25</v>
      </c>
      <c r="F2144" s="1">
        <v>61.9</v>
      </c>
      <c r="G2144" s="1">
        <v>1.9277</v>
      </c>
      <c r="H2144" s="1">
        <v>1.7503</v>
      </c>
      <c r="I2144" s="1">
        <v>2.6160000000000001</v>
      </c>
      <c r="J2144" s="1">
        <v>3.2553999999999998</v>
      </c>
    </row>
    <row r="2145" spans="2:10" x14ac:dyDescent="0.3">
      <c r="B2145" s="10">
        <f t="shared" si="66"/>
        <v>2018</v>
      </c>
      <c r="C2145" s="10">
        <f t="shared" si="67"/>
        <v>2</v>
      </c>
      <c r="D2145" s="3">
        <v>43150</v>
      </c>
      <c r="E2145" s="1">
        <v>65.67</v>
      </c>
      <c r="J2145" s="1">
        <v>3.2339000000000002</v>
      </c>
    </row>
    <row r="2146" spans="2:10" x14ac:dyDescent="0.3">
      <c r="B2146" s="10">
        <f t="shared" si="66"/>
        <v>2018</v>
      </c>
      <c r="C2146" s="10">
        <f t="shared" si="67"/>
        <v>2</v>
      </c>
      <c r="D2146" s="3">
        <v>43147</v>
      </c>
      <c r="E2146" s="1">
        <v>64.84</v>
      </c>
      <c r="F2146" s="1">
        <v>61.68</v>
      </c>
      <c r="G2146" s="1">
        <v>1.9104000000000001</v>
      </c>
      <c r="H2146" s="1">
        <v>1.7508999999999999</v>
      </c>
      <c r="I2146" s="1">
        <v>2.5579999999999998</v>
      </c>
      <c r="J2146" s="1">
        <v>3.2309999999999999</v>
      </c>
    </row>
    <row r="2147" spans="2:10" x14ac:dyDescent="0.3">
      <c r="B2147" s="10">
        <f t="shared" si="66"/>
        <v>2018</v>
      </c>
      <c r="C2147" s="10">
        <f t="shared" si="67"/>
        <v>2</v>
      </c>
      <c r="D2147" s="3">
        <v>43146</v>
      </c>
      <c r="E2147" s="1">
        <v>64.33</v>
      </c>
      <c r="F2147" s="1">
        <v>61.34</v>
      </c>
      <c r="G2147" s="1">
        <v>1.8915999999999999</v>
      </c>
      <c r="H2147" s="1">
        <v>1.7358</v>
      </c>
      <c r="I2147" s="1">
        <v>2.58</v>
      </c>
      <c r="J2147" s="1">
        <v>3.2273999999999998</v>
      </c>
    </row>
    <row r="2148" spans="2:10" x14ac:dyDescent="0.3">
      <c r="B2148" s="10">
        <f t="shared" si="66"/>
        <v>2018</v>
      </c>
      <c r="C2148" s="10">
        <f t="shared" si="67"/>
        <v>2</v>
      </c>
      <c r="D2148" s="3">
        <v>43145</v>
      </c>
      <c r="E2148" s="1">
        <v>64.36</v>
      </c>
      <c r="F2148" s="1">
        <v>60.6</v>
      </c>
      <c r="G2148" s="1">
        <v>1.8844000000000001</v>
      </c>
      <c r="H2148" s="1">
        <v>1.7130000000000001</v>
      </c>
      <c r="I2148" s="1">
        <v>2.5870000000000002</v>
      </c>
      <c r="J2148" s="1">
        <v>3.2172000000000001</v>
      </c>
    </row>
    <row r="2149" spans="2:10" x14ac:dyDescent="0.3">
      <c r="B2149" s="10">
        <f t="shared" si="66"/>
        <v>2018</v>
      </c>
      <c r="C2149" s="10">
        <f t="shared" si="67"/>
        <v>2</v>
      </c>
      <c r="D2149" s="3">
        <v>43144</v>
      </c>
      <c r="E2149" s="1">
        <v>62.72</v>
      </c>
      <c r="F2149" s="1">
        <v>59.19</v>
      </c>
      <c r="G2149" s="1">
        <v>1.8369</v>
      </c>
      <c r="H2149" s="1">
        <v>1.6853</v>
      </c>
      <c r="I2149" s="1">
        <v>2.5939999999999999</v>
      </c>
      <c r="J2149" s="1">
        <v>3.2947000000000002</v>
      </c>
    </row>
    <row r="2150" spans="2:10" x14ac:dyDescent="0.3">
      <c r="B2150" s="10">
        <f t="shared" si="66"/>
        <v>2018</v>
      </c>
      <c r="C2150" s="10">
        <f t="shared" si="67"/>
        <v>2</v>
      </c>
      <c r="D2150" s="3">
        <v>43143</v>
      </c>
      <c r="E2150" s="1">
        <v>62.59</v>
      </c>
      <c r="F2150" s="1">
        <v>59.29</v>
      </c>
      <c r="G2150" s="1">
        <v>1.8389</v>
      </c>
      <c r="H2150" s="1">
        <v>1.6785000000000001</v>
      </c>
      <c r="I2150" s="1">
        <v>2.552</v>
      </c>
      <c r="J2150" s="1">
        <v>3.2949000000000002</v>
      </c>
    </row>
    <row r="2151" spans="2:10" x14ac:dyDescent="0.3">
      <c r="B2151" s="10">
        <f t="shared" si="66"/>
        <v>2018</v>
      </c>
      <c r="C2151" s="10">
        <f t="shared" si="67"/>
        <v>2</v>
      </c>
      <c r="D2151" s="3">
        <v>43140</v>
      </c>
      <c r="E2151" s="1">
        <v>62.79</v>
      </c>
      <c r="F2151" s="1">
        <v>59.2</v>
      </c>
      <c r="G2151" s="1">
        <v>1.8551</v>
      </c>
      <c r="H2151" s="1">
        <v>1.7001999999999999</v>
      </c>
      <c r="I2151" s="1">
        <v>2.5840000000000001</v>
      </c>
      <c r="J2151" s="1">
        <v>3.2938999999999998</v>
      </c>
    </row>
    <row r="2152" spans="2:10" x14ac:dyDescent="0.3">
      <c r="B2152" s="10">
        <f t="shared" si="66"/>
        <v>2018</v>
      </c>
      <c r="C2152" s="10">
        <f t="shared" si="67"/>
        <v>2</v>
      </c>
      <c r="D2152" s="3">
        <v>43139</v>
      </c>
      <c r="E2152" s="1">
        <v>64.81</v>
      </c>
      <c r="F2152" s="1">
        <v>61.15</v>
      </c>
      <c r="G2152" s="1">
        <v>1.9213</v>
      </c>
      <c r="H2152" s="1">
        <v>1.7649999999999999</v>
      </c>
      <c r="I2152" s="1">
        <v>2.6970000000000001</v>
      </c>
      <c r="J2152" s="1">
        <v>3.2856999999999998</v>
      </c>
    </row>
    <row r="2153" spans="2:10" x14ac:dyDescent="0.3">
      <c r="B2153" s="10">
        <f t="shared" si="66"/>
        <v>2018</v>
      </c>
      <c r="C2153" s="10">
        <f t="shared" si="67"/>
        <v>2</v>
      </c>
      <c r="D2153" s="3">
        <v>43138</v>
      </c>
      <c r="E2153" s="1">
        <v>65.510000000000005</v>
      </c>
      <c r="F2153" s="1">
        <v>61.79</v>
      </c>
      <c r="G2153" s="1">
        <v>1.9313</v>
      </c>
      <c r="H2153" s="1">
        <v>1.766</v>
      </c>
      <c r="I2153" s="1">
        <v>2.702</v>
      </c>
      <c r="J2153" s="1">
        <v>3.2713000000000001</v>
      </c>
    </row>
    <row r="2154" spans="2:10" x14ac:dyDescent="0.3">
      <c r="B2154" s="10">
        <f t="shared" si="66"/>
        <v>2018</v>
      </c>
      <c r="C2154" s="10">
        <f t="shared" si="67"/>
        <v>2</v>
      </c>
      <c r="D2154" s="3">
        <v>43137</v>
      </c>
      <c r="E2154" s="1">
        <v>66.86</v>
      </c>
      <c r="F2154" s="1">
        <v>63.39</v>
      </c>
      <c r="G2154" s="1">
        <v>1.9851000000000001</v>
      </c>
      <c r="H2154" s="1">
        <v>1.8051999999999999</v>
      </c>
      <c r="I2154" s="1">
        <v>2.7589999999999999</v>
      </c>
      <c r="J2154" s="1">
        <v>3.2347000000000001</v>
      </c>
    </row>
    <row r="2155" spans="2:10" x14ac:dyDescent="0.3">
      <c r="B2155" s="10">
        <f t="shared" si="66"/>
        <v>2018</v>
      </c>
      <c r="C2155" s="10">
        <f t="shared" si="67"/>
        <v>2</v>
      </c>
      <c r="D2155" s="3">
        <v>43136</v>
      </c>
      <c r="E2155" s="1">
        <v>67.62</v>
      </c>
      <c r="F2155" s="1">
        <v>64.150000000000006</v>
      </c>
      <c r="G2155" s="1">
        <v>2.0196000000000001</v>
      </c>
      <c r="H2155" s="1">
        <v>1.8466</v>
      </c>
      <c r="I2155" s="1">
        <v>2.7469999999999999</v>
      </c>
      <c r="J2155" s="1">
        <v>3.2624</v>
      </c>
    </row>
    <row r="2156" spans="2:10" x14ac:dyDescent="0.3">
      <c r="B2156" s="10">
        <f t="shared" si="66"/>
        <v>2018</v>
      </c>
      <c r="C2156" s="10">
        <f t="shared" si="67"/>
        <v>2</v>
      </c>
      <c r="D2156" s="3">
        <v>43133</v>
      </c>
      <c r="E2156" s="1">
        <v>68.58</v>
      </c>
      <c r="F2156" s="1">
        <v>65.45</v>
      </c>
      <c r="G2156" s="1">
        <v>2.0535000000000001</v>
      </c>
      <c r="H2156" s="1">
        <v>1.8720000000000001</v>
      </c>
      <c r="I2156" s="1">
        <v>2.8460000000000001</v>
      </c>
      <c r="J2156" s="1">
        <v>3.218</v>
      </c>
    </row>
    <row r="2157" spans="2:10" x14ac:dyDescent="0.3">
      <c r="B2157" s="10">
        <f t="shared" si="66"/>
        <v>2018</v>
      </c>
      <c r="C2157" s="10">
        <f t="shared" si="67"/>
        <v>2</v>
      </c>
      <c r="D2157" s="3">
        <v>43132</v>
      </c>
      <c r="E2157" s="1">
        <v>69.650000000000006</v>
      </c>
      <c r="F2157" s="1">
        <v>65.8</v>
      </c>
      <c r="G2157" s="1">
        <v>2.0903999999999998</v>
      </c>
      <c r="H2157" s="1">
        <v>1.8957999999999999</v>
      </c>
      <c r="I2157" s="1">
        <v>2.8559999999999999</v>
      </c>
      <c r="J2157" s="1">
        <v>3.1667999999999998</v>
      </c>
    </row>
    <row r="2158" spans="2:10" x14ac:dyDescent="0.3">
      <c r="B2158" s="10">
        <f t="shared" si="66"/>
        <v>2018</v>
      </c>
      <c r="C2158" s="10">
        <f t="shared" si="67"/>
        <v>1</v>
      </c>
      <c r="D2158" s="3">
        <v>43131</v>
      </c>
      <c r="E2158" s="1">
        <v>69.05</v>
      </c>
      <c r="F2158" s="1">
        <v>64.73</v>
      </c>
      <c r="G2158" s="1">
        <v>2.0691999999999999</v>
      </c>
      <c r="H2158" s="1">
        <v>1.9075</v>
      </c>
      <c r="I2158" s="1">
        <v>2.9950000000000001</v>
      </c>
      <c r="J2158" s="1">
        <v>3.1858</v>
      </c>
    </row>
    <row r="2159" spans="2:10" x14ac:dyDescent="0.3">
      <c r="B2159" s="10">
        <f t="shared" si="66"/>
        <v>2018</v>
      </c>
      <c r="C2159" s="10">
        <f t="shared" si="67"/>
        <v>1</v>
      </c>
      <c r="D2159" s="3">
        <v>43130</v>
      </c>
      <c r="E2159" s="1">
        <v>69.02</v>
      </c>
      <c r="F2159" s="1">
        <v>64.5</v>
      </c>
      <c r="G2159" s="1">
        <v>2.0716999999999999</v>
      </c>
      <c r="H2159" s="1">
        <v>1.8954</v>
      </c>
      <c r="I2159" s="1">
        <v>3.1949999999999998</v>
      </c>
      <c r="J2159" s="1">
        <v>3.1810999999999998</v>
      </c>
    </row>
    <row r="2160" spans="2:10" x14ac:dyDescent="0.3">
      <c r="B2160" s="10">
        <f t="shared" si="66"/>
        <v>2018</v>
      </c>
      <c r="C2160" s="10">
        <f t="shared" si="67"/>
        <v>1</v>
      </c>
      <c r="D2160" s="3">
        <v>43129</v>
      </c>
      <c r="E2160" s="1">
        <v>69.459999999999994</v>
      </c>
      <c r="F2160" s="1">
        <v>65.56</v>
      </c>
      <c r="G2160" s="1">
        <v>2.1048</v>
      </c>
      <c r="H2160" s="1">
        <v>1.9349000000000001</v>
      </c>
      <c r="I2160" s="1">
        <v>3.6309999999999998</v>
      </c>
      <c r="J2160" s="1">
        <v>3.1549</v>
      </c>
    </row>
    <row r="2161" spans="2:10" x14ac:dyDescent="0.3">
      <c r="B2161" s="10">
        <f t="shared" si="66"/>
        <v>2018</v>
      </c>
      <c r="C2161" s="10">
        <f t="shared" si="67"/>
        <v>1</v>
      </c>
      <c r="D2161" s="3">
        <v>43126</v>
      </c>
      <c r="E2161" s="1">
        <v>70.52</v>
      </c>
      <c r="F2161" s="1">
        <v>66.14</v>
      </c>
      <c r="G2161" s="1">
        <v>2.1360000000000001</v>
      </c>
      <c r="H2161" s="1">
        <v>1.9377</v>
      </c>
      <c r="I2161" s="1">
        <v>3.5049999999999999</v>
      </c>
      <c r="J2161" s="1">
        <v>3.1509</v>
      </c>
    </row>
    <row r="2162" spans="2:10" x14ac:dyDescent="0.3">
      <c r="B2162" s="10">
        <f t="shared" si="66"/>
        <v>2018</v>
      </c>
      <c r="C2162" s="10">
        <f t="shared" si="67"/>
        <v>1</v>
      </c>
      <c r="D2162" s="3">
        <v>43125</v>
      </c>
      <c r="E2162" s="1">
        <v>70.42</v>
      </c>
      <c r="F2162" s="1">
        <v>65.510000000000005</v>
      </c>
      <c r="G2162" s="1">
        <v>2.1154000000000002</v>
      </c>
      <c r="H2162" s="1">
        <v>1.9154</v>
      </c>
      <c r="I2162" s="1">
        <v>3.4470000000000001</v>
      </c>
      <c r="J2162" s="1">
        <v>3.1469999999999998</v>
      </c>
    </row>
    <row r="2163" spans="2:10" x14ac:dyDescent="0.3">
      <c r="B2163" s="10">
        <f t="shared" si="66"/>
        <v>2018</v>
      </c>
      <c r="C2163" s="10">
        <f t="shared" si="67"/>
        <v>1</v>
      </c>
      <c r="D2163" s="3">
        <v>43124</v>
      </c>
      <c r="E2163" s="1">
        <v>70.53</v>
      </c>
      <c r="F2163" s="1">
        <v>65.61</v>
      </c>
      <c r="G2163" s="1">
        <v>2.1061000000000001</v>
      </c>
      <c r="H2163" s="1">
        <v>1.9164000000000001</v>
      </c>
      <c r="I2163" s="1">
        <v>3.5089999999999999</v>
      </c>
      <c r="J2163" s="1">
        <v>3.1463999999999999</v>
      </c>
    </row>
    <row r="2164" spans="2:10" x14ac:dyDescent="0.3">
      <c r="B2164" s="10">
        <f t="shared" si="66"/>
        <v>2018</v>
      </c>
      <c r="C2164" s="10">
        <f t="shared" si="67"/>
        <v>1</v>
      </c>
      <c r="D2164" s="3">
        <v>43123</v>
      </c>
      <c r="E2164" s="1">
        <v>69.959999999999994</v>
      </c>
      <c r="F2164" s="1">
        <v>64.47</v>
      </c>
      <c r="G2164" s="1">
        <v>2.0861000000000001</v>
      </c>
      <c r="H2164" s="1">
        <v>1.9087000000000001</v>
      </c>
      <c r="I2164" s="1">
        <v>3.444</v>
      </c>
      <c r="J2164" s="1">
        <v>3.2368999999999999</v>
      </c>
    </row>
    <row r="2165" spans="2:10" x14ac:dyDescent="0.3">
      <c r="B2165" s="10">
        <f t="shared" si="66"/>
        <v>2018</v>
      </c>
      <c r="C2165" s="10">
        <f t="shared" si="67"/>
        <v>1</v>
      </c>
      <c r="D2165" s="3">
        <v>43122</v>
      </c>
      <c r="E2165" s="1">
        <v>69.03</v>
      </c>
      <c r="F2165" s="1">
        <v>63.49</v>
      </c>
      <c r="G2165" s="1">
        <v>2.0569000000000002</v>
      </c>
      <c r="H2165" s="1">
        <v>1.8801000000000001</v>
      </c>
      <c r="I2165" s="1">
        <v>3.2240000000000002</v>
      </c>
      <c r="J2165" s="1">
        <v>3.202</v>
      </c>
    </row>
    <row r="2166" spans="2:10" x14ac:dyDescent="0.3">
      <c r="B2166" s="10">
        <f t="shared" si="66"/>
        <v>2018</v>
      </c>
      <c r="C2166" s="10">
        <f t="shared" si="67"/>
        <v>1</v>
      </c>
      <c r="D2166" s="3">
        <v>43119</v>
      </c>
      <c r="E2166" s="1">
        <v>68.61</v>
      </c>
      <c r="F2166" s="1">
        <v>63.37</v>
      </c>
      <c r="G2166" s="1">
        <v>2.0583999999999998</v>
      </c>
      <c r="H2166" s="1">
        <v>1.8635999999999999</v>
      </c>
      <c r="I2166" s="1">
        <v>3.1850000000000001</v>
      </c>
      <c r="J2166" s="1">
        <v>3.1960999999999999</v>
      </c>
    </row>
    <row r="2167" spans="2:10" x14ac:dyDescent="0.3">
      <c r="B2167" s="10">
        <f t="shared" si="66"/>
        <v>2018</v>
      </c>
      <c r="C2167" s="10">
        <f t="shared" si="67"/>
        <v>1</v>
      </c>
      <c r="D2167" s="3">
        <v>43118</v>
      </c>
      <c r="E2167" s="1">
        <v>69.31</v>
      </c>
      <c r="F2167" s="1">
        <v>63.95</v>
      </c>
      <c r="G2167" s="1">
        <v>2.0617000000000001</v>
      </c>
      <c r="H2167" s="1">
        <v>1.8835</v>
      </c>
      <c r="I2167" s="1">
        <v>3.1890000000000001</v>
      </c>
      <c r="J2167" s="1">
        <v>3.2063999999999999</v>
      </c>
    </row>
    <row r="2168" spans="2:10" x14ac:dyDescent="0.3">
      <c r="B2168" s="10">
        <f t="shared" si="66"/>
        <v>2018</v>
      </c>
      <c r="C2168" s="10">
        <f t="shared" si="67"/>
        <v>1</v>
      </c>
      <c r="D2168" s="3">
        <v>43117</v>
      </c>
      <c r="E2168" s="1">
        <v>69.38</v>
      </c>
      <c r="F2168" s="1">
        <v>63.97</v>
      </c>
      <c r="G2168" s="1">
        <v>2.0691000000000002</v>
      </c>
      <c r="H2168" s="1">
        <v>1.8584000000000001</v>
      </c>
      <c r="I2168" s="1">
        <v>3.2320000000000002</v>
      </c>
      <c r="J2168" s="1">
        <v>3.2237</v>
      </c>
    </row>
    <row r="2169" spans="2:10" x14ac:dyDescent="0.3">
      <c r="B2169" s="10">
        <f t="shared" si="66"/>
        <v>2018</v>
      </c>
      <c r="C2169" s="10">
        <f t="shared" si="67"/>
        <v>1</v>
      </c>
      <c r="D2169" s="3">
        <v>43116</v>
      </c>
      <c r="E2169" s="1">
        <v>69.150000000000006</v>
      </c>
      <c r="F2169" s="1">
        <v>63.73</v>
      </c>
      <c r="G2169" s="1">
        <v>2.0634000000000001</v>
      </c>
      <c r="H2169" s="1">
        <v>1.8384</v>
      </c>
      <c r="I2169" s="1">
        <v>3.129</v>
      </c>
      <c r="J2169" s="1">
        <v>3.2242000000000002</v>
      </c>
    </row>
    <row r="2170" spans="2:10" x14ac:dyDescent="0.3">
      <c r="B2170" s="10">
        <f t="shared" si="66"/>
        <v>2018</v>
      </c>
      <c r="C2170" s="10">
        <f t="shared" si="67"/>
        <v>1</v>
      </c>
      <c r="D2170" s="3">
        <v>43115</v>
      </c>
      <c r="E2170" s="1">
        <v>70.260000000000005</v>
      </c>
      <c r="J2170" s="1">
        <v>3.2162000000000002</v>
      </c>
    </row>
    <row r="2171" spans="2:10" x14ac:dyDescent="0.3">
      <c r="B2171" s="10">
        <f t="shared" si="66"/>
        <v>2018</v>
      </c>
      <c r="C2171" s="10">
        <f t="shared" si="67"/>
        <v>1</v>
      </c>
      <c r="D2171" s="3">
        <v>43112</v>
      </c>
      <c r="E2171" s="1">
        <v>69.87</v>
      </c>
      <c r="F2171" s="1">
        <v>64.3</v>
      </c>
      <c r="G2171" s="1">
        <v>2.085</v>
      </c>
      <c r="H2171" s="1">
        <v>1.8494999999999999</v>
      </c>
      <c r="I2171" s="1">
        <v>3.2</v>
      </c>
      <c r="J2171" s="1">
        <v>3.2063000000000001</v>
      </c>
    </row>
    <row r="2172" spans="2:10" x14ac:dyDescent="0.3">
      <c r="B2172" s="10">
        <f t="shared" si="66"/>
        <v>2018</v>
      </c>
      <c r="C2172" s="10">
        <f t="shared" si="67"/>
        <v>1</v>
      </c>
      <c r="D2172" s="3">
        <v>43111</v>
      </c>
      <c r="E2172" s="1">
        <v>69.260000000000005</v>
      </c>
      <c r="F2172" s="1">
        <v>63.8</v>
      </c>
      <c r="G2172" s="1">
        <v>2.0767000000000002</v>
      </c>
      <c r="H2172" s="1">
        <v>1.837</v>
      </c>
      <c r="I2172" s="1">
        <v>3.0840000000000001</v>
      </c>
      <c r="J2172" s="1">
        <v>3.2153999999999998</v>
      </c>
    </row>
    <row r="2173" spans="2:10" x14ac:dyDescent="0.3">
      <c r="B2173" s="10">
        <f t="shared" si="66"/>
        <v>2018</v>
      </c>
      <c r="C2173" s="10">
        <f t="shared" si="67"/>
        <v>1</v>
      </c>
      <c r="D2173" s="3">
        <v>43110</v>
      </c>
      <c r="E2173" s="1">
        <v>69.2</v>
      </c>
      <c r="F2173" s="1">
        <v>63.57</v>
      </c>
      <c r="G2173" s="1">
        <v>2.0807000000000002</v>
      </c>
      <c r="H2173" s="1">
        <v>1.8327</v>
      </c>
      <c r="I2173" s="1">
        <v>2.9060000000000001</v>
      </c>
      <c r="J2173" s="1">
        <v>3.2280000000000002</v>
      </c>
    </row>
    <row r="2174" spans="2:10" x14ac:dyDescent="0.3">
      <c r="B2174" s="10">
        <f t="shared" si="66"/>
        <v>2018</v>
      </c>
      <c r="C2174" s="10">
        <f t="shared" si="67"/>
        <v>1</v>
      </c>
      <c r="D2174" s="3">
        <v>43109</v>
      </c>
      <c r="E2174" s="1">
        <v>68.819999999999993</v>
      </c>
      <c r="F2174" s="1">
        <v>62.96</v>
      </c>
      <c r="G2174" s="1">
        <v>2.0661999999999998</v>
      </c>
      <c r="H2174" s="1">
        <v>1.8362000000000001</v>
      </c>
      <c r="I2174" s="1">
        <v>2.923</v>
      </c>
      <c r="J2174" s="1">
        <v>3.2482000000000002</v>
      </c>
    </row>
    <row r="2175" spans="2:10" x14ac:dyDescent="0.3">
      <c r="B2175" s="10">
        <f t="shared" si="66"/>
        <v>2018</v>
      </c>
      <c r="C2175" s="10">
        <f t="shared" si="67"/>
        <v>1</v>
      </c>
      <c r="D2175" s="3">
        <v>43108</v>
      </c>
      <c r="E2175" s="1">
        <v>67.78</v>
      </c>
      <c r="F2175" s="1">
        <v>61.73</v>
      </c>
      <c r="G2175" s="1">
        <v>2.0453999999999999</v>
      </c>
      <c r="H2175" s="1">
        <v>1.7918000000000001</v>
      </c>
      <c r="I2175" s="1">
        <v>2.835</v>
      </c>
      <c r="J2175" s="1">
        <v>3.2406000000000001</v>
      </c>
    </row>
    <row r="2176" spans="2:10" x14ac:dyDescent="0.3">
      <c r="B2176" s="10">
        <f t="shared" si="66"/>
        <v>2018</v>
      </c>
      <c r="C2176" s="10">
        <f t="shared" si="67"/>
        <v>1</v>
      </c>
      <c r="D2176" s="3">
        <v>43105</v>
      </c>
      <c r="E2176" s="1">
        <v>67.62</v>
      </c>
      <c r="F2176" s="1">
        <v>61.44</v>
      </c>
      <c r="G2176" s="1">
        <v>2.0587</v>
      </c>
      <c r="H2176" s="1">
        <v>1.7858000000000001</v>
      </c>
      <c r="I2176" s="1">
        <v>2.7949999999999999</v>
      </c>
      <c r="J2176" s="1">
        <v>3.2288000000000001</v>
      </c>
    </row>
    <row r="2177" spans="2:10" x14ac:dyDescent="0.3">
      <c r="B2177" s="10">
        <f t="shared" si="66"/>
        <v>2018</v>
      </c>
      <c r="C2177" s="10">
        <f t="shared" si="67"/>
        <v>1</v>
      </c>
      <c r="D2177" s="3">
        <v>43104</v>
      </c>
      <c r="E2177" s="1">
        <v>68.069999999999993</v>
      </c>
      <c r="F2177" s="1">
        <v>62.01</v>
      </c>
      <c r="G2177" s="1">
        <v>2.077</v>
      </c>
      <c r="H2177" s="1">
        <v>1.8067</v>
      </c>
      <c r="I2177" s="1">
        <v>2.88</v>
      </c>
      <c r="J2177" s="1">
        <v>3.2343999999999999</v>
      </c>
    </row>
    <row r="2178" spans="2:10" x14ac:dyDescent="0.3">
      <c r="B2178" s="10">
        <f t="shared" si="66"/>
        <v>2018</v>
      </c>
      <c r="C2178" s="10">
        <f t="shared" si="67"/>
        <v>1</v>
      </c>
      <c r="D2178" s="3">
        <v>43103</v>
      </c>
      <c r="E2178" s="1">
        <v>67.84</v>
      </c>
      <c r="F2178" s="1">
        <v>61.63</v>
      </c>
      <c r="G2178" s="1">
        <v>2.0880000000000001</v>
      </c>
      <c r="H2178" s="1">
        <v>1.7974000000000001</v>
      </c>
      <c r="I2178" s="1">
        <v>3.008</v>
      </c>
      <c r="J2178" s="1">
        <v>3.2368999999999999</v>
      </c>
    </row>
    <row r="2179" spans="2:10" x14ac:dyDescent="0.3">
      <c r="B2179" s="10">
        <f t="shared" si="66"/>
        <v>2018</v>
      </c>
      <c r="C2179" s="10">
        <f t="shared" si="67"/>
        <v>1</v>
      </c>
      <c r="D2179" s="3">
        <v>43102</v>
      </c>
      <c r="E2179" s="1">
        <v>66.569999999999993</v>
      </c>
      <c r="F2179" s="1">
        <v>60.37</v>
      </c>
      <c r="G2179" s="1">
        <v>2.0583999999999998</v>
      </c>
      <c r="H2179" s="1">
        <v>1.7630999999999999</v>
      </c>
      <c r="I2179" s="1">
        <v>3.056</v>
      </c>
      <c r="J2179" s="1">
        <v>3.2587999999999999</v>
      </c>
    </row>
    <row r="2180" spans="2:10" x14ac:dyDescent="0.3">
      <c r="B2180" s="10">
        <f t="shared" si="66"/>
        <v>2018</v>
      </c>
      <c r="C2180" s="10">
        <f t="shared" si="67"/>
        <v>1</v>
      </c>
      <c r="D2180" s="3">
        <v>43101</v>
      </c>
      <c r="J2180" s="1">
        <v>3.3121</v>
      </c>
    </row>
    <row r="2181" spans="2:10" x14ac:dyDescent="0.3">
      <c r="B2181" s="10">
        <f t="shared" si="66"/>
        <v>2017</v>
      </c>
      <c r="C2181" s="10">
        <f t="shared" si="67"/>
        <v>12</v>
      </c>
      <c r="D2181" s="3">
        <v>43098</v>
      </c>
      <c r="E2181" s="1">
        <v>66.87</v>
      </c>
      <c r="F2181" s="1">
        <v>60.42</v>
      </c>
      <c r="G2181" s="1">
        <v>2.0754999999999999</v>
      </c>
      <c r="H2181" s="1">
        <v>1.7991999999999999</v>
      </c>
      <c r="I2181" s="1">
        <v>2.9529999999999998</v>
      </c>
      <c r="J2181" s="1">
        <v>3.3121</v>
      </c>
    </row>
    <row r="2182" spans="2:10" x14ac:dyDescent="0.3">
      <c r="B2182" s="10">
        <f t="shared" ref="B2182:B2245" si="68">YEAR(D2182)</f>
        <v>2017</v>
      </c>
      <c r="C2182" s="10">
        <f t="shared" ref="C2182:C2245" si="69">MONTH(D2182)</f>
        <v>12</v>
      </c>
      <c r="D2182" s="3">
        <v>43097</v>
      </c>
      <c r="E2182" s="1">
        <v>66.72</v>
      </c>
      <c r="F2182" s="1">
        <v>59.84</v>
      </c>
      <c r="G2182" s="1">
        <v>2.0520999999999998</v>
      </c>
      <c r="H2182" s="1">
        <v>1.7929999999999999</v>
      </c>
      <c r="I2182" s="1">
        <v>2.9140000000000001</v>
      </c>
      <c r="J2182" s="1">
        <v>3.3121</v>
      </c>
    </row>
    <row r="2183" spans="2:10" x14ac:dyDescent="0.3">
      <c r="B2183" s="10">
        <f t="shared" si="68"/>
        <v>2017</v>
      </c>
      <c r="C2183" s="10">
        <f t="shared" si="69"/>
        <v>12</v>
      </c>
      <c r="D2183" s="3">
        <v>43096</v>
      </c>
      <c r="E2183" s="1">
        <v>66.44</v>
      </c>
      <c r="F2183" s="1">
        <v>59.64</v>
      </c>
      <c r="G2183" s="1">
        <v>2.0402</v>
      </c>
      <c r="H2183" s="1">
        <v>1.7915000000000001</v>
      </c>
      <c r="I2183" s="1">
        <v>2.738</v>
      </c>
      <c r="J2183" s="1">
        <v>3.3149000000000002</v>
      </c>
    </row>
    <row r="2184" spans="2:10" x14ac:dyDescent="0.3">
      <c r="B2184" s="10">
        <f t="shared" si="68"/>
        <v>2017</v>
      </c>
      <c r="C2184" s="10">
        <f t="shared" si="69"/>
        <v>12</v>
      </c>
      <c r="D2184" s="3">
        <v>43095</v>
      </c>
      <c r="E2184" s="1">
        <v>67.02</v>
      </c>
      <c r="F2184" s="1">
        <v>59.97</v>
      </c>
      <c r="G2184" s="1">
        <v>2.0385</v>
      </c>
      <c r="H2184" s="1">
        <v>1.7866</v>
      </c>
      <c r="I2184" s="1">
        <v>2.6429999999999998</v>
      </c>
      <c r="J2184" s="1">
        <v>3.3109999999999999</v>
      </c>
    </row>
    <row r="2185" spans="2:10" x14ac:dyDescent="0.3">
      <c r="B2185" s="10">
        <f t="shared" si="68"/>
        <v>2017</v>
      </c>
      <c r="C2185" s="10">
        <f t="shared" si="69"/>
        <v>12</v>
      </c>
      <c r="D2185" s="3">
        <v>43094</v>
      </c>
      <c r="J2185" s="1">
        <v>3.3369</v>
      </c>
    </row>
    <row r="2186" spans="2:10" x14ac:dyDescent="0.3">
      <c r="B2186" s="10">
        <f t="shared" si="68"/>
        <v>2017</v>
      </c>
      <c r="C2186" s="10">
        <f t="shared" si="69"/>
        <v>12</v>
      </c>
      <c r="D2186" s="3">
        <v>43091</v>
      </c>
      <c r="E2186" s="1">
        <v>65.25</v>
      </c>
      <c r="F2186" s="1">
        <v>58.47</v>
      </c>
      <c r="G2186" s="1">
        <v>1.9694</v>
      </c>
      <c r="H2186" s="1">
        <v>1.7623</v>
      </c>
      <c r="I2186" s="1">
        <v>2.6669999999999998</v>
      </c>
      <c r="J2186" s="1">
        <v>3.3369</v>
      </c>
    </row>
    <row r="2187" spans="2:10" x14ac:dyDescent="0.3">
      <c r="B2187" s="10">
        <f t="shared" si="68"/>
        <v>2017</v>
      </c>
      <c r="C2187" s="10">
        <f t="shared" si="69"/>
        <v>12</v>
      </c>
      <c r="D2187" s="3">
        <v>43090</v>
      </c>
      <c r="E2187" s="1">
        <v>64.900000000000006</v>
      </c>
      <c r="F2187" s="1">
        <v>58.36</v>
      </c>
      <c r="G2187" s="1">
        <v>1.9501999999999999</v>
      </c>
      <c r="H2187" s="1">
        <v>1.7476</v>
      </c>
      <c r="I2187" s="1">
        <v>2.5979999999999999</v>
      </c>
      <c r="J2187" s="1">
        <v>3.3083</v>
      </c>
    </row>
    <row r="2188" spans="2:10" x14ac:dyDescent="0.3">
      <c r="B2188" s="10">
        <f t="shared" si="68"/>
        <v>2017</v>
      </c>
      <c r="C2188" s="10">
        <f t="shared" si="69"/>
        <v>12</v>
      </c>
      <c r="D2188" s="3">
        <v>43089</v>
      </c>
      <c r="E2188" s="1">
        <v>64.56</v>
      </c>
      <c r="F2188" s="1">
        <v>58.09</v>
      </c>
      <c r="G2188" s="1">
        <v>1.9441999999999999</v>
      </c>
      <c r="H2188" s="1">
        <v>1.7353000000000001</v>
      </c>
      <c r="I2188" s="1">
        <v>2.637</v>
      </c>
      <c r="J2188" s="1">
        <v>3.2976999999999999</v>
      </c>
    </row>
    <row r="2189" spans="2:10" x14ac:dyDescent="0.3">
      <c r="B2189" s="10">
        <f t="shared" si="68"/>
        <v>2017</v>
      </c>
      <c r="C2189" s="10">
        <f t="shared" si="69"/>
        <v>12</v>
      </c>
      <c r="D2189" s="3">
        <v>43088</v>
      </c>
      <c r="E2189" s="1">
        <v>63.8</v>
      </c>
      <c r="F2189" s="1">
        <v>57.46</v>
      </c>
      <c r="G2189" s="1">
        <v>1.9399</v>
      </c>
      <c r="H2189" s="1">
        <v>1.6966000000000001</v>
      </c>
      <c r="I2189" s="1">
        <v>2.6920000000000002</v>
      </c>
      <c r="J2189" s="1">
        <v>3.2898999999999998</v>
      </c>
    </row>
    <row r="2190" spans="2:10" x14ac:dyDescent="0.3">
      <c r="B2190" s="10">
        <f t="shared" si="68"/>
        <v>2017</v>
      </c>
      <c r="C2190" s="10">
        <f t="shared" si="69"/>
        <v>12</v>
      </c>
      <c r="D2190" s="3">
        <v>43087</v>
      </c>
      <c r="E2190" s="1">
        <v>63.41</v>
      </c>
      <c r="F2190" s="1">
        <v>57.16</v>
      </c>
      <c r="G2190" s="1">
        <v>1.9252</v>
      </c>
      <c r="H2190" s="1">
        <v>1.6725000000000001</v>
      </c>
      <c r="I2190" s="1">
        <v>2.7450000000000001</v>
      </c>
      <c r="J2190" s="1">
        <v>3.2921999999999998</v>
      </c>
    </row>
    <row r="2191" spans="2:10" x14ac:dyDescent="0.3">
      <c r="B2191" s="10">
        <f t="shared" si="68"/>
        <v>2017</v>
      </c>
      <c r="C2191" s="10">
        <f t="shared" si="69"/>
        <v>12</v>
      </c>
      <c r="D2191" s="3">
        <v>43084</v>
      </c>
      <c r="E2191" s="1">
        <v>63.23</v>
      </c>
      <c r="F2191" s="1">
        <v>57.3</v>
      </c>
      <c r="G2191" s="1">
        <v>1.9035</v>
      </c>
      <c r="H2191" s="1">
        <v>1.6548</v>
      </c>
      <c r="I2191" s="1">
        <v>2.6120000000000001</v>
      </c>
      <c r="J2191" s="1">
        <v>3.2946</v>
      </c>
    </row>
    <row r="2192" spans="2:10" x14ac:dyDescent="0.3">
      <c r="B2192" s="10">
        <f t="shared" si="68"/>
        <v>2017</v>
      </c>
      <c r="C2192" s="10">
        <f t="shared" si="69"/>
        <v>12</v>
      </c>
      <c r="D2192" s="3">
        <v>43083</v>
      </c>
      <c r="E2192" s="1">
        <v>63.31</v>
      </c>
      <c r="F2192" s="1">
        <v>57.04</v>
      </c>
      <c r="G2192" s="1">
        <v>1.9098999999999999</v>
      </c>
      <c r="H2192" s="1">
        <v>1.6707000000000001</v>
      </c>
      <c r="I2192" s="1">
        <v>2.6840000000000002</v>
      </c>
      <c r="J2192" s="1">
        <v>3.3418000000000001</v>
      </c>
    </row>
    <row r="2193" spans="2:10" x14ac:dyDescent="0.3">
      <c r="B2193" s="10">
        <f t="shared" si="68"/>
        <v>2017</v>
      </c>
      <c r="C2193" s="10">
        <f t="shared" si="69"/>
        <v>12</v>
      </c>
      <c r="D2193" s="3">
        <v>43082</v>
      </c>
      <c r="E2193" s="1">
        <v>62.44</v>
      </c>
      <c r="F2193" s="1">
        <v>56.6</v>
      </c>
      <c r="G2193" s="1">
        <v>1.9044000000000001</v>
      </c>
      <c r="H2193" s="1">
        <v>1.6467000000000001</v>
      </c>
      <c r="I2193" s="1">
        <v>2.7149999999999999</v>
      </c>
      <c r="J2193" s="1">
        <v>3.3098999999999998</v>
      </c>
    </row>
    <row r="2194" spans="2:10" x14ac:dyDescent="0.3">
      <c r="B2194" s="10">
        <f t="shared" si="68"/>
        <v>2017</v>
      </c>
      <c r="C2194" s="10">
        <f t="shared" si="69"/>
        <v>12</v>
      </c>
      <c r="D2194" s="3">
        <v>43081</v>
      </c>
      <c r="E2194" s="1">
        <v>63.34</v>
      </c>
      <c r="F2194" s="1">
        <v>57.14</v>
      </c>
      <c r="G2194" s="1">
        <v>1.9336</v>
      </c>
      <c r="H2194" s="1">
        <v>1.6976</v>
      </c>
      <c r="I2194" s="1">
        <v>2.6779999999999999</v>
      </c>
      <c r="J2194" s="1">
        <v>3.3064</v>
      </c>
    </row>
    <row r="2195" spans="2:10" x14ac:dyDescent="0.3">
      <c r="B2195" s="10">
        <f t="shared" si="68"/>
        <v>2017</v>
      </c>
      <c r="C2195" s="10">
        <f t="shared" si="69"/>
        <v>12</v>
      </c>
      <c r="D2195" s="3">
        <v>43080</v>
      </c>
      <c r="E2195" s="1">
        <v>64.69</v>
      </c>
      <c r="F2195" s="1">
        <v>57.99</v>
      </c>
      <c r="G2195" s="1">
        <v>1.9505999999999999</v>
      </c>
      <c r="H2195" s="1">
        <v>1.7265999999999999</v>
      </c>
      <c r="I2195" s="1">
        <v>2.8279999999999998</v>
      </c>
      <c r="J2195" s="1">
        <v>3.3047</v>
      </c>
    </row>
    <row r="2196" spans="2:10" x14ac:dyDescent="0.3">
      <c r="B2196" s="10">
        <f t="shared" si="68"/>
        <v>2017</v>
      </c>
      <c r="C2196" s="10">
        <f t="shared" si="69"/>
        <v>12</v>
      </c>
      <c r="D2196" s="3">
        <v>43077</v>
      </c>
      <c r="E2196" s="1">
        <v>63.4</v>
      </c>
      <c r="F2196" s="1">
        <v>57.36</v>
      </c>
      <c r="G2196" s="1">
        <v>1.9288000000000001</v>
      </c>
      <c r="H2196" s="1">
        <v>1.7165999999999999</v>
      </c>
      <c r="I2196" s="1">
        <v>2.7719999999999998</v>
      </c>
      <c r="J2196" s="1">
        <v>3.2917999999999998</v>
      </c>
    </row>
    <row r="2197" spans="2:10" x14ac:dyDescent="0.3">
      <c r="B2197" s="10">
        <f t="shared" si="68"/>
        <v>2017</v>
      </c>
      <c r="C2197" s="10">
        <f t="shared" si="69"/>
        <v>12</v>
      </c>
      <c r="D2197" s="3">
        <v>43076</v>
      </c>
      <c r="E2197" s="1">
        <v>62.2</v>
      </c>
      <c r="F2197" s="1">
        <v>56.69</v>
      </c>
      <c r="G2197" s="1">
        <v>1.897</v>
      </c>
      <c r="H2197" s="1">
        <v>1.7</v>
      </c>
      <c r="I2197" s="1">
        <v>2.7629999999999999</v>
      </c>
      <c r="J2197" s="1">
        <v>3.2906</v>
      </c>
    </row>
    <row r="2198" spans="2:10" x14ac:dyDescent="0.3">
      <c r="B2198" s="10">
        <f t="shared" si="68"/>
        <v>2017</v>
      </c>
      <c r="C2198" s="10">
        <f t="shared" si="69"/>
        <v>12</v>
      </c>
      <c r="D2198" s="3">
        <v>43075</v>
      </c>
      <c r="E2198" s="1">
        <v>61.22</v>
      </c>
      <c r="F2198" s="1">
        <v>55.96</v>
      </c>
      <c r="G2198" s="1">
        <v>1.8613</v>
      </c>
      <c r="H2198" s="1">
        <v>1.6609</v>
      </c>
      <c r="I2198" s="1">
        <v>2.9220000000000002</v>
      </c>
      <c r="J2198" s="1">
        <v>3.2355999999999998</v>
      </c>
    </row>
    <row r="2199" spans="2:10" x14ac:dyDescent="0.3">
      <c r="B2199" s="10">
        <f t="shared" si="68"/>
        <v>2017</v>
      </c>
      <c r="C2199" s="10">
        <f t="shared" si="69"/>
        <v>12</v>
      </c>
      <c r="D2199" s="3">
        <v>43074</v>
      </c>
      <c r="E2199" s="1">
        <v>62.86</v>
      </c>
      <c r="F2199" s="1">
        <v>57.62</v>
      </c>
      <c r="G2199" s="1">
        <v>1.9138999999999999</v>
      </c>
      <c r="H2199" s="1">
        <v>1.7183999999999999</v>
      </c>
      <c r="I2199" s="1">
        <v>2.9140000000000001</v>
      </c>
      <c r="J2199" s="1">
        <v>3.2414000000000001</v>
      </c>
    </row>
    <row r="2200" spans="2:10" x14ac:dyDescent="0.3">
      <c r="B2200" s="10">
        <f t="shared" si="68"/>
        <v>2017</v>
      </c>
      <c r="C2200" s="10">
        <f t="shared" si="69"/>
        <v>12</v>
      </c>
      <c r="D2200" s="3">
        <v>43073</v>
      </c>
      <c r="E2200" s="1">
        <v>62.45</v>
      </c>
      <c r="F2200" s="1">
        <v>57.47</v>
      </c>
      <c r="G2200" s="1">
        <v>1.8945000000000001</v>
      </c>
      <c r="H2200" s="1">
        <v>1.6921999999999999</v>
      </c>
      <c r="I2200" s="1">
        <v>2.9849999999999999</v>
      </c>
      <c r="J2200" s="1">
        <v>3.2441</v>
      </c>
    </row>
    <row r="2201" spans="2:10" x14ac:dyDescent="0.3">
      <c r="B2201" s="10">
        <f t="shared" si="68"/>
        <v>2017</v>
      </c>
      <c r="C2201" s="10">
        <f t="shared" si="69"/>
        <v>12</v>
      </c>
      <c r="D2201" s="3">
        <v>43070</v>
      </c>
      <c r="E2201" s="1">
        <v>63.73</v>
      </c>
      <c r="F2201" s="1">
        <v>58.36</v>
      </c>
      <c r="G2201" s="1">
        <v>1.9413</v>
      </c>
      <c r="H2201" s="1">
        <v>1.7416</v>
      </c>
      <c r="I2201" s="1">
        <v>3.0609999999999999</v>
      </c>
      <c r="J2201" s="1">
        <v>3.258</v>
      </c>
    </row>
    <row r="2202" spans="2:10" x14ac:dyDescent="0.3">
      <c r="B2202" s="10">
        <f t="shared" si="68"/>
        <v>2017</v>
      </c>
      <c r="C2202" s="10">
        <f t="shared" si="69"/>
        <v>11</v>
      </c>
      <c r="D2202" s="3">
        <v>43069</v>
      </c>
      <c r="E2202" s="1">
        <v>63.57</v>
      </c>
      <c r="F2202" s="1">
        <v>57.4</v>
      </c>
      <c r="G2202" s="1">
        <v>1.8927</v>
      </c>
      <c r="H2202" s="1">
        <v>1.7283999999999999</v>
      </c>
      <c r="I2202" s="1">
        <v>3.0249999999999999</v>
      </c>
      <c r="J2202" s="1">
        <v>3.2726000000000002</v>
      </c>
    </row>
    <row r="2203" spans="2:10" x14ac:dyDescent="0.3">
      <c r="B2203" s="10">
        <f t="shared" si="68"/>
        <v>2017</v>
      </c>
      <c r="C2203" s="10">
        <f t="shared" si="69"/>
        <v>11</v>
      </c>
      <c r="D2203" s="3">
        <v>43068</v>
      </c>
      <c r="E2203" s="1">
        <v>63.11</v>
      </c>
      <c r="F2203" s="1">
        <v>57.3</v>
      </c>
      <c r="G2203" s="1">
        <v>1.9220999999999999</v>
      </c>
      <c r="H2203" s="1">
        <v>1.7309000000000001</v>
      </c>
      <c r="I2203" s="1">
        <v>3.1789999999999998</v>
      </c>
      <c r="J2203" s="1">
        <v>3.246</v>
      </c>
    </row>
    <row r="2204" spans="2:10" x14ac:dyDescent="0.3">
      <c r="B2204" s="10">
        <f t="shared" si="68"/>
        <v>2017</v>
      </c>
      <c r="C2204" s="10">
        <f t="shared" si="69"/>
        <v>11</v>
      </c>
      <c r="D2204" s="3">
        <v>43067</v>
      </c>
      <c r="E2204" s="1">
        <v>63.61</v>
      </c>
      <c r="F2204" s="1">
        <v>57.99</v>
      </c>
      <c r="G2204" s="1">
        <v>1.9507000000000001</v>
      </c>
      <c r="H2204" s="1">
        <v>1.772</v>
      </c>
      <c r="I2204" s="1">
        <v>3.0739999999999998</v>
      </c>
      <c r="J2204" s="1">
        <v>3.2126999999999999</v>
      </c>
    </row>
    <row r="2205" spans="2:10" x14ac:dyDescent="0.3">
      <c r="B2205" s="10">
        <f t="shared" si="68"/>
        <v>2017</v>
      </c>
      <c r="C2205" s="10">
        <f t="shared" si="69"/>
        <v>11</v>
      </c>
      <c r="D2205" s="3">
        <v>43066</v>
      </c>
      <c r="E2205" s="1">
        <v>63.84</v>
      </c>
      <c r="F2205" s="1">
        <v>58.11</v>
      </c>
      <c r="G2205" s="1">
        <v>1.9478</v>
      </c>
      <c r="H2205" s="1">
        <v>1.7892999999999999</v>
      </c>
      <c r="I2205" s="1">
        <v>2.9279999999999999</v>
      </c>
      <c r="J2205" s="1">
        <v>3.2277</v>
      </c>
    </row>
    <row r="2206" spans="2:10" x14ac:dyDescent="0.3">
      <c r="B2206" s="10">
        <f t="shared" si="68"/>
        <v>2017</v>
      </c>
      <c r="C2206" s="10">
        <f t="shared" si="69"/>
        <v>11</v>
      </c>
      <c r="D2206" s="3">
        <v>43063</v>
      </c>
      <c r="E2206" s="1">
        <v>63.86</v>
      </c>
      <c r="F2206" s="1">
        <v>58.95</v>
      </c>
      <c r="G2206" s="1">
        <v>1.9529000000000001</v>
      </c>
      <c r="H2206" s="1">
        <v>1.788</v>
      </c>
      <c r="I2206" s="1">
        <v>2.8130000000000002</v>
      </c>
      <c r="J2206" s="1">
        <v>3.2328999999999999</v>
      </c>
    </row>
    <row r="2207" spans="2:10" x14ac:dyDescent="0.3">
      <c r="B2207" s="10">
        <f t="shared" si="68"/>
        <v>2017</v>
      </c>
      <c r="C2207" s="10">
        <f t="shared" si="69"/>
        <v>11</v>
      </c>
      <c r="D2207" s="3">
        <v>43062</v>
      </c>
      <c r="E2207" s="1">
        <v>63.55</v>
      </c>
      <c r="J2207" s="1">
        <v>3.2218</v>
      </c>
    </row>
    <row r="2208" spans="2:10" x14ac:dyDescent="0.3">
      <c r="B2208" s="10">
        <f t="shared" si="68"/>
        <v>2017</v>
      </c>
      <c r="C2208" s="10">
        <f t="shared" si="69"/>
        <v>11</v>
      </c>
      <c r="D2208" s="3">
        <v>43061</v>
      </c>
      <c r="E2208" s="1">
        <v>63.32</v>
      </c>
      <c r="F2208" s="1">
        <v>58.02</v>
      </c>
      <c r="G2208" s="1">
        <v>1.9326000000000001</v>
      </c>
      <c r="H2208" s="1">
        <v>1.7679</v>
      </c>
      <c r="I2208" s="1">
        <v>2.968</v>
      </c>
      <c r="J2208" s="1">
        <v>3.2242000000000002</v>
      </c>
    </row>
    <row r="2209" spans="2:10" x14ac:dyDescent="0.3">
      <c r="B2209" s="10">
        <f t="shared" si="68"/>
        <v>2017</v>
      </c>
      <c r="C2209" s="10">
        <f t="shared" si="69"/>
        <v>11</v>
      </c>
      <c r="D2209" s="3">
        <v>43060</v>
      </c>
      <c r="E2209" s="1">
        <v>62.57</v>
      </c>
      <c r="F2209" s="1">
        <v>56.83</v>
      </c>
      <c r="G2209" s="1">
        <v>1.9359</v>
      </c>
      <c r="H2209" s="1">
        <v>1.7730999999999999</v>
      </c>
      <c r="I2209" s="1">
        <v>3.0169999999999999</v>
      </c>
      <c r="J2209" s="1">
        <v>3.2587000000000002</v>
      </c>
    </row>
    <row r="2210" spans="2:10" x14ac:dyDescent="0.3">
      <c r="B2210" s="10">
        <f t="shared" si="68"/>
        <v>2017</v>
      </c>
      <c r="C2210" s="10">
        <f t="shared" si="69"/>
        <v>11</v>
      </c>
      <c r="D2210" s="3">
        <v>43059</v>
      </c>
      <c r="E2210" s="1">
        <v>62.22</v>
      </c>
      <c r="F2210" s="1">
        <v>56.09</v>
      </c>
      <c r="G2210" s="1">
        <v>1.9320999999999999</v>
      </c>
      <c r="H2210" s="1">
        <v>1.7438</v>
      </c>
      <c r="I2210" s="1">
        <v>3.0470000000000002</v>
      </c>
      <c r="J2210" s="1">
        <v>3.2572000000000001</v>
      </c>
    </row>
    <row r="2211" spans="2:10" x14ac:dyDescent="0.3">
      <c r="B2211" s="10">
        <f t="shared" si="68"/>
        <v>2017</v>
      </c>
      <c r="C2211" s="10">
        <f t="shared" si="69"/>
        <v>11</v>
      </c>
      <c r="D2211" s="3">
        <v>43056</v>
      </c>
      <c r="E2211" s="1">
        <v>62.72</v>
      </c>
      <c r="F2211" s="1">
        <v>56.55</v>
      </c>
      <c r="G2211" s="1">
        <v>1.9466000000000001</v>
      </c>
      <c r="H2211" s="1">
        <v>1.7446999999999999</v>
      </c>
      <c r="I2211" s="1">
        <v>3.097</v>
      </c>
      <c r="J2211" s="1">
        <v>3.2572999999999999</v>
      </c>
    </row>
    <row r="2212" spans="2:10" x14ac:dyDescent="0.3">
      <c r="B2212" s="10">
        <f t="shared" si="68"/>
        <v>2017</v>
      </c>
      <c r="C2212" s="10">
        <f t="shared" si="69"/>
        <v>11</v>
      </c>
      <c r="D2212" s="3">
        <v>43055</v>
      </c>
      <c r="E2212" s="1">
        <v>61.36</v>
      </c>
      <c r="F2212" s="1">
        <v>55.14</v>
      </c>
      <c r="G2212" s="1">
        <v>1.9020999999999999</v>
      </c>
      <c r="H2212" s="1">
        <v>1.7137</v>
      </c>
      <c r="I2212" s="1">
        <v>3.0529999999999999</v>
      </c>
      <c r="J2212" s="1">
        <v>3.2738999999999998</v>
      </c>
    </row>
    <row r="2213" spans="2:10" x14ac:dyDescent="0.3">
      <c r="B2213" s="10">
        <f t="shared" si="68"/>
        <v>2017</v>
      </c>
      <c r="C2213" s="10">
        <f t="shared" si="69"/>
        <v>11</v>
      </c>
      <c r="D2213" s="3">
        <v>43054</v>
      </c>
      <c r="E2213" s="1">
        <v>61.87</v>
      </c>
      <c r="F2213" s="1">
        <v>55.33</v>
      </c>
      <c r="G2213" s="1">
        <v>1.9087000000000001</v>
      </c>
      <c r="H2213" s="1">
        <v>1.7387999999999999</v>
      </c>
      <c r="I2213" s="1">
        <v>3.08</v>
      </c>
      <c r="J2213" s="1">
        <v>3.3132000000000001</v>
      </c>
    </row>
    <row r="2214" spans="2:10" x14ac:dyDescent="0.3">
      <c r="B2214" s="10">
        <f t="shared" si="68"/>
        <v>2017</v>
      </c>
      <c r="C2214" s="10">
        <f t="shared" si="69"/>
        <v>11</v>
      </c>
      <c r="D2214" s="3">
        <v>43053</v>
      </c>
      <c r="E2214" s="1">
        <v>62.21</v>
      </c>
      <c r="F2214" s="1">
        <v>55.7</v>
      </c>
      <c r="G2214" s="1">
        <v>1.907</v>
      </c>
      <c r="H2214" s="1">
        <v>1.7612000000000001</v>
      </c>
      <c r="I2214" s="1">
        <v>3.1019999999999999</v>
      </c>
      <c r="J2214" s="1">
        <v>3.3127</v>
      </c>
    </row>
    <row r="2215" spans="2:10" x14ac:dyDescent="0.3">
      <c r="B2215" s="10">
        <f t="shared" si="68"/>
        <v>2017</v>
      </c>
      <c r="C2215" s="10">
        <f t="shared" si="69"/>
        <v>11</v>
      </c>
      <c r="D2215" s="3">
        <v>43052</v>
      </c>
      <c r="E2215" s="1">
        <v>63.16</v>
      </c>
      <c r="F2215" s="1">
        <v>56.76</v>
      </c>
      <c r="G2215" s="1">
        <v>1.9320999999999999</v>
      </c>
      <c r="H2215" s="1">
        <v>1.7928999999999999</v>
      </c>
      <c r="I2215" s="1">
        <v>3.1669999999999998</v>
      </c>
      <c r="J2215" s="1">
        <v>3.2793000000000001</v>
      </c>
    </row>
    <row r="2216" spans="2:10" x14ac:dyDescent="0.3">
      <c r="B2216" s="10">
        <f t="shared" si="68"/>
        <v>2017</v>
      </c>
      <c r="C2216" s="10">
        <f t="shared" si="69"/>
        <v>11</v>
      </c>
      <c r="D2216" s="3">
        <v>43049</v>
      </c>
      <c r="E2216" s="1">
        <v>63.52</v>
      </c>
      <c r="F2216" s="1">
        <v>56.74</v>
      </c>
      <c r="G2216" s="1">
        <v>1.9349000000000001</v>
      </c>
      <c r="H2216" s="1">
        <v>1.8124</v>
      </c>
      <c r="I2216" s="1">
        <v>3.2130000000000001</v>
      </c>
      <c r="J2216" s="1">
        <v>3.2778</v>
      </c>
    </row>
    <row r="2217" spans="2:10" x14ac:dyDescent="0.3">
      <c r="B2217" s="10">
        <f t="shared" si="68"/>
        <v>2017</v>
      </c>
      <c r="C2217" s="10">
        <f t="shared" si="69"/>
        <v>11</v>
      </c>
      <c r="D2217" s="3">
        <v>43048</v>
      </c>
      <c r="E2217" s="1">
        <v>63.93</v>
      </c>
      <c r="F2217" s="1">
        <v>57.17</v>
      </c>
      <c r="G2217" s="1">
        <v>1.9469000000000001</v>
      </c>
      <c r="H2217" s="1">
        <v>1.8197000000000001</v>
      </c>
      <c r="I2217" s="1">
        <v>3.2</v>
      </c>
      <c r="J2217" s="1">
        <v>3.2519999999999998</v>
      </c>
    </row>
    <row r="2218" spans="2:10" x14ac:dyDescent="0.3">
      <c r="B2218" s="10">
        <f t="shared" si="68"/>
        <v>2017</v>
      </c>
      <c r="C2218" s="10">
        <f t="shared" si="69"/>
        <v>11</v>
      </c>
      <c r="D2218" s="3">
        <v>43047</v>
      </c>
      <c r="E2218" s="1">
        <v>63.49</v>
      </c>
      <c r="F2218" s="1">
        <v>56.81</v>
      </c>
      <c r="G2218" s="1">
        <v>1.9216</v>
      </c>
      <c r="H2218" s="1">
        <v>1.8212999999999999</v>
      </c>
      <c r="I2218" s="1">
        <v>3.1749999999999998</v>
      </c>
      <c r="J2218" s="1">
        <v>3.2547000000000001</v>
      </c>
    </row>
    <row r="2219" spans="2:10" x14ac:dyDescent="0.3">
      <c r="B2219" s="10">
        <f t="shared" si="68"/>
        <v>2017</v>
      </c>
      <c r="C2219" s="10">
        <f t="shared" si="69"/>
        <v>11</v>
      </c>
      <c r="D2219" s="3">
        <v>43046</v>
      </c>
      <c r="E2219" s="1">
        <v>63.69</v>
      </c>
      <c r="F2219" s="1">
        <v>57.2</v>
      </c>
      <c r="G2219" s="1">
        <v>1.9218999999999999</v>
      </c>
      <c r="H2219" s="1">
        <v>1.8152999999999999</v>
      </c>
      <c r="I2219" s="1">
        <v>3.1520000000000001</v>
      </c>
      <c r="J2219" s="1">
        <v>3.2713000000000001</v>
      </c>
    </row>
    <row r="2220" spans="2:10" x14ac:dyDescent="0.3">
      <c r="B2220" s="10">
        <f t="shared" si="68"/>
        <v>2017</v>
      </c>
      <c r="C2220" s="10">
        <f t="shared" si="69"/>
        <v>11</v>
      </c>
      <c r="D2220" s="3">
        <v>43045</v>
      </c>
      <c r="E2220" s="1">
        <v>64.27</v>
      </c>
      <c r="F2220" s="1">
        <v>57.35</v>
      </c>
      <c r="G2220" s="1">
        <v>1.9421999999999999</v>
      </c>
      <c r="H2220" s="1">
        <v>1.83</v>
      </c>
      <c r="I2220" s="1">
        <v>3.1339999999999999</v>
      </c>
      <c r="J2220" s="1">
        <v>3.2494000000000001</v>
      </c>
    </row>
    <row r="2221" spans="2:10" x14ac:dyDescent="0.3">
      <c r="B2221" s="10">
        <f t="shared" si="68"/>
        <v>2017</v>
      </c>
      <c r="C2221" s="10">
        <f t="shared" si="69"/>
        <v>11</v>
      </c>
      <c r="D2221" s="3">
        <v>43042</v>
      </c>
      <c r="E2221" s="1">
        <v>62.07</v>
      </c>
      <c r="F2221" s="1">
        <v>55.64</v>
      </c>
      <c r="G2221" s="1">
        <v>1.8866000000000001</v>
      </c>
      <c r="H2221" s="1">
        <v>1.7934000000000001</v>
      </c>
      <c r="I2221" s="1">
        <v>2.984</v>
      </c>
      <c r="J2221" s="1">
        <v>3.3142</v>
      </c>
    </row>
    <row r="2222" spans="2:10" x14ac:dyDescent="0.3">
      <c r="B2222" s="10">
        <f t="shared" si="68"/>
        <v>2017</v>
      </c>
      <c r="C2222" s="10">
        <f t="shared" si="69"/>
        <v>11</v>
      </c>
      <c r="D2222" s="3">
        <v>43041</v>
      </c>
      <c r="E2222" s="1">
        <v>60.62</v>
      </c>
      <c r="F2222" s="1">
        <v>54.54</v>
      </c>
      <c r="G2222" s="1">
        <v>1.8539000000000001</v>
      </c>
      <c r="H2222" s="1">
        <v>1.7697000000000001</v>
      </c>
      <c r="I2222" s="1">
        <v>2.9350000000000001</v>
      </c>
      <c r="J2222" s="1">
        <v>3.2669999999999999</v>
      </c>
    </row>
    <row r="2223" spans="2:10" x14ac:dyDescent="0.3">
      <c r="B2223" s="10">
        <f t="shared" si="68"/>
        <v>2017</v>
      </c>
      <c r="C2223" s="10">
        <f t="shared" si="69"/>
        <v>11</v>
      </c>
      <c r="D2223" s="3">
        <v>43040</v>
      </c>
      <c r="E2223" s="1">
        <v>60.49</v>
      </c>
      <c r="F2223" s="1">
        <v>54.3</v>
      </c>
      <c r="G2223" s="1">
        <v>1.8625</v>
      </c>
      <c r="H2223" s="1">
        <v>1.7410000000000001</v>
      </c>
      <c r="I2223" s="1">
        <v>2.8929999999999998</v>
      </c>
      <c r="J2223" s="1">
        <v>3.2673000000000001</v>
      </c>
    </row>
    <row r="2224" spans="2:10" x14ac:dyDescent="0.3">
      <c r="B2224" s="10">
        <f t="shared" si="68"/>
        <v>2017</v>
      </c>
      <c r="C2224" s="10">
        <f t="shared" si="69"/>
        <v>10</v>
      </c>
      <c r="D2224" s="3">
        <v>43039</v>
      </c>
      <c r="E2224" s="1">
        <v>61.37</v>
      </c>
      <c r="F2224" s="1">
        <v>54.38</v>
      </c>
      <c r="G2224" s="1">
        <v>1.8845000000000001</v>
      </c>
      <c r="H2224" s="1">
        <v>1.7796000000000001</v>
      </c>
      <c r="I2224" s="1">
        <v>2.8959999999999999</v>
      </c>
      <c r="J2224" s="1">
        <v>3.2724000000000002</v>
      </c>
    </row>
    <row r="2225" spans="2:10" x14ac:dyDescent="0.3">
      <c r="B2225" s="10">
        <f t="shared" si="68"/>
        <v>2017</v>
      </c>
      <c r="C2225" s="10">
        <f t="shared" si="69"/>
        <v>10</v>
      </c>
      <c r="D2225" s="3">
        <v>43038</v>
      </c>
      <c r="E2225" s="1">
        <v>60.9</v>
      </c>
      <c r="F2225" s="1">
        <v>54.15</v>
      </c>
      <c r="G2225" s="1">
        <v>1.8776999999999999</v>
      </c>
      <c r="H2225" s="1">
        <v>1.7641</v>
      </c>
      <c r="I2225" s="1">
        <v>2.9660000000000002</v>
      </c>
      <c r="J2225" s="1">
        <v>3.2888000000000002</v>
      </c>
    </row>
    <row r="2226" spans="2:10" x14ac:dyDescent="0.3">
      <c r="B2226" s="10">
        <f t="shared" si="68"/>
        <v>2017</v>
      </c>
      <c r="C2226" s="10">
        <f t="shared" si="69"/>
        <v>10</v>
      </c>
      <c r="D2226" s="3">
        <v>43035</v>
      </c>
      <c r="E2226" s="1">
        <v>60.44</v>
      </c>
      <c r="F2226" s="1">
        <v>53.9</v>
      </c>
      <c r="G2226" s="1">
        <v>1.8669</v>
      </c>
      <c r="H2226" s="1">
        <v>1.7685999999999999</v>
      </c>
      <c r="I2226" s="1">
        <v>2.7519999999999998</v>
      </c>
      <c r="J2226" s="1">
        <v>3.2360000000000002</v>
      </c>
    </row>
    <row r="2227" spans="2:10" x14ac:dyDescent="0.3">
      <c r="B2227" s="10">
        <f t="shared" si="68"/>
        <v>2017</v>
      </c>
      <c r="C2227" s="10">
        <f t="shared" si="69"/>
        <v>10</v>
      </c>
      <c r="D2227" s="3">
        <v>43034</v>
      </c>
      <c r="E2227" s="1">
        <v>59.3</v>
      </c>
      <c r="F2227" s="1">
        <v>52.64</v>
      </c>
      <c r="G2227" s="1">
        <v>1.8419000000000001</v>
      </c>
      <c r="H2227" s="1">
        <v>1.7505999999999999</v>
      </c>
      <c r="I2227" s="1">
        <v>2.89</v>
      </c>
      <c r="J2227" s="1">
        <v>3.2902999999999998</v>
      </c>
    </row>
    <row r="2228" spans="2:10" x14ac:dyDescent="0.3">
      <c r="B2228" s="10">
        <f t="shared" si="68"/>
        <v>2017</v>
      </c>
      <c r="C2228" s="10">
        <f t="shared" si="69"/>
        <v>10</v>
      </c>
      <c r="D2228" s="3">
        <v>43033</v>
      </c>
      <c r="E2228" s="1">
        <v>58.44</v>
      </c>
      <c r="F2228" s="1">
        <v>52.18</v>
      </c>
      <c r="G2228" s="1">
        <v>1.8182</v>
      </c>
      <c r="H2228" s="1">
        <v>1.7347999999999999</v>
      </c>
      <c r="I2228" s="1">
        <v>2.919</v>
      </c>
      <c r="J2228" s="1">
        <v>3.2328999999999999</v>
      </c>
    </row>
    <row r="2229" spans="2:10" x14ac:dyDescent="0.3">
      <c r="B2229" s="10">
        <f t="shared" si="68"/>
        <v>2017</v>
      </c>
      <c r="C2229" s="10">
        <f t="shared" si="69"/>
        <v>10</v>
      </c>
      <c r="D2229" s="3">
        <v>43032</v>
      </c>
      <c r="E2229" s="1">
        <v>58.33</v>
      </c>
      <c r="F2229" s="1">
        <v>52.47</v>
      </c>
      <c r="G2229" s="1">
        <v>1.8221000000000001</v>
      </c>
      <c r="H2229" s="1">
        <v>1.7155</v>
      </c>
      <c r="I2229" s="1">
        <v>2.9740000000000002</v>
      </c>
      <c r="J2229" s="1">
        <v>3.2431999999999999</v>
      </c>
    </row>
    <row r="2230" spans="2:10" x14ac:dyDescent="0.3">
      <c r="B2230" s="10">
        <f t="shared" si="68"/>
        <v>2017</v>
      </c>
      <c r="C2230" s="10">
        <f t="shared" si="69"/>
        <v>10</v>
      </c>
      <c r="D2230" s="3">
        <v>43031</v>
      </c>
      <c r="E2230" s="1">
        <v>57.37</v>
      </c>
      <c r="F2230" s="1">
        <v>51.9</v>
      </c>
      <c r="G2230" s="1">
        <v>1.7878000000000001</v>
      </c>
      <c r="H2230" s="1">
        <v>1.6782999999999999</v>
      </c>
      <c r="I2230" s="1">
        <v>2.9910000000000001</v>
      </c>
      <c r="J2230" s="1">
        <v>3.2376</v>
      </c>
    </row>
    <row r="2231" spans="2:10" x14ac:dyDescent="0.3">
      <c r="B2231" s="10">
        <f t="shared" si="68"/>
        <v>2017</v>
      </c>
      <c r="C2231" s="10">
        <f t="shared" si="69"/>
        <v>10</v>
      </c>
      <c r="D2231" s="3">
        <v>43028</v>
      </c>
      <c r="E2231" s="1">
        <v>57.75</v>
      </c>
      <c r="F2231" s="1">
        <v>51.47</v>
      </c>
      <c r="G2231" s="1">
        <v>1.8051999999999999</v>
      </c>
      <c r="H2231" s="1">
        <v>1.6780999999999999</v>
      </c>
      <c r="I2231" s="1">
        <v>2.915</v>
      </c>
      <c r="J2231" s="1">
        <v>3.1922999999999999</v>
      </c>
    </row>
    <row r="2232" spans="2:10" x14ac:dyDescent="0.3">
      <c r="B2232" s="10">
        <f t="shared" si="68"/>
        <v>2017</v>
      </c>
      <c r="C2232" s="10">
        <f t="shared" si="69"/>
        <v>10</v>
      </c>
      <c r="D2232" s="3">
        <v>43027</v>
      </c>
      <c r="E2232" s="1">
        <v>57.23</v>
      </c>
      <c r="F2232" s="1">
        <v>51.29</v>
      </c>
      <c r="G2232" s="1">
        <v>1.7766999999999999</v>
      </c>
      <c r="H2232" s="1">
        <v>1.6447000000000001</v>
      </c>
      <c r="I2232" s="1">
        <v>2.8730000000000002</v>
      </c>
      <c r="J2232" s="1">
        <v>3.1663000000000001</v>
      </c>
    </row>
    <row r="2233" spans="2:10" x14ac:dyDescent="0.3">
      <c r="B2233" s="10">
        <f t="shared" si="68"/>
        <v>2017</v>
      </c>
      <c r="C2233" s="10">
        <f t="shared" si="69"/>
        <v>10</v>
      </c>
      <c r="D2233" s="3">
        <v>43026</v>
      </c>
      <c r="E2233" s="1">
        <v>58.15</v>
      </c>
      <c r="F2233" s="1">
        <v>52.04</v>
      </c>
      <c r="G2233" s="1">
        <v>1.8028</v>
      </c>
      <c r="H2233" s="1">
        <v>1.6429</v>
      </c>
      <c r="I2233" s="1">
        <v>2.8540000000000001</v>
      </c>
      <c r="J2233" s="1">
        <v>3.1705999999999999</v>
      </c>
    </row>
    <row r="2234" spans="2:10" x14ac:dyDescent="0.3">
      <c r="B2234" s="10">
        <f t="shared" si="68"/>
        <v>2017</v>
      </c>
      <c r="C2234" s="10">
        <f t="shared" si="69"/>
        <v>10</v>
      </c>
      <c r="D2234" s="3">
        <v>43025</v>
      </c>
      <c r="E2234" s="1">
        <v>57.88</v>
      </c>
      <c r="F2234" s="1">
        <v>51.88</v>
      </c>
      <c r="G2234" s="1">
        <v>1.8098000000000001</v>
      </c>
      <c r="H2234" s="1">
        <v>1.6301000000000001</v>
      </c>
      <c r="I2234" s="1">
        <v>2.9620000000000002</v>
      </c>
      <c r="J2234" s="1">
        <v>3.1575000000000002</v>
      </c>
    </row>
    <row r="2235" spans="2:10" x14ac:dyDescent="0.3">
      <c r="B2235" s="10">
        <f t="shared" si="68"/>
        <v>2017</v>
      </c>
      <c r="C2235" s="10">
        <f t="shared" si="69"/>
        <v>10</v>
      </c>
      <c r="D2235" s="3">
        <v>43024</v>
      </c>
      <c r="E2235" s="1">
        <v>57.82</v>
      </c>
      <c r="F2235" s="1">
        <v>51.87</v>
      </c>
      <c r="G2235" s="1">
        <v>1.8129</v>
      </c>
      <c r="H2235" s="1">
        <v>1.6169</v>
      </c>
      <c r="I2235" s="1">
        <v>2.9460000000000002</v>
      </c>
      <c r="J2235" s="1">
        <v>3.1707000000000001</v>
      </c>
    </row>
    <row r="2236" spans="2:10" x14ac:dyDescent="0.3">
      <c r="B2236" s="10">
        <f t="shared" si="68"/>
        <v>2017</v>
      </c>
      <c r="C2236" s="10">
        <f t="shared" si="69"/>
        <v>10</v>
      </c>
      <c r="D2236" s="3">
        <v>43021</v>
      </c>
      <c r="E2236" s="1">
        <v>57.17</v>
      </c>
      <c r="F2236" s="1">
        <v>51.45</v>
      </c>
      <c r="G2236" s="1">
        <v>1.7969999999999999</v>
      </c>
      <c r="H2236" s="1">
        <v>1.6222000000000001</v>
      </c>
      <c r="I2236" s="1">
        <v>3</v>
      </c>
      <c r="J2236" s="1">
        <v>3.1446999999999998</v>
      </c>
    </row>
    <row r="2237" spans="2:10" x14ac:dyDescent="0.3">
      <c r="B2237" s="10">
        <f t="shared" si="68"/>
        <v>2017</v>
      </c>
      <c r="C2237" s="10">
        <f t="shared" si="69"/>
        <v>10</v>
      </c>
      <c r="D2237" s="3">
        <v>43020</v>
      </c>
      <c r="E2237" s="1">
        <v>56.25</v>
      </c>
      <c r="F2237" s="1">
        <v>50.6</v>
      </c>
      <c r="G2237" s="1">
        <v>1.7655000000000001</v>
      </c>
      <c r="H2237" s="1">
        <v>1.5831999999999999</v>
      </c>
      <c r="I2237" s="1">
        <v>2.9889999999999999</v>
      </c>
      <c r="J2237" s="1">
        <v>3.1695000000000002</v>
      </c>
    </row>
    <row r="2238" spans="2:10" x14ac:dyDescent="0.3">
      <c r="B2238" s="10">
        <f t="shared" si="68"/>
        <v>2017</v>
      </c>
      <c r="C2238" s="10">
        <f t="shared" si="69"/>
        <v>10</v>
      </c>
      <c r="D2238" s="3">
        <v>43019</v>
      </c>
      <c r="E2238" s="1">
        <v>56.94</v>
      </c>
      <c r="F2238" s="1">
        <v>51.3</v>
      </c>
      <c r="G2238" s="1">
        <v>1.7861</v>
      </c>
      <c r="H2238" s="1">
        <v>1.6092</v>
      </c>
      <c r="I2238" s="1">
        <v>2.8889999999999998</v>
      </c>
      <c r="J2238" s="1">
        <v>3.1722000000000001</v>
      </c>
    </row>
    <row r="2239" spans="2:10" x14ac:dyDescent="0.3">
      <c r="B2239" s="10">
        <f t="shared" si="68"/>
        <v>2017</v>
      </c>
      <c r="C2239" s="10">
        <f t="shared" si="69"/>
        <v>10</v>
      </c>
      <c r="D2239" s="3">
        <v>43018</v>
      </c>
      <c r="E2239" s="1">
        <v>56.61</v>
      </c>
      <c r="F2239" s="1">
        <v>50.92</v>
      </c>
      <c r="G2239" s="1">
        <v>1.7648999999999999</v>
      </c>
      <c r="H2239" s="1">
        <v>1.5914999999999999</v>
      </c>
      <c r="I2239" s="1">
        <v>2.891</v>
      </c>
      <c r="J2239" s="1">
        <v>3.1791</v>
      </c>
    </row>
    <row r="2240" spans="2:10" x14ac:dyDescent="0.3">
      <c r="B2240" s="10">
        <f t="shared" si="68"/>
        <v>2017</v>
      </c>
      <c r="C2240" s="10">
        <f t="shared" si="69"/>
        <v>10</v>
      </c>
      <c r="D2240" s="3">
        <v>43017</v>
      </c>
      <c r="E2240" s="1">
        <v>55.79</v>
      </c>
      <c r="F2240" s="1">
        <v>49.58</v>
      </c>
      <c r="G2240" s="1">
        <v>1.7352000000000001</v>
      </c>
      <c r="H2240" s="1">
        <v>1.5593999999999999</v>
      </c>
      <c r="I2240" s="1">
        <v>2.8330000000000002</v>
      </c>
      <c r="J2240" s="1">
        <v>3.1882000000000001</v>
      </c>
    </row>
    <row r="2241" spans="2:10" x14ac:dyDescent="0.3">
      <c r="B2241" s="10">
        <f t="shared" si="68"/>
        <v>2017</v>
      </c>
      <c r="C2241" s="10">
        <f t="shared" si="69"/>
        <v>10</v>
      </c>
      <c r="D2241" s="3">
        <v>43014</v>
      </c>
      <c r="E2241" s="1">
        <v>55.62</v>
      </c>
      <c r="F2241" s="1">
        <v>49.29</v>
      </c>
      <c r="G2241" s="1">
        <v>1.7439</v>
      </c>
      <c r="H2241" s="1">
        <v>1.5588</v>
      </c>
      <c r="I2241" s="1">
        <v>2.863</v>
      </c>
      <c r="J2241" s="1">
        <v>3.1558000000000002</v>
      </c>
    </row>
    <row r="2242" spans="2:10" x14ac:dyDescent="0.3">
      <c r="B2242" s="10">
        <f t="shared" si="68"/>
        <v>2017</v>
      </c>
      <c r="C2242" s="10">
        <f t="shared" si="69"/>
        <v>10</v>
      </c>
      <c r="D2242" s="3">
        <v>43013</v>
      </c>
      <c r="E2242" s="1">
        <v>57</v>
      </c>
      <c r="F2242" s="1">
        <v>50.79</v>
      </c>
      <c r="G2242" s="1">
        <v>1.7863</v>
      </c>
      <c r="H2242" s="1">
        <v>1.6113999999999999</v>
      </c>
      <c r="I2242" s="1">
        <v>2.923</v>
      </c>
      <c r="J2242" s="1">
        <v>3.1539000000000001</v>
      </c>
    </row>
    <row r="2243" spans="2:10" x14ac:dyDescent="0.3">
      <c r="B2243" s="10">
        <f t="shared" si="68"/>
        <v>2017</v>
      </c>
      <c r="C2243" s="10">
        <f t="shared" si="69"/>
        <v>10</v>
      </c>
      <c r="D2243" s="3">
        <v>43012</v>
      </c>
      <c r="E2243" s="1">
        <v>55.8</v>
      </c>
      <c r="F2243" s="1">
        <v>49.98</v>
      </c>
      <c r="G2243" s="1">
        <v>1.7739</v>
      </c>
      <c r="H2243" s="1">
        <v>1.5805</v>
      </c>
      <c r="I2243" s="1">
        <v>2.94</v>
      </c>
      <c r="J2243" s="1">
        <v>3.1349</v>
      </c>
    </row>
    <row r="2244" spans="2:10" x14ac:dyDescent="0.3">
      <c r="B2244" s="10">
        <f t="shared" si="68"/>
        <v>2017</v>
      </c>
      <c r="C2244" s="10">
        <f t="shared" si="69"/>
        <v>10</v>
      </c>
      <c r="D2244" s="3">
        <v>43011</v>
      </c>
      <c r="E2244" s="1">
        <v>56</v>
      </c>
      <c r="F2244" s="1">
        <v>50.42</v>
      </c>
      <c r="G2244" s="1">
        <v>1.7504999999999999</v>
      </c>
      <c r="H2244" s="1">
        <v>1.5654999999999999</v>
      </c>
      <c r="I2244" s="1">
        <v>2.895</v>
      </c>
      <c r="J2244" s="1">
        <v>3.1425000000000001</v>
      </c>
    </row>
    <row r="2245" spans="2:10" x14ac:dyDescent="0.3">
      <c r="B2245" s="10">
        <f t="shared" si="68"/>
        <v>2017</v>
      </c>
      <c r="C2245" s="10">
        <f t="shared" si="69"/>
        <v>10</v>
      </c>
      <c r="D2245" s="3">
        <v>43010</v>
      </c>
      <c r="E2245" s="1">
        <v>56.12</v>
      </c>
      <c r="F2245" s="1">
        <v>50.58</v>
      </c>
      <c r="G2245" s="1">
        <v>1.7665</v>
      </c>
      <c r="H2245" s="1">
        <v>1.5552999999999999</v>
      </c>
      <c r="I2245" s="1">
        <v>2.9159999999999999</v>
      </c>
      <c r="J2245" s="1">
        <v>3.1537999999999999</v>
      </c>
    </row>
    <row r="2246" spans="2:10" x14ac:dyDescent="0.3">
      <c r="B2246" s="10">
        <f t="shared" ref="B2246:B2309" si="70">YEAR(D2246)</f>
        <v>2017</v>
      </c>
      <c r="C2246" s="10">
        <f t="shared" ref="C2246:C2309" si="71">MONTH(D2246)</f>
        <v>9</v>
      </c>
      <c r="D2246" s="3">
        <v>43007</v>
      </c>
      <c r="E2246" s="1">
        <v>57.54</v>
      </c>
      <c r="F2246" s="1">
        <v>51.67</v>
      </c>
      <c r="G2246" s="1">
        <v>1.8117000000000001</v>
      </c>
      <c r="H2246" s="1">
        <v>1.6065</v>
      </c>
      <c r="I2246" s="1">
        <v>3.0070000000000001</v>
      </c>
      <c r="J2246" s="1">
        <v>3.1614</v>
      </c>
    </row>
    <row r="2247" spans="2:10" x14ac:dyDescent="0.3">
      <c r="B2247" s="10">
        <f t="shared" si="70"/>
        <v>2017</v>
      </c>
      <c r="C2247" s="10">
        <f t="shared" si="71"/>
        <v>9</v>
      </c>
      <c r="D2247" s="3">
        <v>43006</v>
      </c>
      <c r="E2247" s="1">
        <v>57.41</v>
      </c>
      <c r="F2247" s="1">
        <v>51.56</v>
      </c>
      <c r="G2247" s="1">
        <v>1.8320000000000001</v>
      </c>
      <c r="H2247" s="1">
        <v>1.6317999999999999</v>
      </c>
      <c r="I2247" s="1">
        <v>3.0169999999999999</v>
      </c>
      <c r="J2247" s="1">
        <v>3.1821999999999999</v>
      </c>
    </row>
    <row r="2248" spans="2:10" x14ac:dyDescent="0.3">
      <c r="B2248" s="10">
        <f t="shared" si="70"/>
        <v>2017</v>
      </c>
      <c r="C2248" s="10">
        <f t="shared" si="71"/>
        <v>9</v>
      </c>
      <c r="D2248" s="3">
        <v>43005</v>
      </c>
      <c r="E2248" s="1">
        <v>57.9</v>
      </c>
      <c r="F2248" s="1">
        <v>52.14</v>
      </c>
      <c r="G2248" s="1">
        <v>1.8463000000000001</v>
      </c>
      <c r="H2248" s="1">
        <v>1.6539999999999999</v>
      </c>
      <c r="I2248" s="1">
        <v>2.9740000000000002</v>
      </c>
      <c r="J2248" s="1">
        <v>3.1928999999999998</v>
      </c>
    </row>
    <row r="2249" spans="2:10" x14ac:dyDescent="0.3">
      <c r="B2249" s="10">
        <f t="shared" si="70"/>
        <v>2017</v>
      </c>
      <c r="C2249" s="10">
        <f t="shared" si="71"/>
        <v>9</v>
      </c>
      <c r="D2249" s="3">
        <v>43004</v>
      </c>
      <c r="E2249" s="1">
        <v>58.44</v>
      </c>
      <c r="F2249" s="1">
        <v>51.88</v>
      </c>
      <c r="G2249" s="1">
        <v>1.8452999999999999</v>
      </c>
      <c r="H2249" s="1">
        <v>1.6988000000000001</v>
      </c>
      <c r="I2249" s="1">
        <v>2.9180000000000001</v>
      </c>
      <c r="J2249" s="1">
        <v>3.1661000000000001</v>
      </c>
    </row>
    <row r="2250" spans="2:10" x14ac:dyDescent="0.3">
      <c r="B2250" s="10">
        <f t="shared" si="70"/>
        <v>2017</v>
      </c>
      <c r="C2250" s="10">
        <f t="shared" si="71"/>
        <v>9</v>
      </c>
      <c r="D2250" s="3">
        <v>43003</v>
      </c>
      <c r="E2250" s="1">
        <v>59.02</v>
      </c>
      <c r="F2250" s="1">
        <v>52.22</v>
      </c>
      <c r="G2250" s="1">
        <v>1.8563000000000001</v>
      </c>
      <c r="H2250" s="1">
        <v>1.722</v>
      </c>
      <c r="I2250" s="1">
        <v>2.919</v>
      </c>
      <c r="J2250" s="1">
        <v>3.1593</v>
      </c>
    </row>
    <row r="2251" spans="2:10" x14ac:dyDescent="0.3">
      <c r="B2251" s="10">
        <f t="shared" si="70"/>
        <v>2017</v>
      </c>
      <c r="C2251" s="10">
        <f t="shared" si="71"/>
        <v>9</v>
      </c>
      <c r="D2251" s="3">
        <v>43000</v>
      </c>
      <c r="E2251" s="1">
        <v>56.86</v>
      </c>
      <c r="F2251" s="1">
        <v>50.66</v>
      </c>
      <c r="G2251" s="1">
        <v>1.8163</v>
      </c>
      <c r="H2251" s="1">
        <v>1.6684000000000001</v>
      </c>
      <c r="I2251" s="1">
        <v>2.9590000000000001</v>
      </c>
      <c r="J2251" s="1">
        <v>3.1242999999999999</v>
      </c>
    </row>
    <row r="2252" spans="2:10" x14ac:dyDescent="0.3">
      <c r="B2252" s="10">
        <f t="shared" si="70"/>
        <v>2017</v>
      </c>
      <c r="C2252" s="10">
        <f t="shared" si="71"/>
        <v>9</v>
      </c>
      <c r="D2252" s="3">
        <v>42999</v>
      </c>
      <c r="E2252" s="1">
        <v>56.43</v>
      </c>
      <c r="F2252" s="1">
        <v>50.55</v>
      </c>
      <c r="G2252" s="1">
        <v>1.8152999999999999</v>
      </c>
      <c r="H2252" s="1">
        <v>1.6437999999999999</v>
      </c>
      <c r="I2252" s="1">
        <v>2.9460000000000002</v>
      </c>
      <c r="J2252" s="1">
        <v>3.1368999999999998</v>
      </c>
    </row>
    <row r="2253" spans="2:10" x14ac:dyDescent="0.3">
      <c r="B2253" s="10">
        <f t="shared" si="70"/>
        <v>2017</v>
      </c>
      <c r="C2253" s="10">
        <f t="shared" si="71"/>
        <v>9</v>
      </c>
      <c r="D2253" s="3">
        <v>42998</v>
      </c>
      <c r="E2253" s="1">
        <v>56.29</v>
      </c>
      <c r="F2253" s="1">
        <v>50.41</v>
      </c>
      <c r="G2253" s="1">
        <v>1.8069999999999999</v>
      </c>
      <c r="H2253" s="1">
        <v>1.6551</v>
      </c>
      <c r="I2253" s="1">
        <v>3.0939999999999999</v>
      </c>
      <c r="J2253" s="1">
        <v>3.1320000000000001</v>
      </c>
    </row>
    <row r="2254" spans="2:10" x14ac:dyDescent="0.3">
      <c r="B2254" s="10">
        <f t="shared" si="70"/>
        <v>2017</v>
      </c>
      <c r="C2254" s="10">
        <f t="shared" si="71"/>
        <v>9</v>
      </c>
      <c r="D2254" s="3">
        <v>42997</v>
      </c>
      <c r="E2254" s="1">
        <v>55.14</v>
      </c>
      <c r="F2254" s="1">
        <v>49.48</v>
      </c>
      <c r="G2254" s="1">
        <v>1.7726</v>
      </c>
      <c r="H2254" s="1">
        <v>1.655</v>
      </c>
      <c r="I2254" s="1">
        <v>3.1219999999999999</v>
      </c>
      <c r="J2254" s="1">
        <v>3.1345999999999998</v>
      </c>
    </row>
    <row r="2255" spans="2:10" x14ac:dyDescent="0.3">
      <c r="B2255" s="10">
        <f t="shared" si="70"/>
        <v>2017</v>
      </c>
      <c r="C2255" s="10">
        <f t="shared" si="71"/>
        <v>9</v>
      </c>
      <c r="D2255" s="3">
        <v>42996</v>
      </c>
      <c r="E2255" s="1">
        <v>55.48</v>
      </c>
      <c r="F2255" s="1">
        <v>49.91</v>
      </c>
      <c r="G2255" s="1">
        <v>1.7796000000000001</v>
      </c>
      <c r="H2255" s="1">
        <v>1.6686000000000001</v>
      </c>
      <c r="I2255" s="1">
        <v>3.1459999999999999</v>
      </c>
      <c r="J2255" s="1">
        <v>3.1360000000000001</v>
      </c>
    </row>
    <row r="2256" spans="2:10" x14ac:dyDescent="0.3">
      <c r="B2256" s="10">
        <f t="shared" si="70"/>
        <v>2017</v>
      </c>
      <c r="C2256" s="10">
        <f t="shared" si="71"/>
        <v>9</v>
      </c>
      <c r="D2256" s="3">
        <v>42993</v>
      </c>
      <c r="E2256" s="1">
        <v>55.62</v>
      </c>
      <c r="F2256" s="1">
        <v>49.89</v>
      </c>
      <c r="G2256" s="1">
        <v>1.7988</v>
      </c>
      <c r="H2256" s="1">
        <v>1.6617</v>
      </c>
      <c r="I2256" s="1">
        <v>3.024</v>
      </c>
      <c r="J2256" s="1">
        <v>3.1078999999999999</v>
      </c>
    </row>
    <row r="2257" spans="2:10" x14ac:dyDescent="0.3">
      <c r="B2257" s="10">
        <f t="shared" si="70"/>
        <v>2017</v>
      </c>
      <c r="C2257" s="10">
        <f t="shared" si="71"/>
        <v>9</v>
      </c>
      <c r="D2257" s="3">
        <v>42992</v>
      </c>
      <c r="E2257" s="1">
        <v>55.47</v>
      </c>
      <c r="F2257" s="1">
        <v>49.89</v>
      </c>
      <c r="G2257" s="1">
        <v>1.7775000000000001</v>
      </c>
      <c r="H2257" s="1">
        <v>1.6287</v>
      </c>
      <c r="I2257" s="1">
        <v>3.07</v>
      </c>
      <c r="J2257" s="1">
        <v>3.1179000000000001</v>
      </c>
    </row>
    <row r="2258" spans="2:10" x14ac:dyDescent="0.3">
      <c r="B2258" s="10">
        <f t="shared" si="70"/>
        <v>2017</v>
      </c>
      <c r="C2258" s="10">
        <f t="shared" si="71"/>
        <v>9</v>
      </c>
      <c r="D2258" s="3">
        <v>42991</v>
      </c>
      <c r="E2258" s="1">
        <v>55.16</v>
      </c>
      <c r="F2258" s="1">
        <v>49.3</v>
      </c>
      <c r="G2258" s="1">
        <v>1.7685</v>
      </c>
      <c r="H2258" s="1">
        <v>1.6473</v>
      </c>
      <c r="I2258" s="1">
        <v>3.0579999999999998</v>
      </c>
      <c r="J2258" s="1">
        <v>3.1349</v>
      </c>
    </row>
    <row r="2259" spans="2:10" x14ac:dyDescent="0.3">
      <c r="B2259" s="10">
        <f t="shared" si="70"/>
        <v>2017</v>
      </c>
      <c r="C2259" s="10">
        <f t="shared" si="71"/>
        <v>9</v>
      </c>
      <c r="D2259" s="3">
        <v>42990</v>
      </c>
      <c r="E2259" s="1">
        <v>54.27</v>
      </c>
      <c r="F2259" s="1">
        <v>48.23</v>
      </c>
      <c r="G2259" s="1">
        <v>1.7405999999999999</v>
      </c>
      <c r="H2259" s="1">
        <v>1.6563000000000001</v>
      </c>
      <c r="I2259" s="1">
        <v>3.0009999999999999</v>
      </c>
      <c r="J2259" s="1">
        <v>3.1244999999999998</v>
      </c>
    </row>
    <row r="2260" spans="2:10" x14ac:dyDescent="0.3">
      <c r="B2260" s="10">
        <f t="shared" si="70"/>
        <v>2017</v>
      </c>
      <c r="C2260" s="10">
        <f t="shared" si="71"/>
        <v>9</v>
      </c>
      <c r="D2260" s="3">
        <v>42989</v>
      </c>
      <c r="E2260" s="1">
        <v>53.84</v>
      </c>
      <c r="F2260" s="1">
        <v>48.07</v>
      </c>
      <c r="G2260" s="1">
        <v>1.7426999999999999</v>
      </c>
      <c r="H2260" s="1">
        <v>1.6345000000000001</v>
      </c>
      <c r="I2260" s="1">
        <v>2.95</v>
      </c>
      <c r="J2260" s="1">
        <v>3.1023000000000001</v>
      </c>
    </row>
    <row r="2261" spans="2:10" x14ac:dyDescent="0.3">
      <c r="B2261" s="10">
        <f t="shared" si="70"/>
        <v>2017</v>
      </c>
      <c r="C2261" s="10">
        <f t="shared" si="71"/>
        <v>9</v>
      </c>
      <c r="D2261" s="3">
        <v>42986</v>
      </c>
      <c r="E2261" s="1">
        <v>53.78</v>
      </c>
      <c r="F2261" s="1">
        <v>47.48</v>
      </c>
      <c r="G2261" s="1">
        <v>1.7657</v>
      </c>
      <c r="H2261" s="1">
        <v>1.6476</v>
      </c>
      <c r="I2261" s="1">
        <v>2.89</v>
      </c>
      <c r="J2261" s="1">
        <v>3.0865</v>
      </c>
    </row>
    <row r="2262" spans="2:10" x14ac:dyDescent="0.3">
      <c r="B2262" s="10">
        <f t="shared" si="70"/>
        <v>2017</v>
      </c>
      <c r="C2262" s="10">
        <f t="shared" si="71"/>
        <v>9</v>
      </c>
      <c r="D2262" s="3">
        <v>42985</v>
      </c>
      <c r="E2262" s="1">
        <v>54.49</v>
      </c>
      <c r="F2262" s="1">
        <v>49.09</v>
      </c>
      <c r="G2262" s="1">
        <v>1.7861</v>
      </c>
      <c r="H2262" s="1">
        <v>1.661</v>
      </c>
      <c r="I2262" s="1">
        <v>2.9809999999999999</v>
      </c>
      <c r="J2262" s="1">
        <v>3.0985</v>
      </c>
    </row>
    <row r="2263" spans="2:10" x14ac:dyDescent="0.3">
      <c r="B2263" s="10">
        <f t="shared" si="70"/>
        <v>2017</v>
      </c>
      <c r="C2263" s="10">
        <f t="shared" si="71"/>
        <v>9</v>
      </c>
      <c r="D2263" s="3">
        <v>42984</v>
      </c>
      <c r="E2263" s="1">
        <v>54.2</v>
      </c>
      <c r="F2263" s="1">
        <v>49.16</v>
      </c>
      <c r="G2263" s="1">
        <v>1.7595000000000001</v>
      </c>
      <c r="H2263" s="1">
        <v>1.6733</v>
      </c>
      <c r="I2263" s="1">
        <v>3</v>
      </c>
      <c r="J2263" s="1">
        <v>3.0996000000000001</v>
      </c>
    </row>
    <row r="2264" spans="2:10" x14ac:dyDescent="0.3">
      <c r="B2264" s="10">
        <f t="shared" si="70"/>
        <v>2017</v>
      </c>
      <c r="C2264" s="10">
        <f t="shared" si="71"/>
        <v>9</v>
      </c>
      <c r="D2264" s="3">
        <v>42983</v>
      </c>
      <c r="E2264" s="1">
        <v>53.38</v>
      </c>
      <c r="F2264" s="1">
        <v>48.66</v>
      </c>
      <c r="G2264" s="1">
        <v>1.748</v>
      </c>
      <c r="H2264" s="1">
        <v>1.6991000000000001</v>
      </c>
      <c r="I2264" s="1">
        <v>2.972</v>
      </c>
      <c r="J2264" s="1">
        <v>3.1162999999999998</v>
      </c>
    </row>
    <row r="2265" spans="2:10" x14ac:dyDescent="0.3">
      <c r="B2265" s="10">
        <f t="shared" si="70"/>
        <v>2017</v>
      </c>
      <c r="C2265" s="10">
        <f t="shared" si="71"/>
        <v>9</v>
      </c>
      <c r="D2265" s="3">
        <v>42982</v>
      </c>
      <c r="E2265" s="1">
        <v>52.34</v>
      </c>
      <c r="J2265" s="1">
        <v>3.1412</v>
      </c>
    </row>
    <row r="2266" spans="2:10" x14ac:dyDescent="0.3">
      <c r="B2266" s="10">
        <f t="shared" si="70"/>
        <v>2017</v>
      </c>
      <c r="C2266" s="10">
        <f t="shared" si="71"/>
        <v>9</v>
      </c>
      <c r="D2266" s="3">
        <v>42979</v>
      </c>
      <c r="E2266" s="1">
        <v>52.75</v>
      </c>
      <c r="F2266" s="1">
        <v>47.29</v>
      </c>
      <c r="G2266" s="1">
        <v>1.7467999999999999</v>
      </c>
      <c r="H2266" s="1">
        <v>1.7479</v>
      </c>
      <c r="I2266" s="1">
        <v>3.07</v>
      </c>
      <c r="J2266" s="1">
        <v>3.1408999999999998</v>
      </c>
    </row>
    <row r="2267" spans="2:10" x14ac:dyDescent="0.3">
      <c r="B2267" s="10">
        <f t="shared" si="70"/>
        <v>2017</v>
      </c>
      <c r="C2267" s="10">
        <f t="shared" si="71"/>
        <v>8</v>
      </c>
      <c r="D2267" s="3">
        <v>42978</v>
      </c>
      <c r="E2267" s="1">
        <v>52.38</v>
      </c>
      <c r="F2267" s="1">
        <v>47.23</v>
      </c>
      <c r="G2267" s="1">
        <v>1.7575000000000001</v>
      </c>
      <c r="H2267" s="1">
        <v>2.1398999999999999</v>
      </c>
      <c r="I2267" s="1">
        <v>3.04</v>
      </c>
      <c r="J2267" s="1">
        <v>3.1474000000000002</v>
      </c>
    </row>
    <row r="2268" spans="2:10" x14ac:dyDescent="0.3">
      <c r="B2268" s="10">
        <f t="shared" si="70"/>
        <v>2017</v>
      </c>
      <c r="C2268" s="10">
        <f t="shared" si="71"/>
        <v>8</v>
      </c>
      <c r="D2268" s="3">
        <v>42977</v>
      </c>
      <c r="E2268" s="1">
        <v>50.86</v>
      </c>
      <c r="F2268" s="1">
        <v>45.96</v>
      </c>
      <c r="G2268" s="1">
        <v>1.6738</v>
      </c>
      <c r="H2268" s="1">
        <v>1.8847</v>
      </c>
      <c r="I2268" s="1">
        <v>2.9390000000000001</v>
      </c>
      <c r="J2268" s="1">
        <v>3.1596000000000002</v>
      </c>
    </row>
    <row r="2269" spans="2:10" x14ac:dyDescent="0.3">
      <c r="B2269" s="10">
        <f t="shared" si="70"/>
        <v>2017</v>
      </c>
      <c r="C2269" s="10">
        <f t="shared" si="71"/>
        <v>8</v>
      </c>
      <c r="D2269" s="3">
        <v>42976</v>
      </c>
      <c r="E2269" s="1">
        <v>52</v>
      </c>
      <c r="F2269" s="1">
        <v>46.44</v>
      </c>
      <c r="G2269" s="1">
        <v>1.6655</v>
      </c>
      <c r="H2269" s="1">
        <v>1.7833000000000001</v>
      </c>
      <c r="I2269" s="1">
        <v>2.9609999999999999</v>
      </c>
      <c r="J2269" s="1">
        <v>3.1644000000000001</v>
      </c>
    </row>
    <row r="2270" spans="2:10" x14ac:dyDescent="0.3">
      <c r="B2270" s="10">
        <f t="shared" si="70"/>
        <v>2017</v>
      </c>
      <c r="C2270" s="10">
        <f t="shared" si="71"/>
        <v>8</v>
      </c>
      <c r="D2270" s="3">
        <v>42975</v>
      </c>
      <c r="E2270" s="1">
        <v>51.89</v>
      </c>
      <c r="F2270" s="1">
        <v>46.57</v>
      </c>
      <c r="G2270" s="1">
        <v>1.6352</v>
      </c>
      <c r="H2270" s="1">
        <v>1.7122999999999999</v>
      </c>
      <c r="I2270" s="1">
        <v>2.9249999999999998</v>
      </c>
      <c r="J2270" s="1">
        <v>3.1663999999999999</v>
      </c>
    </row>
    <row r="2271" spans="2:10" x14ac:dyDescent="0.3">
      <c r="B2271" s="10">
        <f t="shared" si="70"/>
        <v>2017</v>
      </c>
      <c r="C2271" s="10">
        <f t="shared" si="71"/>
        <v>8</v>
      </c>
      <c r="D2271" s="3">
        <v>42972</v>
      </c>
      <c r="E2271" s="1">
        <v>52.41</v>
      </c>
      <c r="F2271" s="1">
        <v>47.87</v>
      </c>
      <c r="G2271" s="1">
        <v>1.6223000000000001</v>
      </c>
      <c r="H2271" s="1">
        <v>1.6666000000000001</v>
      </c>
      <c r="I2271" s="1">
        <v>2.8919999999999999</v>
      </c>
      <c r="J2271" s="1">
        <v>3.1595</v>
      </c>
    </row>
    <row r="2272" spans="2:10" x14ac:dyDescent="0.3">
      <c r="B2272" s="10">
        <f t="shared" si="70"/>
        <v>2017</v>
      </c>
      <c r="C2272" s="10">
        <f t="shared" si="71"/>
        <v>8</v>
      </c>
      <c r="D2272" s="3">
        <v>42971</v>
      </c>
      <c r="E2272" s="1">
        <v>52.04</v>
      </c>
      <c r="F2272" s="1">
        <v>47.43</v>
      </c>
      <c r="G2272" s="1">
        <v>1.621</v>
      </c>
      <c r="H2272" s="1">
        <v>1.6640999999999999</v>
      </c>
      <c r="I2272" s="1">
        <v>2.9489999999999998</v>
      </c>
      <c r="J2272" s="1">
        <v>3.1473</v>
      </c>
    </row>
    <row r="2273" spans="2:10" x14ac:dyDescent="0.3">
      <c r="B2273" s="10">
        <f t="shared" si="70"/>
        <v>2017</v>
      </c>
      <c r="C2273" s="10">
        <f t="shared" si="71"/>
        <v>8</v>
      </c>
      <c r="D2273" s="3">
        <v>42970</v>
      </c>
      <c r="E2273" s="1">
        <v>52.57</v>
      </c>
      <c r="F2273" s="1">
        <v>48.41</v>
      </c>
      <c r="G2273" s="1">
        <v>1.6244000000000001</v>
      </c>
      <c r="H2273" s="1">
        <v>1.6189</v>
      </c>
      <c r="I2273" s="1">
        <v>2.9279999999999999</v>
      </c>
      <c r="J2273" s="1">
        <v>3.1404999999999998</v>
      </c>
    </row>
    <row r="2274" spans="2:10" x14ac:dyDescent="0.3">
      <c r="B2274" s="10">
        <f t="shared" si="70"/>
        <v>2017</v>
      </c>
      <c r="C2274" s="10">
        <f t="shared" si="71"/>
        <v>8</v>
      </c>
      <c r="D2274" s="3">
        <v>42969</v>
      </c>
      <c r="E2274" s="1">
        <v>51.87</v>
      </c>
      <c r="F2274" s="1">
        <v>47.64</v>
      </c>
      <c r="G2274" s="1">
        <v>1.5911999999999999</v>
      </c>
      <c r="H2274" s="1">
        <v>1.5908</v>
      </c>
      <c r="I2274" s="1">
        <v>2.9390000000000001</v>
      </c>
      <c r="J2274" s="1">
        <v>3.1602000000000001</v>
      </c>
    </row>
    <row r="2275" spans="2:10" x14ac:dyDescent="0.3">
      <c r="B2275" s="10">
        <f t="shared" si="70"/>
        <v>2017</v>
      </c>
      <c r="C2275" s="10">
        <f t="shared" si="71"/>
        <v>8</v>
      </c>
      <c r="D2275" s="3">
        <v>42968</v>
      </c>
      <c r="E2275" s="1">
        <v>51.66</v>
      </c>
      <c r="F2275" s="1">
        <v>47.37</v>
      </c>
      <c r="G2275" s="1">
        <v>1.5711999999999999</v>
      </c>
      <c r="H2275" s="1">
        <v>1.5841000000000001</v>
      </c>
      <c r="I2275" s="1">
        <v>2.9620000000000002</v>
      </c>
      <c r="J2275" s="1">
        <v>3.1642000000000001</v>
      </c>
    </row>
    <row r="2276" spans="2:10" x14ac:dyDescent="0.3">
      <c r="B2276" s="10">
        <f t="shared" si="70"/>
        <v>2017</v>
      </c>
      <c r="C2276" s="10">
        <f t="shared" si="71"/>
        <v>8</v>
      </c>
      <c r="D2276" s="3">
        <v>42965</v>
      </c>
      <c r="E2276" s="1">
        <v>52.72</v>
      </c>
      <c r="F2276" s="1">
        <v>48.51</v>
      </c>
      <c r="G2276" s="1">
        <v>1.6204000000000001</v>
      </c>
      <c r="H2276" s="1">
        <v>1.6240000000000001</v>
      </c>
      <c r="I2276" s="1">
        <v>2.8929999999999998</v>
      </c>
      <c r="J2276" s="1">
        <v>3.1461999999999999</v>
      </c>
    </row>
    <row r="2277" spans="2:10" x14ac:dyDescent="0.3">
      <c r="B2277" s="10">
        <f t="shared" si="70"/>
        <v>2017</v>
      </c>
      <c r="C2277" s="10">
        <f t="shared" si="71"/>
        <v>8</v>
      </c>
      <c r="D2277" s="3">
        <v>42964</v>
      </c>
      <c r="E2277" s="1">
        <v>51.03</v>
      </c>
      <c r="F2277" s="1">
        <v>47.09</v>
      </c>
      <c r="G2277" s="1">
        <v>1.5820000000000001</v>
      </c>
      <c r="H2277" s="1">
        <v>1.5869</v>
      </c>
      <c r="I2277" s="1">
        <v>2.9289999999999998</v>
      </c>
      <c r="J2277" s="1">
        <v>3.1741000000000001</v>
      </c>
    </row>
    <row r="2278" spans="2:10" x14ac:dyDescent="0.3">
      <c r="B2278" s="10">
        <f t="shared" si="70"/>
        <v>2017</v>
      </c>
      <c r="C2278" s="10">
        <f t="shared" si="71"/>
        <v>8</v>
      </c>
      <c r="D2278" s="3">
        <v>42963</v>
      </c>
      <c r="E2278" s="1">
        <v>50.27</v>
      </c>
      <c r="F2278" s="1">
        <v>46.78</v>
      </c>
      <c r="G2278" s="1">
        <v>1.5744</v>
      </c>
      <c r="H2278" s="1">
        <v>1.5638000000000001</v>
      </c>
      <c r="I2278" s="1">
        <v>2.89</v>
      </c>
      <c r="J2278" s="1">
        <v>3.1518000000000002</v>
      </c>
    </row>
    <row r="2279" spans="2:10" x14ac:dyDescent="0.3">
      <c r="B2279" s="10">
        <f t="shared" si="70"/>
        <v>2017</v>
      </c>
      <c r="C2279" s="10">
        <f t="shared" si="71"/>
        <v>8</v>
      </c>
      <c r="D2279" s="3">
        <v>42962</v>
      </c>
      <c r="E2279" s="1">
        <v>50.8</v>
      </c>
      <c r="F2279" s="1">
        <v>47.55</v>
      </c>
      <c r="G2279" s="1">
        <v>1.5995999999999999</v>
      </c>
      <c r="H2279" s="1">
        <v>1.5794999999999999</v>
      </c>
      <c r="I2279" s="1">
        <v>2.9350000000000001</v>
      </c>
      <c r="J2279" s="1">
        <v>3.1692</v>
      </c>
    </row>
    <row r="2280" spans="2:10" x14ac:dyDescent="0.3">
      <c r="B2280" s="10">
        <f t="shared" si="70"/>
        <v>2017</v>
      </c>
      <c r="C2280" s="10">
        <f t="shared" si="71"/>
        <v>8</v>
      </c>
      <c r="D2280" s="3">
        <v>42961</v>
      </c>
      <c r="E2280" s="1">
        <v>50.73</v>
      </c>
      <c r="F2280" s="1">
        <v>47.59</v>
      </c>
      <c r="G2280" s="1">
        <v>1.6056999999999999</v>
      </c>
      <c r="H2280" s="1">
        <v>1.5767</v>
      </c>
      <c r="I2280" s="1">
        <v>2.9590000000000001</v>
      </c>
      <c r="J2280" s="1">
        <v>3.1884999999999999</v>
      </c>
    </row>
    <row r="2281" spans="2:10" x14ac:dyDescent="0.3">
      <c r="B2281" s="10">
        <f t="shared" si="70"/>
        <v>2017</v>
      </c>
      <c r="C2281" s="10">
        <f t="shared" si="71"/>
        <v>8</v>
      </c>
      <c r="D2281" s="3">
        <v>42958</v>
      </c>
      <c r="E2281" s="1">
        <v>52.1</v>
      </c>
      <c r="F2281" s="1">
        <v>48.82</v>
      </c>
      <c r="G2281" s="1">
        <v>1.6346000000000001</v>
      </c>
      <c r="H2281" s="1">
        <v>1.613</v>
      </c>
      <c r="I2281" s="1">
        <v>2.9830000000000001</v>
      </c>
      <c r="J2281" s="1">
        <v>3.1934</v>
      </c>
    </row>
    <row r="2282" spans="2:10" x14ac:dyDescent="0.3">
      <c r="B2282" s="10">
        <f t="shared" si="70"/>
        <v>2017</v>
      </c>
      <c r="C2282" s="10">
        <f t="shared" si="71"/>
        <v>8</v>
      </c>
      <c r="D2282" s="3">
        <v>42957</v>
      </c>
      <c r="E2282" s="1">
        <v>51.9</v>
      </c>
      <c r="F2282" s="1">
        <v>48.59</v>
      </c>
      <c r="G2282" s="1">
        <v>1.6313</v>
      </c>
      <c r="H2282" s="1">
        <v>1.6028</v>
      </c>
      <c r="I2282" s="1">
        <v>2.9849999999999999</v>
      </c>
      <c r="J2282" s="1">
        <v>3.1753999999999998</v>
      </c>
    </row>
    <row r="2283" spans="2:10" x14ac:dyDescent="0.3">
      <c r="B2283" s="10">
        <f t="shared" si="70"/>
        <v>2017</v>
      </c>
      <c r="C2283" s="10">
        <f t="shared" si="71"/>
        <v>8</v>
      </c>
      <c r="D2283" s="3">
        <v>42956</v>
      </c>
      <c r="E2283" s="1">
        <v>52.7</v>
      </c>
      <c r="F2283" s="1">
        <v>49.56</v>
      </c>
      <c r="G2283" s="1">
        <v>1.6533</v>
      </c>
      <c r="H2283" s="1">
        <v>1.62</v>
      </c>
      <c r="I2283" s="1">
        <v>2.883</v>
      </c>
      <c r="J2283" s="1">
        <v>3.1556000000000002</v>
      </c>
    </row>
    <row r="2284" spans="2:10" x14ac:dyDescent="0.3">
      <c r="B2284" s="10">
        <f t="shared" si="70"/>
        <v>2017</v>
      </c>
      <c r="C2284" s="10">
        <f t="shared" si="71"/>
        <v>8</v>
      </c>
      <c r="D2284" s="3">
        <v>42955</v>
      </c>
      <c r="E2284" s="1">
        <v>52.14</v>
      </c>
      <c r="F2284" s="1">
        <v>49.17</v>
      </c>
      <c r="G2284" s="1">
        <v>1.6292</v>
      </c>
      <c r="H2284" s="1">
        <v>1.6208</v>
      </c>
      <c r="I2284" s="1">
        <v>2.8220000000000001</v>
      </c>
      <c r="J2284" s="1">
        <v>3.1265999999999998</v>
      </c>
    </row>
    <row r="2285" spans="2:10" x14ac:dyDescent="0.3">
      <c r="B2285" s="10">
        <f t="shared" si="70"/>
        <v>2017</v>
      </c>
      <c r="C2285" s="10">
        <f t="shared" si="71"/>
        <v>8</v>
      </c>
      <c r="D2285" s="3">
        <v>42954</v>
      </c>
      <c r="E2285" s="1">
        <v>52.37</v>
      </c>
      <c r="F2285" s="1">
        <v>49.39</v>
      </c>
      <c r="G2285" s="1">
        <v>1.6397999999999999</v>
      </c>
      <c r="H2285" s="1">
        <v>1.6298999999999999</v>
      </c>
      <c r="I2285" s="1">
        <v>2.8010000000000002</v>
      </c>
      <c r="J2285" s="1">
        <v>3.1261000000000001</v>
      </c>
    </row>
    <row r="2286" spans="2:10" x14ac:dyDescent="0.3">
      <c r="B2286" s="10">
        <f t="shared" si="70"/>
        <v>2017</v>
      </c>
      <c r="C2286" s="10">
        <f t="shared" si="71"/>
        <v>8</v>
      </c>
      <c r="D2286" s="3">
        <v>42951</v>
      </c>
      <c r="E2286" s="1">
        <v>52.42</v>
      </c>
      <c r="F2286" s="1">
        <v>49.58</v>
      </c>
      <c r="G2286" s="1">
        <v>1.6486000000000001</v>
      </c>
      <c r="H2286" s="1">
        <v>1.6463000000000001</v>
      </c>
      <c r="I2286" s="1">
        <v>2.774</v>
      </c>
      <c r="J2286" s="1">
        <v>3.1305000000000001</v>
      </c>
    </row>
    <row r="2287" spans="2:10" x14ac:dyDescent="0.3">
      <c r="B2287" s="10">
        <f t="shared" si="70"/>
        <v>2017</v>
      </c>
      <c r="C2287" s="10">
        <f t="shared" si="71"/>
        <v>8</v>
      </c>
      <c r="D2287" s="3">
        <v>42950</v>
      </c>
      <c r="E2287" s="1">
        <v>52.01</v>
      </c>
      <c r="F2287" s="1">
        <v>49.03</v>
      </c>
      <c r="G2287" s="1">
        <v>1.6389</v>
      </c>
      <c r="H2287" s="1">
        <v>1.6318999999999999</v>
      </c>
      <c r="I2287" s="1">
        <v>2.8</v>
      </c>
      <c r="J2287" s="1">
        <v>3.1122999999999998</v>
      </c>
    </row>
    <row r="2288" spans="2:10" x14ac:dyDescent="0.3">
      <c r="B2288" s="10">
        <f t="shared" si="70"/>
        <v>2017</v>
      </c>
      <c r="C2288" s="10">
        <f t="shared" si="71"/>
        <v>8</v>
      </c>
      <c r="D2288" s="3">
        <v>42949</v>
      </c>
      <c r="E2288" s="1">
        <v>52.36</v>
      </c>
      <c r="F2288" s="1">
        <v>49.59</v>
      </c>
      <c r="G2288" s="1">
        <v>1.6588000000000001</v>
      </c>
      <c r="H2288" s="1">
        <v>1.6448</v>
      </c>
      <c r="I2288" s="1">
        <v>2.8109999999999999</v>
      </c>
      <c r="J2288" s="1">
        <v>3.1131000000000002</v>
      </c>
    </row>
    <row r="2289" spans="2:10" x14ac:dyDescent="0.3">
      <c r="B2289" s="10">
        <f t="shared" si="70"/>
        <v>2017</v>
      </c>
      <c r="C2289" s="10">
        <f t="shared" si="71"/>
        <v>8</v>
      </c>
      <c r="D2289" s="3">
        <v>42948</v>
      </c>
      <c r="E2289" s="1">
        <v>51.78</v>
      </c>
      <c r="F2289" s="1">
        <v>49.16</v>
      </c>
      <c r="G2289" s="1">
        <v>1.6413</v>
      </c>
      <c r="H2289" s="1">
        <v>1.6613</v>
      </c>
      <c r="I2289" s="1">
        <v>2.819</v>
      </c>
      <c r="J2289" s="1">
        <v>3.1254</v>
      </c>
    </row>
    <row r="2290" spans="2:10" x14ac:dyDescent="0.3">
      <c r="B2290" s="10">
        <f t="shared" si="70"/>
        <v>2017</v>
      </c>
      <c r="C2290" s="10">
        <f t="shared" si="71"/>
        <v>7</v>
      </c>
      <c r="D2290" s="3">
        <v>42947</v>
      </c>
      <c r="E2290" s="1">
        <v>52.65</v>
      </c>
      <c r="F2290" s="1">
        <v>50.17</v>
      </c>
      <c r="G2290" s="1">
        <v>1.6518999999999999</v>
      </c>
      <c r="H2290" s="1">
        <v>1.7058</v>
      </c>
      <c r="I2290" s="1">
        <v>2.794</v>
      </c>
      <c r="J2290" s="1">
        <v>3.1259000000000001</v>
      </c>
    </row>
    <row r="2291" spans="2:10" x14ac:dyDescent="0.3">
      <c r="B2291" s="10">
        <f t="shared" si="70"/>
        <v>2017</v>
      </c>
      <c r="C2291" s="10">
        <f t="shared" si="71"/>
        <v>7</v>
      </c>
      <c r="D2291" s="3">
        <v>42944</v>
      </c>
      <c r="E2291" s="1">
        <v>52.52</v>
      </c>
      <c r="F2291" s="1">
        <v>49.71</v>
      </c>
      <c r="G2291" s="1">
        <v>1.6396999999999999</v>
      </c>
      <c r="H2291" s="1">
        <v>1.6760999999999999</v>
      </c>
      <c r="I2291" s="1">
        <v>2.9409999999999998</v>
      </c>
      <c r="J2291" s="1">
        <v>3.1316000000000002</v>
      </c>
    </row>
    <row r="2292" spans="2:10" x14ac:dyDescent="0.3">
      <c r="B2292" s="10">
        <f t="shared" si="70"/>
        <v>2017</v>
      </c>
      <c r="C2292" s="10">
        <f t="shared" si="71"/>
        <v>7</v>
      </c>
      <c r="D2292" s="3">
        <v>42943</v>
      </c>
      <c r="E2292" s="1">
        <v>51.49</v>
      </c>
      <c r="F2292" s="1">
        <v>49.04</v>
      </c>
      <c r="G2292" s="1">
        <v>1.6032</v>
      </c>
      <c r="H2292" s="1">
        <v>1.6446000000000001</v>
      </c>
      <c r="I2292" s="1">
        <v>2.9689999999999999</v>
      </c>
      <c r="J2292" s="1">
        <v>3.1524000000000001</v>
      </c>
    </row>
    <row r="2293" spans="2:10" x14ac:dyDescent="0.3">
      <c r="B2293" s="10">
        <f t="shared" si="70"/>
        <v>2017</v>
      </c>
      <c r="C2293" s="10">
        <f t="shared" si="71"/>
        <v>7</v>
      </c>
      <c r="D2293" s="3">
        <v>42942</v>
      </c>
      <c r="E2293" s="1">
        <v>50.97</v>
      </c>
      <c r="F2293" s="1">
        <v>48.75</v>
      </c>
      <c r="G2293" s="1">
        <v>1.5952999999999999</v>
      </c>
      <c r="H2293" s="1">
        <v>1.6173</v>
      </c>
      <c r="I2293" s="1">
        <v>2.9239999999999999</v>
      </c>
      <c r="J2293" s="1">
        <v>3.1385000000000001</v>
      </c>
    </row>
    <row r="2294" spans="2:10" x14ac:dyDescent="0.3">
      <c r="B2294" s="10">
        <f t="shared" si="70"/>
        <v>2017</v>
      </c>
      <c r="C2294" s="10">
        <f t="shared" si="71"/>
        <v>7</v>
      </c>
      <c r="D2294" s="3">
        <v>42941</v>
      </c>
      <c r="E2294" s="1">
        <v>50.2</v>
      </c>
      <c r="F2294" s="1">
        <v>47.89</v>
      </c>
      <c r="G2294" s="1">
        <v>1.5685</v>
      </c>
      <c r="H2294" s="1">
        <v>1.5962000000000001</v>
      </c>
      <c r="I2294" s="1">
        <v>2.944</v>
      </c>
      <c r="J2294" s="1">
        <v>3.1722000000000001</v>
      </c>
    </row>
    <row r="2295" spans="2:10" x14ac:dyDescent="0.3">
      <c r="B2295" s="10">
        <f t="shared" si="70"/>
        <v>2017</v>
      </c>
      <c r="C2295" s="10">
        <f t="shared" si="71"/>
        <v>7</v>
      </c>
      <c r="D2295" s="3">
        <v>42940</v>
      </c>
      <c r="E2295" s="1">
        <v>48.6</v>
      </c>
      <c r="F2295" s="1">
        <v>46.34</v>
      </c>
      <c r="G2295" s="1">
        <v>1.5168999999999999</v>
      </c>
      <c r="H2295" s="1">
        <v>1.5568</v>
      </c>
      <c r="I2295" s="1">
        <v>2.899</v>
      </c>
      <c r="J2295" s="1">
        <v>3.1455000000000002</v>
      </c>
    </row>
    <row r="2296" spans="2:10" x14ac:dyDescent="0.3">
      <c r="B2296" s="10">
        <f t="shared" si="70"/>
        <v>2017</v>
      </c>
      <c r="C2296" s="10">
        <f t="shared" si="71"/>
        <v>7</v>
      </c>
      <c r="D2296" s="3">
        <v>42937</v>
      </c>
      <c r="E2296" s="1">
        <v>48.06</v>
      </c>
      <c r="F2296" s="1">
        <v>45.77</v>
      </c>
      <c r="G2296" s="1">
        <v>1.5152000000000001</v>
      </c>
      <c r="H2296" s="1">
        <v>1.5632999999999999</v>
      </c>
      <c r="I2296" s="1">
        <v>2.97</v>
      </c>
      <c r="J2296" s="1">
        <v>3.1415999999999999</v>
      </c>
    </row>
    <row r="2297" spans="2:10" x14ac:dyDescent="0.3">
      <c r="B2297" s="10">
        <f t="shared" si="70"/>
        <v>2017</v>
      </c>
      <c r="C2297" s="10">
        <f t="shared" si="71"/>
        <v>7</v>
      </c>
      <c r="D2297" s="3">
        <v>42936</v>
      </c>
      <c r="E2297" s="1">
        <v>49.3</v>
      </c>
      <c r="F2297" s="1">
        <v>46.79</v>
      </c>
      <c r="G2297" s="1">
        <v>1.5436000000000001</v>
      </c>
      <c r="H2297" s="1">
        <v>1.6062000000000001</v>
      </c>
      <c r="I2297" s="1">
        <v>3.0430000000000001</v>
      </c>
      <c r="J2297" s="1">
        <v>3.1206</v>
      </c>
    </row>
    <row r="2298" spans="2:10" x14ac:dyDescent="0.3">
      <c r="B2298" s="10">
        <f t="shared" si="70"/>
        <v>2017</v>
      </c>
      <c r="C2298" s="10">
        <f t="shared" si="71"/>
        <v>7</v>
      </c>
      <c r="D2298" s="3">
        <v>42935</v>
      </c>
      <c r="E2298" s="1">
        <v>49.7</v>
      </c>
      <c r="F2298" s="1">
        <v>47.12</v>
      </c>
      <c r="G2298" s="1">
        <v>1.5513999999999999</v>
      </c>
      <c r="H2298" s="1">
        <v>1.6169</v>
      </c>
      <c r="I2298" s="1">
        <v>3.0659999999999998</v>
      </c>
      <c r="J2298" s="1">
        <v>3.1486000000000001</v>
      </c>
    </row>
    <row r="2299" spans="2:10" x14ac:dyDescent="0.3">
      <c r="B2299" s="10">
        <f t="shared" si="70"/>
        <v>2017</v>
      </c>
      <c r="C2299" s="10">
        <f t="shared" si="71"/>
        <v>7</v>
      </c>
      <c r="D2299" s="3">
        <v>42934</v>
      </c>
      <c r="E2299" s="1">
        <v>48.84</v>
      </c>
      <c r="F2299" s="1">
        <v>46.4</v>
      </c>
      <c r="G2299" s="1">
        <v>1.5104</v>
      </c>
      <c r="H2299" s="1">
        <v>1.5789</v>
      </c>
      <c r="I2299" s="1">
        <v>3.0880000000000001</v>
      </c>
      <c r="J2299" s="1">
        <v>3.1541999999999999</v>
      </c>
    </row>
    <row r="2300" spans="2:10" x14ac:dyDescent="0.3">
      <c r="B2300" s="10">
        <f t="shared" si="70"/>
        <v>2017</v>
      </c>
      <c r="C2300" s="10">
        <f t="shared" si="71"/>
        <v>7</v>
      </c>
      <c r="D2300" s="3">
        <v>42933</v>
      </c>
      <c r="E2300" s="1">
        <v>48.42</v>
      </c>
      <c r="F2300" s="1">
        <v>46.02</v>
      </c>
      <c r="G2300" s="1">
        <v>1.4995000000000001</v>
      </c>
      <c r="H2300" s="1">
        <v>1.5567</v>
      </c>
      <c r="I2300" s="1">
        <v>3.02</v>
      </c>
      <c r="J2300" s="1">
        <v>3.1827999999999999</v>
      </c>
    </row>
    <row r="2301" spans="2:10" x14ac:dyDescent="0.3">
      <c r="B2301" s="10">
        <f t="shared" si="70"/>
        <v>2017</v>
      </c>
      <c r="C2301" s="10">
        <f t="shared" si="71"/>
        <v>7</v>
      </c>
      <c r="D2301" s="3">
        <v>42930</v>
      </c>
      <c r="E2301" s="1">
        <v>48.91</v>
      </c>
      <c r="F2301" s="1">
        <v>46.54</v>
      </c>
      <c r="G2301" s="1">
        <v>1.5149999999999999</v>
      </c>
      <c r="H2301" s="1">
        <v>1.5605</v>
      </c>
      <c r="I2301" s="1">
        <v>2.98</v>
      </c>
      <c r="J2301" s="1">
        <v>3.1793999999999998</v>
      </c>
    </row>
    <row r="2302" spans="2:10" x14ac:dyDescent="0.3">
      <c r="B2302" s="10">
        <f t="shared" si="70"/>
        <v>2017</v>
      </c>
      <c r="C2302" s="10">
        <f t="shared" si="71"/>
        <v>7</v>
      </c>
      <c r="D2302" s="3">
        <v>42929</v>
      </c>
      <c r="E2302" s="1">
        <v>48.42</v>
      </c>
      <c r="F2302" s="1">
        <v>46.08</v>
      </c>
      <c r="G2302" s="1">
        <v>1.4917</v>
      </c>
      <c r="H2302" s="1">
        <v>1.5261</v>
      </c>
      <c r="I2302" s="1">
        <v>2.9609999999999999</v>
      </c>
      <c r="J2302" s="1">
        <v>3.2134</v>
      </c>
    </row>
    <row r="2303" spans="2:10" x14ac:dyDescent="0.3">
      <c r="B2303" s="10">
        <f t="shared" si="70"/>
        <v>2017</v>
      </c>
      <c r="C2303" s="10">
        <f t="shared" si="71"/>
        <v>7</v>
      </c>
      <c r="D2303" s="3">
        <v>42928</v>
      </c>
      <c r="E2303" s="1">
        <v>47.74</v>
      </c>
      <c r="F2303" s="1">
        <v>45.49</v>
      </c>
      <c r="G2303" s="1">
        <v>1.4737</v>
      </c>
      <c r="H2303" s="1">
        <v>1.5207999999999999</v>
      </c>
      <c r="I2303" s="1">
        <v>2.9849999999999999</v>
      </c>
      <c r="J2303" s="1">
        <v>3.2071999999999998</v>
      </c>
    </row>
    <row r="2304" spans="2:10" x14ac:dyDescent="0.3">
      <c r="B2304" s="10">
        <f t="shared" si="70"/>
        <v>2017</v>
      </c>
      <c r="C2304" s="10">
        <f t="shared" si="71"/>
        <v>7</v>
      </c>
      <c r="D2304" s="3">
        <v>42927</v>
      </c>
      <c r="E2304" s="1">
        <v>47.52</v>
      </c>
      <c r="F2304" s="1">
        <v>45.04</v>
      </c>
      <c r="G2304" s="1">
        <v>1.4762999999999999</v>
      </c>
      <c r="H2304" s="1">
        <v>1.5183</v>
      </c>
      <c r="I2304" s="1">
        <v>3.0470000000000002</v>
      </c>
      <c r="J2304" s="1">
        <v>3.2542</v>
      </c>
    </row>
    <row r="2305" spans="2:10" x14ac:dyDescent="0.3">
      <c r="B2305" s="10">
        <f t="shared" si="70"/>
        <v>2017</v>
      </c>
      <c r="C2305" s="10">
        <f t="shared" si="71"/>
        <v>7</v>
      </c>
      <c r="D2305" s="3">
        <v>42926</v>
      </c>
      <c r="E2305" s="1">
        <v>46.88</v>
      </c>
      <c r="F2305" s="1">
        <v>44.4</v>
      </c>
      <c r="G2305" s="1">
        <v>1.4536</v>
      </c>
      <c r="H2305" s="1">
        <v>1.5006999999999999</v>
      </c>
      <c r="I2305" s="1">
        <v>2.9289999999999998</v>
      </c>
      <c r="J2305" s="1">
        <v>3.2547999999999999</v>
      </c>
    </row>
    <row r="2306" spans="2:10" x14ac:dyDescent="0.3">
      <c r="B2306" s="10">
        <f t="shared" si="70"/>
        <v>2017</v>
      </c>
      <c r="C2306" s="10">
        <f t="shared" si="71"/>
        <v>7</v>
      </c>
      <c r="D2306" s="3">
        <v>42923</v>
      </c>
      <c r="E2306" s="1">
        <v>46.71</v>
      </c>
      <c r="F2306" s="1">
        <v>44.23</v>
      </c>
      <c r="G2306" s="1">
        <v>1.4481999999999999</v>
      </c>
      <c r="H2306" s="1">
        <v>1.4984</v>
      </c>
      <c r="I2306" s="1">
        <v>2.8639999999999999</v>
      </c>
      <c r="J2306" s="1">
        <v>3.2803</v>
      </c>
    </row>
    <row r="2307" spans="2:10" x14ac:dyDescent="0.3">
      <c r="B2307" s="10">
        <f t="shared" si="70"/>
        <v>2017</v>
      </c>
      <c r="C2307" s="10">
        <f t="shared" si="71"/>
        <v>7</v>
      </c>
      <c r="D2307" s="3">
        <v>42922</v>
      </c>
      <c r="E2307" s="1">
        <v>48.11</v>
      </c>
      <c r="F2307" s="1">
        <v>45.52</v>
      </c>
      <c r="G2307" s="1">
        <v>1.4819</v>
      </c>
      <c r="H2307" s="1">
        <v>1.5286999999999999</v>
      </c>
      <c r="I2307" s="1">
        <v>2.8879999999999999</v>
      </c>
      <c r="J2307" s="1">
        <v>3.2959000000000001</v>
      </c>
    </row>
    <row r="2308" spans="2:10" x14ac:dyDescent="0.3">
      <c r="B2308" s="10">
        <f t="shared" si="70"/>
        <v>2017</v>
      </c>
      <c r="C2308" s="10">
        <f t="shared" si="71"/>
        <v>7</v>
      </c>
      <c r="D2308" s="3">
        <v>42921</v>
      </c>
      <c r="E2308" s="1">
        <v>47.79</v>
      </c>
      <c r="F2308" s="1">
        <v>45.13</v>
      </c>
      <c r="G2308" s="1">
        <v>1.4784999999999999</v>
      </c>
      <c r="H2308" s="1">
        <v>1.5024</v>
      </c>
      <c r="I2308" s="1">
        <v>2.84</v>
      </c>
      <c r="J2308" s="1">
        <v>3.2883</v>
      </c>
    </row>
    <row r="2309" spans="2:10" x14ac:dyDescent="0.3">
      <c r="B2309" s="10">
        <f t="shared" si="70"/>
        <v>2017</v>
      </c>
      <c r="C2309" s="10">
        <f t="shared" si="71"/>
        <v>7</v>
      </c>
      <c r="D2309" s="3">
        <v>42920</v>
      </c>
      <c r="E2309" s="1">
        <v>49.61</v>
      </c>
      <c r="J2309" s="1">
        <v>3.3090000000000002</v>
      </c>
    </row>
    <row r="2310" spans="2:10" x14ac:dyDescent="0.3">
      <c r="B2310" s="10">
        <f t="shared" ref="B2310:B2373" si="72">YEAR(D2310)</f>
        <v>2017</v>
      </c>
      <c r="C2310" s="10">
        <f t="shared" ref="C2310:C2373" si="73">MONTH(D2310)</f>
        <v>7</v>
      </c>
      <c r="D2310" s="3">
        <v>42919</v>
      </c>
      <c r="E2310" s="1">
        <v>49.68</v>
      </c>
      <c r="F2310" s="1">
        <v>47.07</v>
      </c>
      <c r="G2310" s="1">
        <v>1.5127999999999999</v>
      </c>
      <c r="H2310" s="1">
        <v>1.5347999999999999</v>
      </c>
      <c r="I2310" s="1">
        <v>2.9510000000000001</v>
      </c>
      <c r="J2310" s="1">
        <v>3.3003</v>
      </c>
    </row>
    <row r="2311" spans="2:10" x14ac:dyDescent="0.3">
      <c r="B2311" s="10">
        <f t="shared" si="72"/>
        <v>2017</v>
      </c>
      <c r="C2311" s="10">
        <f t="shared" si="73"/>
        <v>6</v>
      </c>
      <c r="D2311" s="3">
        <v>42916</v>
      </c>
      <c r="E2311" s="1">
        <v>47.92</v>
      </c>
      <c r="F2311" s="1">
        <v>46.04</v>
      </c>
      <c r="G2311" s="1">
        <v>1.4755</v>
      </c>
      <c r="H2311" s="1">
        <v>1.5152000000000001</v>
      </c>
      <c r="I2311" s="1">
        <v>3.0350000000000001</v>
      </c>
      <c r="J2311" s="1">
        <v>3.3062999999999998</v>
      </c>
    </row>
    <row r="2312" spans="2:10" x14ac:dyDescent="0.3">
      <c r="B2312" s="10">
        <f t="shared" si="72"/>
        <v>2017</v>
      </c>
      <c r="C2312" s="10">
        <f t="shared" si="73"/>
        <v>6</v>
      </c>
      <c r="D2312" s="3">
        <v>42915</v>
      </c>
      <c r="E2312" s="1">
        <v>47.42</v>
      </c>
      <c r="F2312" s="1">
        <v>44.93</v>
      </c>
      <c r="G2312" s="1">
        <v>1.446</v>
      </c>
      <c r="H2312" s="1">
        <v>1.4856</v>
      </c>
      <c r="I2312" s="1">
        <v>3.0419999999999998</v>
      </c>
      <c r="J2312" s="1">
        <v>3.3033000000000001</v>
      </c>
    </row>
    <row r="2313" spans="2:10" x14ac:dyDescent="0.3">
      <c r="B2313" s="10">
        <f t="shared" si="72"/>
        <v>2017</v>
      </c>
      <c r="C2313" s="10">
        <f t="shared" si="73"/>
        <v>6</v>
      </c>
      <c r="D2313" s="3">
        <v>42914</v>
      </c>
      <c r="E2313" s="1">
        <v>47.31</v>
      </c>
      <c r="F2313" s="1">
        <v>44.74</v>
      </c>
      <c r="G2313" s="1">
        <v>1.4330000000000001</v>
      </c>
      <c r="H2313" s="1">
        <v>1.4833000000000001</v>
      </c>
      <c r="I2313" s="1">
        <v>3.0670000000000002</v>
      </c>
      <c r="J2313" s="1">
        <v>3.2795000000000001</v>
      </c>
    </row>
    <row r="2314" spans="2:10" x14ac:dyDescent="0.3">
      <c r="B2314" s="10">
        <f t="shared" si="72"/>
        <v>2017</v>
      </c>
      <c r="C2314" s="10">
        <f t="shared" si="73"/>
        <v>6</v>
      </c>
      <c r="D2314" s="3">
        <v>42913</v>
      </c>
      <c r="E2314" s="1">
        <v>46.65</v>
      </c>
      <c r="F2314" s="1">
        <v>44.24</v>
      </c>
      <c r="G2314" s="1">
        <v>1.4137</v>
      </c>
      <c r="H2314" s="1">
        <v>1.4598</v>
      </c>
      <c r="I2314" s="1">
        <v>3.0369999999999999</v>
      </c>
      <c r="J2314" s="1">
        <v>3.3125</v>
      </c>
    </row>
    <row r="2315" spans="2:10" x14ac:dyDescent="0.3">
      <c r="B2315" s="10">
        <f t="shared" si="72"/>
        <v>2017</v>
      </c>
      <c r="C2315" s="10">
        <f t="shared" si="73"/>
        <v>6</v>
      </c>
      <c r="D2315" s="3">
        <v>42912</v>
      </c>
      <c r="E2315" s="1">
        <v>45.83</v>
      </c>
      <c r="F2315" s="1">
        <v>43.38</v>
      </c>
      <c r="G2315" s="1">
        <v>1.3802000000000001</v>
      </c>
      <c r="H2315" s="1">
        <v>1.4387000000000001</v>
      </c>
      <c r="I2315" s="1">
        <v>3.0270000000000001</v>
      </c>
      <c r="J2315" s="1">
        <v>3.2961</v>
      </c>
    </row>
    <row r="2316" spans="2:10" x14ac:dyDescent="0.3">
      <c r="B2316" s="10">
        <f t="shared" si="72"/>
        <v>2017</v>
      </c>
      <c r="C2316" s="10">
        <f t="shared" si="73"/>
        <v>6</v>
      </c>
      <c r="D2316" s="3">
        <v>42909</v>
      </c>
      <c r="E2316" s="1">
        <v>45.54</v>
      </c>
      <c r="F2316" s="1">
        <v>43.01</v>
      </c>
      <c r="G2316" s="1">
        <v>1.3716999999999999</v>
      </c>
      <c r="H2316" s="1">
        <v>1.4340999999999999</v>
      </c>
      <c r="I2316" s="1">
        <v>2.9289999999999998</v>
      </c>
      <c r="J2316" s="1">
        <v>3.3426999999999998</v>
      </c>
    </row>
    <row r="2317" spans="2:10" x14ac:dyDescent="0.3">
      <c r="B2317" s="10">
        <f t="shared" si="72"/>
        <v>2017</v>
      </c>
      <c r="C2317" s="10">
        <f t="shared" si="73"/>
        <v>6</v>
      </c>
      <c r="D2317" s="3">
        <v>42908</v>
      </c>
      <c r="E2317" s="1">
        <v>45.22</v>
      </c>
      <c r="F2317" s="1">
        <v>42.74</v>
      </c>
      <c r="G2317" s="1">
        <v>1.3715999999999999</v>
      </c>
      <c r="H2317" s="1">
        <v>1.4345000000000001</v>
      </c>
      <c r="I2317" s="1">
        <v>2.8940000000000001</v>
      </c>
      <c r="J2317" s="1">
        <v>3.3414999999999999</v>
      </c>
    </row>
    <row r="2318" spans="2:10" x14ac:dyDescent="0.3">
      <c r="B2318" s="10">
        <f t="shared" si="72"/>
        <v>2017</v>
      </c>
      <c r="C2318" s="10">
        <f t="shared" si="73"/>
        <v>6</v>
      </c>
      <c r="D2318" s="3">
        <v>42907</v>
      </c>
      <c r="E2318" s="1">
        <v>44.82</v>
      </c>
      <c r="F2318" s="1">
        <v>42.53</v>
      </c>
      <c r="G2318" s="1">
        <v>1.3648</v>
      </c>
      <c r="H2318" s="1">
        <v>1.4105000000000001</v>
      </c>
      <c r="I2318" s="1">
        <v>2.8929999999999998</v>
      </c>
      <c r="J2318" s="1">
        <v>3.3359999999999999</v>
      </c>
    </row>
    <row r="2319" spans="2:10" x14ac:dyDescent="0.3">
      <c r="B2319" s="10">
        <f t="shared" si="72"/>
        <v>2017</v>
      </c>
      <c r="C2319" s="10">
        <f t="shared" si="73"/>
        <v>6</v>
      </c>
      <c r="D2319" s="3">
        <v>42906</v>
      </c>
      <c r="E2319" s="1">
        <v>46.02</v>
      </c>
      <c r="F2319" s="1">
        <v>43.23</v>
      </c>
      <c r="G2319" s="1">
        <v>1.3949</v>
      </c>
      <c r="H2319" s="1">
        <v>1.4239999999999999</v>
      </c>
      <c r="I2319" s="1">
        <v>2.907</v>
      </c>
      <c r="J2319" s="1">
        <v>3.3264</v>
      </c>
    </row>
    <row r="2320" spans="2:10" x14ac:dyDescent="0.3">
      <c r="B2320" s="10">
        <f t="shared" si="72"/>
        <v>2017</v>
      </c>
      <c r="C2320" s="10">
        <f t="shared" si="73"/>
        <v>6</v>
      </c>
      <c r="D2320" s="3">
        <v>42905</v>
      </c>
      <c r="E2320" s="1">
        <v>46.91</v>
      </c>
      <c r="F2320" s="1">
        <v>44.2</v>
      </c>
      <c r="G2320" s="1">
        <v>1.4111</v>
      </c>
      <c r="H2320" s="1">
        <v>1.4505999999999999</v>
      </c>
      <c r="I2320" s="1">
        <v>2.8940000000000001</v>
      </c>
      <c r="J2320" s="1">
        <v>3.2824</v>
      </c>
    </row>
    <row r="2321" spans="2:10" x14ac:dyDescent="0.3">
      <c r="B2321" s="10">
        <f t="shared" si="72"/>
        <v>2017</v>
      </c>
      <c r="C2321" s="10">
        <f t="shared" si="73"/>
        <v>6</v>
      </c>
      <c r="D2321" s="3">
        <v>42902</v>
      </c>
      <c r="E2321" s="1">
        <v>47.37</v>
      </c>
      <c r="F2321" s="1">
        <v>44.74</v>
      </c>
      <c r="G2321" s="1">
        <v>1.427</v>
      </c>
      <c r="H2321" s="1">
        <v>1.4548000000000001</v>
      </c>
      <c r="I2321" s="1">
        <v>3.0369999999999999</v>
      </c>
      <c r="J2321" s="1">
        <v>3.2925</v>
      </c>
    </row>
    <row r="2322" spans="2:10" x14ac:dyDescent="0.3">
      <c r="B2322" s="10">
        <f t="shared" si="72"/>
        <v>2017</v>
      </c>
      <c r="C2322" s="10">
        <f t="shared" si="73"/>
        <v>6</v>
      </c>
      <c r="D2322" s="3">
        <v>42901</v>
      </c>
      <c r="E2322" s="1">
        <v>46.92</v>
      </c>
      <c r="F2322" s="1">
        <v>44.46</v>
      </c>
      <c r="G2322" s="1">
        <v>1.4146000000000001</v>
      </c>
      <c r="H2322" s="1">
        <v>1.4357</v>
      </c>
      <c r="I2322" s="1">
        <v>3.056</v>
      </c>
      <c r="J2322" s="1">
        <v>3.274</v>
      </c>
    </row>
    <row r="2323" spans="2:10" x14ac:dyDescent="0.3">
      <c r="B2323" s="10">
        <f t="shared" si="72"/>
        <v>2017</v>
      </c>
      <c r="C2323" s="10">
        <f t="shared" si="73"/>
        <v>6</v>
      </c>
      <c r="D2323" s="3">
        <v>42900</v>
      </c>
      <c r="E2323" s="1">
        <v>47</v>
      </c>
      <c r="F2323" s="1">
        <v>44.73</v>
      </c>
      <c r="G2323" s="1">
        <v>1.4101999999999999</v>
      </c>
      <c r="H2323" s="1">
        <v>1.4327000000000001</v>
      </c>
      <c r="I2323" s="1">
        <v>2.9329999999999998</v>
      </c>
      <c r="J2323" s="1">
        <v>3.2738999999999998</v>
      </c>
    </row>
    <row r="2324" spans="2:10" x14ac:dyDescent="0.3">
      <c r="B2324" s="10">
        <f t="shared" si="72"/>
        <v>2017</v>
      </c>
      <c r="C2324" s="10">
        <f t="shared" si="73"/>
        <v>6</v>
      </c>
      <c r="D2324" s="3">
        <v>42899</v>
      </c>
      <c r="E2324" s="1">
        <v>48.72</v>
      </c>
      <c r="F2324" s="1">
        <v>46.46</v>
      </c>
      <c r="G2324" s="1">
        <v>1.4477</v>
      </c>
      <c r="H2324" s="1">
        <v>1.4995000000000001</v>
      </c>
      <c r="I2324" s="1">
        <v>2.9660000000000002</v>
      </c>
      <c r="J2324" s="1">
        <v>3.3144999999999998</v>
      </c>
    </row>
    <row r="2325" spans="2:10" x14ac:dyDescent="0.3">
      <c r="B2325" s="10">
        <f t="shared" si="72"/>
        <v>2017</v>
      </c>
      <c r="C2325" s="10">
        <f t="shared" si="73"/>
        <v>6</v>
      </c>
      <c r="D2325" s="3">
        <v>42898</v>
      </c>
      <c r="E2325" s="1">
        <v>48.29</v>
      </c>
      <c r="F2325" s="1">
        <v>46.08</v>
      </c>
      <c r="G2325" s="1">
        <v>1.4254</v>
      </c>
      <c r="H2325" s="1">
        <v>1.488</v>
      </c>
      <c r="I2325" s="1">
        <v>3.024</v>
      </c>
      <c r="J2325" s="1">
        <v>3.3178999999999998</v>
      </c>
    </row>
    <row r="2326" spans="2:10" x14ac:dyDescent="0.3">
      <c r="B2326" s="10">
        <f t="shared" si="72"/>
        <v>2017</v>
      </c>
      <c r="C2326" s="10">
        <f t="shared" si="73"/>
        <v>6</v>
      </c>
      <c r="D2326" s="3">
        <v>42895</v>
      </c>
      <c r="E2326" s="1">
        <v>48.15</v>
      </c>
      <c r="F2326" s="1">
        <v>45.83</v>
      </c>
      <c r="G2326" s="1">
        <v>1.4312</v>
      </c>
      <c r="H2326" s="1">
        <v>1.5017</v>
      </c>
      <c r="I2326" s="1">
        <v>3.0390000000000001</v>
      </c>
      <c r="J2326" s="1">
        <v>3.2959000000000001</v>
      </c>
    </row>
    <row r="2327" spans="2:10" x14ac:dyDescent="0.3">
      <c r="B2327" s="10">
        <f t="shared" si="72"/>
        <v>2017</v>
      </c>
      <c r="C2327" s="10">
        <f t="shared" si="73"/>
        <v>6</v>
      </c>
      <c r="D2327" s="3">
        <v>42894</v>
      </c>
      <c r="E2327" s="1">
        <v>47.86</v>
      </c>
      <c r="F2327" s="1">
        <v>45.64</v>
      </c>
      <c r="G2327" s="1">
        <v>1.4222999999999999</v>
      </c>
      <c r="H2327" s="1">
        <v>1.4919</v>
      </c>
      <c r="I2327" s="1">
        <v>3.028</v>
      </c>
      <c r="J2327" s="1">
        <v>3.2606999999999999</v>
      </c>
    </row>
    <row r="2328" spans="2:10" x14ac:dyDescent="0.3">
      <c r="B2328" s="10">
        <f t="shared" si="72"/>
        <v>2017</v>
      </c>
      <c r="C2328" s="10">
        <f t="shared" si="73"/>
        <v>6</v>
      </c>
      <c r="D2328" s="3">
        <v>42893</v>
      </c>
      <c r="E2328" s="1">
        <v>48.06</v>
      </c>
      <c r="F2328" s="1">
        <v>45.72</v>
      </c>
      <c r="G2328" s="1">
        <v>1.4161999999999999</v>
      </c>
      <c r="H2328" s="1">
        <v>1.4913000000000001</v>
      </c>
      <c r="I2328" s="1">
        <v>3.02</v>
      </c>
      <c r="J2328" s="1">
        <v>3.2685</v>
      </c>
    </row>
    <row r="2329" spans="2:10" x14ac:dyDescent="0.3">
      <c r="B2329" s="10">
        <f t="shared" si="72"/>
        <v>2017</v>
      </c>
      <c r="C2329" s="10">
        <f t="shared" si="73"/>
        <v>6</v>
      </c>
      <c r="D2329" s="3">
        <v>42892</v>
      </c>
      <c r="E2329" s="1">
        <v>50.12</v>
      </c>
      <c r="F2329" s="1">
        <v>48.19</v>
      </c>
      <c r="G2329" s="1">
        <v>1.4661999999999999</v>
      </c>
      <c r="H2329" s="1">
        <v>1.5545</v>
      </c>
      <c r="I2329" s="1">
        <v>3.0419999999999998</v>
      </c>
      <c r="J2329" s="1">
        <v>3.2772000000000001</v>
      </c>
    </row>
    <row r="2330" spans="2:10" x14ac:dyDescent="0.3">
      <c r="B2330" s="10">
        <f t="shared" si="72"/>
        <v>2017</v>
      </c>
      <c r="C2330" s="10">
        <f t="shared" si="73"/>
        <v>6</v>
      </c>
      <c r="D2330" s="3">
        <v>42891</v>
      </c>
      <c r="E2330" s="1">
        <v>49.47</v>
      </c>
      <c r="F2330" s="1">
        <v>47.4</v>
      </c>
      <c r="G2330" s="1">
        <v>1.4593</v>
      </c>
      <c r="H2330" s="1">
        <v>1.5381</v>
      </c>
      <c r="I2330" s="1">
        <v>2.9820000000000002</v>
      </c>
      <c r="J2330" s="1">
        <v>3.2967</v>
      </c>
    </row>
    <row r="2331" spans="2:10" x14ac:dyDescent="0.3">
      <c r="B2331" s="10">
        <f t="shared" si="72"/>
        <v>2017</v>
      </c>
      <c r="C2331" s="10">
        <f t="shared" si="73"/>
        <v>6</v>
      </c>
      <c r="D2331" s="3">
        <v>42888</v>
      </c>
      <c r="E2331" s="1">
        <v>49.95</v>
      </c>
      <c r="F2331" s="1">
        <v>47.66</v>
      </c>
      <c r="G2331" s="1">
        <v>1.4847999999999999</v>
      </c>
      <c r="H2331" s="1">
        <v>1.5770999999999999</v>
      </c>
      <c r="I2331" s="1">
        <v>2.9990000000000001</v>
      </c>
      <c r="J2331" s="1">
        <v>3.2471999999999999</v>
      </c>
    </row>
    <row r="2332" spans="2:10" x14ac:dyDescent="0.3">
      <c r="B2332" s="10">
        <f t="shared" si="72"/>
        <v>2017</v>
      </c>
      <c r="C2332" s="10">
        <f t="shared" si="73"/>
        <v>6</v>
      </c>
      <c r="D2332" s="3">
        <v>42887</v>
      </c>
      <c r="E2332" s="1">
        <v>50.63</v>
      </c>
      <c r="F2332" s="1">
        <v>48.36</v>
      </c>
      <c r="G2332" s="1">
        <v>1.5017</v>
      </c>
      <c r="H2332" s="1">
        <v>1.6013999999999999</v>
      </c>
      <c r="I2332" s="1">
        <v>3.008</v>
      </c>
      <c r="J2332" s="1">
        <v>3.2494999999999998</v>
      </c>
    </row>
    <row r="2333" spans="2:10" x14ac:dyDescent="0.3">
      <c r="B2333" s="10">
        <f t="shared" si="72"/>
        <v>2017</v>
      </c>
      <c r="C2333" s="10">
        <f t="shared" si="73"/>
        <v>5</v>
      </c>
      <c r="D2333" s="3">
        <v>42886</v>
      </c>
      <c r="E2333" s="1">
        <v>50.31</v>
      </c>
      <c r="F2333" s="1">
        <v>48.32</v>
      </c>
      <c r="G2333" s="1">
        <v>1.5153000000000001</v>
      </c>
      <c r="H2333" s="1">
        <v>1.6122000000000001</v>
      </c>
      <c r="I2333" s="1">
        <v>3.0710000000000002</v>
      </c>
      <c r="J2333" s="1">
        <v>3.2262</v>
      </c>
    </row>
    <row r="2334" spans="2:10" x14ac:dyDescent="0.3">
      <c r="B2334" s="10">
        <f t="shared" si="72"/>
        <v>2017</v>
      </c>
      <c r="C2334" s="10">
        <f t="shared" si="73"/>
        <v>5</v>
      </c>
      <c r="D2334" s="3">
        <v>42885</v>
      </c>
      <c r="E2334" s="1">
        <v>51.84</v>
      </c>
      <c r="F2334" s="1">
        <v>49.66</v>
      </c>
      <c r="G2334" s="1">
        <v>1.5494000000000001</v>
      </c>
      <c r="H2334" s="1">
        <v>1.6389</v>
      </c>
      <c r="I2334" s="1">
        <v>3.145</v>
      </c>
      <c r="J2334" s="1">
        <v>3.2572000000000001</v>
      </c>
    </row>
    <row r="2335" spans="2:10" x14ac:dyDescent="0.3">
      <c r="B2335" s="10">
        <f t="shared" si="72"/>
        <v>2017</v>
      </c>
      <c r="C2335" s="10">
        <f t="shared" si="73"/>
        <v>5</v>
      </c>
      <c r="D2335" s="3">
        <v>42884</v>
      </c>
      <c r="E2335" s="1">
        <v>52.29</v>
      </c>
      <c r="J2335" s="1">
        <v>3.2559999999999998</v>
      </c>
    </row>
    <row r="2336" spans="2:10" x14ac:dyDescent="0.3">
      <c r="B2336" s="10">
        <f t="shared" si="72"/>
        <v>2017</v>
      </c>
      <c r="C2336" s="10">
        <f t="shared" si="73"/>
        <v>5</v>
      </c>
      <c r="D2336" s="3">
        <v>42881</v>
      </c>
      <c r="E2336" s="1">
        <v>52.15</v>
      </c>
      <c r="F2336" s="1">
        <v>49.8</v>
      </c>
      <c r="G2336" s="1">
        <v>1.5632999999999999</v>
      </c>
      <c r="H2336" s="1">
        <v>1.6426000000000001</v>
      </c>
      <c r="I2336" s="1">
        <v>3.2360000000000002</v>
      </c>
      <c r="J2336" s="1">
        <v>3.2597999999999998</v>
      </c>
    </row>
    <row r="2337" spans="2:10" x14ac:dyDescent="0.3">
      <c r="B2337" s="10">
        <f t="shared" si="72"/>
        <v>2017</v>
      </c>
      <c r="C2337" s="10">
        <f t="shared" si="73"/>
        <v>5</v>
      </c>
      <c r="D2337" s="3">
        <v>42880</v>
      </c>
      <c r="E2337" s="1">
        <v>51.46</v>
      </c>
      <c r="F2337" s="1">
        <v>48.9</v>
      </c>
      <c r="G2337" s="1">
        <v>1.5508999999999999</v>
      </c>
      <c r="H2337" s="1">
        <v>1.6093</v>
      </c>
      <c r="I2337" s="1">
        <v>3.1840000000000002</v>
      </c>
      <c r="J2337" s="1">
        <v>3.2728999999999999</v>
      </c>
    </row>
    <row r="2338" spans="2:10" x14ac:dyDescent="0.3">
      <c r="B2338" s="10">
        <f t="shared" si="72"/>
        <v>2017</v>
      </c>
      <c r="C2338" s="10">
        <f t="shared" si="73"/>
        <v>5</v>
      </c>
      <c r="D2338" s="3">
        <v>42879</v>
      </c>
      <c r="E2338" s="1">
        <v>53.96</v>
      </c>
      <c r="F2338" s="1">
        <v>51.36</v>
      </c>
      <c r="G2338" s="1">
        <v>1.6063000000000001</v>
      </c>
      <c r="H2338" s="1">
        <v>1.6526000000000001</v>
      </c>
      <c r="I2338" s="1">
        <v>3.2090000000000001</v>
      </c>
      <c r="J2338" s="1">
        <v>3.2774000000000001</v>
      </c>
    </row>
    <row r="2339" spans="2:10" x14ac:dyDescent="0.3">
      <c r="B2339" s="10">
        <f t="shared" si="72"/>
        <v>2017</v>
      </c>
      <c r="C2339" s="10">
        <f t="shared" si="73"/>
        <v>5</v>
      </c>
      <c r="D2339" s="3">
        <v>42878</v>
      </c>
      <c r="E2339" s="1">
        <v>54.15</v>
      </c>
      <c r="F2339" s="1">
        <v>51.47</v>
      </c>
      <c r="G2339" s="1">
        <v>1.6067</v>
      </c>
      <c r="H2339" s="1">
        <v>1.6614</v>
      </c>
      <c r="I2339" s="1">
        <v>3.2189999999999999</v>
      </c>
      <c r="J2339" s="1">
        <v>3.27</v>
      </c>
    </row>
    <row r="2340" spans="2:10" x14ac:dyDescent="0.3">
      <c r="B2340" s="10">
        <f t="shared" si="72"/>
        <v>2017</v>
      </c>
      <c r="C2340" s="10">
        <f t="shared" si="73"/>
        <v>5</v>
      </c>
      <c r="D2340" s="3">
        <v>42877</v>
      </c>
      <c r="E2340" s="1">
        <v>53.87</v>
      </c>
      <c r="F2340" s="1">
        <v>50.73</v>
      </c>
      <c r="G2340" s="1">
        <v>1.6021000000000001</v>
      </c>
      <c r="H2340" s="1">
        <v>1.6626000000000001</v>
      </c>
      <c r="I2340" s="1">
        <v>3.33</v>
      </c>
      <c r="J2340" s="1">
        <v>3.2652999999999999</v>
      </c>
    </row>
    <row r="2341" spans="2:10" x14ac:dyDescent="0.3">
      <c r="B2341" s="10">
        <f t="shared" si="72"/>
        <v>2017</v>
      </c>
      <c r="C2341" s="10">
        <f t="shared" si="73"/>
        <v>5</v>
      </c>
      <c r="D2341" s="3">
        <v>42874</v>
      </c>
      <c r="E2341" s="1">
        <v>53.61</v>
      </c>
      <c r="F2341" s="1">
        <v>50.33</v>
      </c>
      <c r="G2341" s="1">
        <v>1.5827</v>
      </c>
      <c r="H2341" s="1">
        <v>1.6523000000000001</v>
      </c>
      <c r="I2341" s="1">
        <v>3.2559999999999998</v>
      </c>
      <c r="J2341" s="1">
        <v>3.2526999999999999</v>
      </c>
    </row>
    <row r="2342" spans="2:10" x14ac:dyDescent="0.3">
      <c r="B2342" s="10">
        <f t="shared" si="72"/>
        <v>2017</v>
      </c>
      <c r="C2342" s="10">
        <f t="shared" si="73"/>
        <v>5</v>
      </c>
      <c r="D2342" s="3">
        <v>42873</v>
      </c>
      <c r="E2342" s="1">
        <v>52.51</v>
      </c>
      <c r="F2342" s="1">
        <v>49.35</v>
      </c>
      <c r="G2342" s="1">
        <v>1.5452999999999999</v>
      </c>
      <c r="H2342" s="1">
        <v>1.6063000000000001</v>
      </c>
      <c r="I2342" s="1">
        <v>3.1819999999999999</v>
      </c>
      <c r="J2342" s="1">
        <v>3.3664999999999998</v>
      </c>
    </row>
    <row r="2343" spans="2:10" x14ac:dyDescent="0.3">
      <c r="B2343" s="10">
        <f t="shared" si="72"/>
        <v>2017</v>
      </c>
      <c r="C2343" s="10">
        <f t="shared" si="73"/>
        <v>5</v>
      </c>
      <c r="D2343" s="3">
        <v>42872</v>
      </c>
      <c r="E2343" s="1">
        <v>52.21</v>
      </c>
      <c r="F2343" s="1">
        <v>49.07</v>
      </c>
      <c r="G2343" s="1">
        <v>1.5335000000000001</v>
      </c>
      <c r="H2343" s="1">
        <v>1.6027</v>
      </c>
      <c r="I2343" s="1">
        <v>3.1920000000000002</v>
      </c>
      <c r="J2343" s="1">
        <v>3.1377999999999999</v>
      </c>
    </row>
    <row r="2344" spans="2:10" x14ac:dyDescent="0.3">
      <c r="B2344" s="10">
        <f t="shared" si="72"/>
        <v>2017</v>
      </c>
      <c r="C2344" s="10">
        <f t="shared" si="73"/>
        <v>5</v>
      </c>
      <c r="D2344" s="3">
        <v>42871</v>
      </c>
      <c r="E2344" s="1">
        <v>51.65</v>
      </c>
      <c r="F2344" s="1">
        <v>48.66</v>
      </c>
      <c r="G2344" s="1">
        <v>1.5164</v>
      </c>
      <c r="H2344" s="1">
        <v>1.6043000000000001</v>
      </c>
      <c r="I2344" s="1">
        <v>3.23</v>
      </c>
      <c r="J2344" s="1">
        <v>3.0960999999999999</v>
      </c>
    </row>
    <row r="2345" spans="2:10" x14ac:dyDescent="0.3">
      <c r="B2345" s="10">
        <f t="shared" si="72"/>
        <v>2017</v>
      </c>
      <c r="C2345" s="10">
        <f t="shared" si="73"/>
        <v>5</v>
      </c>
      <c r="D2345" s="3">
        <v>42870</v>
      </c>
      <c r="E2345" s="1">
        <v>51.82</v>
      </c>
      <c r="F2345" s="1">
        <v>48.85</v>
      </c>
      <c r="G2345" s="1">
        <v>1.5096000000000001</v>
      </c>
      <c r="H2345" s="1">
        <v>1.5953999999999999</v>
      </c>
      <c r="I2345" s="1">
        <v>3.3490000000000002</v>
      </c>
      <c r="J2345" s="1">
        <v>3.1105</v>
      </c>
    </row>
    <row r="2346" spans="2:10" x14ac:dyDescent="0.3">
      <c r="B2346" s="10">
        <f t="shared" si="72"/>
        <v>2017</v>
      </c>
      <c r="C2346" s="10">
        <f t="shared" si="73"/>
        <v>5</v>
      </c>
      <c r="D2346" s="3">
        <v>42867</v>
      </c>
      <c r="E2346" s="1">
        <v>50.84</v>
      </c>
      <c r="F2346" s="1">
        <v>47.84</v>
      </c>
      <c r="G2346" s="1">
        <v>1.4933000000000001</v>
      </c>
      <c r="H2346" s="1">
        <v>1.5761000000000001</v>
      </c>
      <c r="I2346" s="1">
        <v>3.4239999999999999</v>
      </c>
      <c r="J2346" s="1">
        <v>3.1208999999999998</v>
      </c>
    </row>
    <row r="2347" spans="2:10" x14ac:dyDescent="0.3">
      <c r="B2347" s="10">
        <f t="shared" si="72"/>
        <v>2017</v>
      </c>
      <c r="C2347" s="10">
        <f t="shared" si="73"/>
        <v>5</v>
      </c>
      <c r="D2347" s="3">
        <v>42866</v>
      </c>
      <c r="E2347" s="1">
        <v>50.77</v>
      </c>
      <c r="F2347" s="1">
        <v>47.83</v>
      </c>
      <c r="G2347" s="1">
        <v>1.4899</v>
      </c>
      <c r="H2347" s="1">
        <v>1.5622</v>
      </c>
      <c r="I2347" s="1">
        <v>3.3759999999999999</v>
      </c>
      <c r="J2347" s="1">
        <v>3.1398999999999999</v>
      </c>
    </row>
    <row r="2348" spans="2:10" x14ac:dyDescent="0.3">
      <c r="B2348" s="10">
        <f t="shared" si="72"/>
        <v>2017</v>
      </c>
      <c r="C2348" s="10">
        <f t="shared" si="73"/>
        <v>5</v>
      </c>
      <c r="D2348" s="3">
        <v>42865</v>
      </c>
      <c r="E2348" s="1">
        <v>50.22</v>
      </c>
      <c r="F2348" s="1">
        <v>47.33</v>
      </c>
      <c r="G2348" s="1">
        <v>1.4754</v>
      </c>
      <c r="H2348" s="1">
        <v>1.5396000000000001</v>
      </c>
      <c r="I2348" s="1">
        <v>3.2919999999999998</v>
      </c>
      <c r="J2348" s="1">
        <v>3.1665999999999999</v>
      </c>
    </row>
    <row r="2349" spans="2:10" x14ac:dyDescent="0.3">
      <c r="B2349" s="10">
        <f t="shared" si="72"/>
        <v>2017</v>
      </c>
      <c r="C2349" s="10">
        <f t="shared" si="73"/>
        <v>5</v>
      </c>
      <c r="D2349" s="3">
        <v>42864</v>
      </c>
      <c r="E2349" s="1">
        <v>48.73</v>
      </c>
      <c r="F2349" s="1">
        <v>45.88</v>
      </c>
      <c r="G2349" s="1">
        <v>1.4420999999999999</v>
      </c>
      <c r="H2349" s="1">
        <v>1.4895</v>
      </c>
      <c r="I2349" s="1">
        <v>3.2269999999999999</v>
      </c>
      <c r="J2349" s="1">
        <v>3.1896</v>
      </c>
    </row>
    <row r="2350" spans="2:10" x14ac:dyDescent="0.3">
      <c r="B2350" s="10">
        <f t="shared" si="72"/>
        <v>2017</v>
      </c>
      <c r="C2350" s="10">
        <f t="shared" si="73"/>
        <v>5</v>
      </c>
      <c r="D2350" s="3">
        <v>42863</v>
      </c>
      <c r="E2350" s="1">
        <v>49.34</v>
      </c>
      <c r="F2350" s="1">
        <v>46.43</v>
      </c>
      <c r="G2350" s="1">
        <v>1.4556</v>
      </c>
      <c r="H2350" s="1">
        <v>1.5178</v>
      </c>
      <c r="I2350" s="1">
        <v>3.1720000000000002</v>
      </c>
      <c r="J2350" s="1">
        <v>3.1970000000000001</v>
      </c>
    </row>
    <row r="2351" spans="2:10" x14ac:dyDescent="0.3">
      <c r="B2351" s="10">
        <f t="shared" si="72"/>
        <v>2017</v>
      </c>
      <c r="C2351" s="10">
        <f t="shared" si="73"/>
        <v>5</v>
      </c>
      <c r="D2351" s="3">
        <v>42860</v>
      </c>
      <c r="E2351" s="1">
        <v>49.1</v>
      </c>
      <c r="F2351" s="1">
        <v>46.22</v>
      </c>
      <c r="G2351" s="1">
        <v>1.4366000000000001</v>
      </c>
      <c r="H2351" s="1">
        <v>1.5045999999999999</v>
      </c>
      <c r="I2351" s="1">
        <v>3.266</v>
      </c>
      <c r="J2351" s="1">
        <v>3.1762000000000001</v>
      </c>
    </row>
    <row r="2352" spans="2:10" x14ac:dyDescent="0.3">
      <c r="B2352" s="10">
        <f t="shared" si="72"/>
        <v>2017</v>
      </c>
      <c r="C2352" s="10">
        <f t="shared" si="73"/>
        <v>5</v>
      </c>
      <c r="D2352" s="3">
        <v>42859</v>
      </c>
      <c r="E2352" s="1">
        <v>48.38</v>
      </c>
      <c r="F2352" s="1">
        <v>45.52</v>
      </c>
      <c r="G2352" s="1">
        <v>1.4123000000000001</v>
      </c>
      <c r="H2352" s="1">
        <v>1.4812000000000001</v>
      </c>
      <c r="I2352" s="1">
        <v>3.1859999999999999</v>
      </c>
      <c r="J2352" s="1">
        <v>3.1880000000000002</v>
      </c>
    </row>
    <row r="2353" spans="2:10" x14ac:dyDescent="0.3">
      <c r="B2353" s="10">
        <f t="shared" si="72"/>
        <v>2017</v>
      </c>
      <c r="C2353" s="10">
        <f t="shared" si="73"/>
        <v>5</v>
      </c>
      <c r="D2353" s="3">
        <v>42858</v>
      </c>
      <c r="E2353" s="1">
        <v>50.79</v>
      </c>
      <c r="F2353" s="1">
        <v>47.82</v>
      </c>
      <c r="G2353" s="1">
        <v>1.4736</v>
      </c>
      <c r="H2353" s="1">
        <v>1.5338000000000001</v>
      </c>
      <c r="I2353" s="1">
        <v>3.2280000000000002</v>
      </c>
      <c r="J2353" s="1">
        <v>3.1644000000000001</v>
      </c>
    </row>
    <row r="2354" spans="2:10" x14ac:dyDescent="0.3">
      <c r="B2354" s="10">
        <f t="shared" si="72"/>
        <v>2017</v>
      </c>
      <c r="C2354" s="10">
        <f t="shared" si="73"/>
        <v>5</v>
      </c>
      <c r="D2354" s="3">
        <v>42857</v>
      </c>
      <c r="E2354" s="1">
        <v>50.46</v>
      </c>
      <c r="F2354" s="1">
        <v>47.66</v>
      </c>
      <c r="G2354" s="1">
        <v>1.468</v>
      </c>
      <c r="H2354" s="1">
        <v>1.5136000000000001</v>
      </c>
      <c r="I2354" s="1">
        <v>3.1949999999999998</v>
      </c>
      <c r="J2354" s="1">
        <v>3.1514000000000002</v>
      </c>
    </row>
    <row r="2355" spans="2:10" x14ac:dyDescent="0.3">
      <c r="B2355" s="10">
        <f t="shared" si="72"/>
        <v>2017</v>
      </c>
      <c r="C2355" s="10">
        <f t="shared" si="73"/>
        <v>5</v>
      </c>
      <c r="D2355" s="3">
        <v>42856</v>
      </c>
      <c r="E2355" s="1">
        <v>51.52</v>
      </c>
      <c r="F2355" s="1">
        <v>48.84</v>
      </c>
      <c r="G2355" s="1">
        <v>1.4878</v>
      </c>
      <c r="H2355" s="1">
        <v>1.5271999999999999</v>
      </c>
      <c r="I2355" s="1">
        <v>3.2149999999999999</v>
      </c>
      <c r="J2355" s="1">
        <v>3.1755</v>
      </c>
    </row>
    <row r="2356" spans="2:10" x14ac:dyDescent="0.3">
      <c r="B2356" s="10">
        <f t="shared" si="72"/>
        <v>2017</v>
      </c>
      <c r="C2356" s="10">
        <f t="shared" si="73"/>
        <v>4</v>
      </c>
      <c r="D2356" s="3">
        <v>42853</v>
      </c>
      <c r="E2356" s="1">
        <v>51.73</v>
      </c>
      <c r="F2356" s="1">
        <v>49.33</v>
      </c>
      <c r="G2356" s="1">
        <v>1.504</v>
      </c>
      <c r="H2356" s="1">
        <v>1.548</v>
      </c>
      <c r="I2356" s="1">
        <v>3.2759999999999998</v>
      </c>
      <c r="J2356" s="1">
        <v>3.1758000000000002</v>
      </c>
    </row>
    <row r="2357" spans="2:10" x14ac:dyDescent="0.3">
      <c r="B2357" s="10">
        <f t="shared" si="72"/>
        <v>2017</v>
      </c>
      <c r="C2357" s="10">
        <f t="shared" si="73"/>
        <v>4</v>
      </c>
      <c r="D2357" s="3">
        <v>42852</v>
      </c>
      <c r="E2357" s="1">
        <v>51.44</v>
      </c>
      <c r="F2357" s="1">
        <v>48.97</v>
      </c>
      <c r="G2357" s="1">
        <v>1.5072000000000001</v>
      </c>
      <c r="H2357" s="1">
        <v>1.55</v>
      </c>
      <c r="I2357" s="1">
        <v>3.2389999999999999</v>
      </c>
      <c r="J2357" s="1">
        <v>3.1831999999999998</v>
      </c>
    </row>
    <row r="2358" spans="2:10" x14ac:dyDescent="0.3">
      <c r="B2358" s="10">
        <f t="shared" si="72"/>
        <v>2017</v>
      </c>
      <c r="C2358" s="10">
        <f t="shared" si="73"/>
        <v>4</v>
      </c>
      <c r="D2358" s="3">
        <v>42851</v>
      </c>
      <c r="E2358" s="1">
        <v>51.82</v>
      </c>
      <c r="F2358" s="1">
        <v>49.62</v>
      </c>
      <c r="G2358" s="1">
        <v>1.5367</v>
      </c>
      <c r="H2358" s="1">
        <v>1.5903</v>
      </c>
      <c r="I2358" s="1">
        <v>3.1419999999999999</v>
      </c>
      <c r="J2358" s="1">
        <v>3.1709999999999998</v>
      </c>
    </row>
    <row r="2359" spans="2:10" x14ac:dyDescent="0.3">
      <c r="B2359" s="10">
        <f t="shared" si="72"/>
        <v>2017</v>
      </c>
      <c r="C2359" s="10">
        <f t="shared" si="73"/>
        <v>4</v>
      </c>
      <c r="D2359" s="3">
        <v>42850</v>
      </c>
      <c r="E2359" s="1">
        <v>52.1</v>
      </c>
      <c r="F2359" s="1">
        <v>49.56</v>
      </c>
      <c r="G2359" s="1">
        <v>1.5451999999999999</v>
      </c>
      <c r="H2359" s="1">
        <v>1.623</v>
      </c>
      <c r="I2359" s="1">
        <v>3.0430000000000001</v>
      </c>
      <c r="J2359" s="1">
        <v>3.1459000000000001</v>
      </c>
    </row>
    <row r="2360" spans="2:10" x14ac:dyDescent="0.3">
      <c r="B2360" s="10">
        <f t="shared" si="72"/>
        <v>2017</v>
      </c>
      <c r="C2360" s="10">
        <f t="shared" si="73"/>
        <v>4</v>
      </c>
      <c r="D2360" s="3">
        <v>42849</v>
      </c>
      <c r="E2360" s="1">
        <v>51.6</v>
      </c>
      <c r="F2360" s="1">
        <v>49.23</v>
      </c>
      <c r="G2360" s="1">
        <v>1.5427</v>
      </c>
      <c r="H2360" s="1">
        <v>1.6214</v>
      </c>
      <c r="I2360" s="1">
        <v>3.0659999999999998</v>
      </c>
      <c r="J2360" s="1">
        <v>3.1271</v>
      </c>
    </row>
    <row r="2361" spans="2:10" x14ac:dyDescent="0.3">
      <c r="B2361" s="10">
        <f t="shared" si="72"/>
        <v>2017</v>
      </c>
      <c r="C2361" s="10">
        <f t="shared" si="73"/>
        <v>4</v>
      </c>
      <c r="D2361" s="3">
        <v>42846</v>
      </c>
      <c r="E2361" s="1">
        <v>51.96</v>
      </c>
      <c r="F2361" s="1">
        <v>49.62</v>
      </c>
      <c r="G2361" s="1">
        <v>1.5532999999999999</v>
      </c>
      <c r="H2361" s="1">
        <v>1.6445000000000001</v>
      </c>
      <c r="I2361" s="1">
        <v>3.101</v>
      </c>
      <c r="J2361" s="1">
        <v>3.1475</v>
      </c>
    </row>
    <row r="2362" spans="2:10" x14ac:dyDescent="0.3">
      <c r="B2362" s="10">
        <f t="shared" si="72"/>
        <v>2017</v>
      </c>
      <c r="C2362" s="10">
        <f t="shared" si="73"/>
        <v>4</v>
      </c>
      <c r="D2362" s="3">
        <v>42845</v>
      </c>
      <c r="E2362" s="1">
        <v>52.99</v>
      </c>
      <c r="F2362" s="1">
        <v>50.27</v>
      </c>
      <c r="G2362" s="1">
        <v>1.5789</v>
      </c>
      <c r="H2362" s="1">
        <v>1.6705000000000001</v>
      </c>
      <c r="I2362" s="1">
        <v>3.1589999999999998</v>
      </c>
      <c r="J2362" s="1">
        <v>3.1482999999999999</v>
      </c>
    </row>
    <row r="2363" spans="2:10" x14ac:dyDescent="0.3">
      <c r="B2363" s="10">
        <f t="shared" si="72"/>
        <v>2017</v>
      </c>
      <c r="C2363" s="10">
        <f t="shared" si="73"/>
        <v>4</v>
      </c>
      <c r="D2363" s="3">
        <v>42844</v>
      </c>
      <c r="E2363" s="1">
        <v>52.93</v>
      </c>
      <c r="F2363" s="1">
        <v>50.44</v>
      </c>
      <c r="G2363" s="1">
        <v>1.5812999999999999</v>
      </c>
      <c r="H2363" s="1">
        <v>1.659</v>
      </c>
      <c r="I2363" s="1">
        <v>3.1850000000000001</v>
      </c>
      <c r="J2363" s="1">
        <v>3.1514000000000002</v>
      </c>
    </row>
    <row r="2364" spans="2:10" x14ac:dyDescent="0.3">
      <c r="B2364" s="10">
        <f t="shared" si="72"/>
        <v>2017</v>
      </c>
      <c r="C2364" s="10">
        <f t="shared" si="73"/>
        <v>4</v>
      </c>
      <c r="D2364" s="3">
        <v>42843</v>
      </c>
      <c r="E2364" s="1">
        <v>54.89</v>
      </c>
      <c r="F2364" s="1">
        <v>52.41</v>
      </c>
      <c r="G2364" s="1">
        <v>1.6218999999999999</v>
      </c>
      <c r="H2364" s="1">
        <v>1.7110000000000001</v>
      </c>
      <c r="I2364" s="1">
        <v>3.145</v>
      </c>
      <c r="J2364" s="1">
        <v>3.1072000000000002</v>
      </c>
    </row>
    <row r="2365" spans="2:10" x14ac:dyDescent="0.3">
      <c r="B2365" s="10">
        <f t="shared" si="72"/>
        <v>2017</v>
      </c>
      <c r="C2365" s="10">
        <f t="shared" si="73"/>
        <v>4</v>
      </c>
      <c r="D2365" s="3">
        <v>42842</v>
      </c>
      <c r="E2365" s="1">
        <v>55.36</v>
      </c>
      <c r="F2365" s="1">
        <v>52.65</v>
      </c>
      <c r="G2365" s="1">
        <v>1.6329</v>
      </c>
      <c r="H2365" s="1">
        <v>1.7196</v>
      </c>
      <c r="I2365" s="1">
        <v>3.1629999999999998</v>
      </c>
      <c r="J2365" s="1">
        <v>3.0979000000000001</v>
      </c>
    </row>
    <row r="2366" spans="2:10" x14ac:dyDescent="0.3">
      <c r="B2366" s="10">
        <f t="shared" si="72"/>
        <v>2017</v>
      </c>
      <c r="C2366" s="10">
        <f t="shared" si="73"/>
        <v>4</v>
      </c>
      <c r="D2366" s="3">
        <v>42839</v>
      </c>
      <c r="J2366" s="1">
        <v>3.1440000000000001</v>
      </c>
    </row>
    <row r="2367" spans="2:10" x14ac:dyDescent="0.3">
      <c r="B2367" s="10">
        <f t="shared" si="72"/>
        <v>2017</v>
      </c>
      <c r="C2367" s="10">
        <f t="shared" si="73"/>
        <v>4</v>
      </c>
      <c r="D2367" s="3">
        <v>42838</v>
      </c>
      <c r="E2367" s="1">
        <v>55.89</v>
      </c>
      <c r="F2367" s="1">
        <v>53.18</v>
      </c>
      <c r="G2367" s="1">
        <v>1.6495</v>
      </c>
      <c r="H2367" s="1">
        <v>1.7349000000000001</v>
      </c>
      <c r="I2367" s="1">
        <v>3.2269999999999999</v>
      </c>
      <c r="J2367" s="1">
        <v>3.1436999999999999</v>
      </c>
    </row>
    <row r="2368" spans="2:10" x14ac:dyDescent="0.3">
      <c r="B2368" s="10">
        <f t="shared" si="72"/>
        <v>2017</v>
      </c>
      <c r="C2368" s="10">
        <f t="shared" si="73"/>
        <v>4</v>
      </c>
      <c r="D2368" s="3">
        <v>42837</v>
      </c>
      <c r="E2368" s="1">
        <v>55.86</v>
      </c>
      <c r="F2368" s="1">
        <v>53.11</v>
      </c>
      <c r="G2368" s="1">
        <v>1.6519999999999999</v>
      </c>
      <c r="H2368" s="1">
        <v>1.7417</v>
      </c>
      <c r="I2368" s="1">
        <v>3.1869999999999998</v>
      </c>
      <c r="J2368" s="1">
        <v>3.1251000000000002</v>
      </c>
    </row>
    <row r="2369" spans="2:10" x14ac:dyDescent="0.3">
      <c r="B2369" s="10">
        <f t="shared" si="72"/>
        <v>2017</v>
      </c>
      <c r="C2369" s="10">
        <f t="shared" si="73"/>
        <v>4</v>
      </c>
      <c r="D2369" s="3">
        <v>42836</v>
      </c>
      <c r="E2369" s="1">
        <v>56.23</v>
      </c>
      <c r="F2369" s="1">
        <v>53.4</v>
      </c>
      <c r="G2369" s="1">
        <v>1.6506000000000001</v>
      </c>
      <c r="H2369" s="1">
        <v>1.7577</v>
      </c>
      <c r="I2369" s="1">
        <v>3.15</v>
      </c>
      <c r="J2369" s="1">
        <v>3.1360000000000001</v>
      </c>
    </row>
    <row r="2370" spans="2:10" x14ac:dyDescent="0.3">
      <c r="B2370" s="10">
        <f t="shared" si="72"/>
        <v>2017</v>
      </c>
      <c r="C2370" s="10">
        <f t="shared" si="73"/>
        <v>4</v>
      </c>
      <c r="D2370" s="3">
        <v>42835</v>
      </c>
      <c r="E2370" s="1">
        <v>55.98</v>
      </c>
      <c r="F2370" s="1">
        <v>53.08</v>
      </c>
      <c r="G2370" s="1">
        <v>1.6473</v>
      </c>
      <c r="H2370" s="1">
        <v>1.7581</v>
      </c>
      <c r="I2370" s="1">
        <v>3.238</v>
      </c>
      <c r="J2370" s="1">
        <v>3.1311</v>
      </c>
    </row>
    <row r="2371" spans="2:10" x14ac:dyDescent="0.3">
      <c r="B2371" s="10">
        <f t="shared" si="72"/>
        <v>2017</v>
      </c>
      <c r="C2371" s="10">
        <f t="shared" si="73"/>
        <v>4</v>
      </c>
      <c r="D2371" s="3">
        <v>42832</v>
      </c>
      <c r="E2371" s="1">
        <v>55.24</v>
      </c>
      <c r="F2371" s="1">
        <v>52.24</v>
      </c>
      <c r="G2371" s="1">
        <v>1.6284000000000001</v>
      </c>
      <c r="H2371" s="1">
        <v>1.7462</v>
      </c>
      <c r="I2371" s="1">
        <v>3.2610000000000001</v>
      </c>
      <c r="J2371" s="1">
        <v>3.1457000000000002</v>
      </c>
    </row>
    <row r="2372" spans="2:10" x14ac:dyDescent="0.3">
      <c r="B2372" s="10">
        <f t="shared" si="72"/>
        <v>2017</v>
      </c>
      <c r="C2372" s="10">
        <f t="shared" si="73"/>
        <v>4</v>
      </c>
      <c r="D2372" s="3">
        <v>42831</v>
      </c>
      <c r="E2372" s="1">
        <v>54.89</v>
      </c>
      <c r="F2372" s="1">
        <v>51.7</v>
      </c>
      <c r="G2372" s="1">
        <v>1.6129</v>
      </c>
      <c r="H2372" s="1">
        <v>1.7296</v>
      </c>
      <c r="I2372" s="1">
        <v>3.331</v>
      </c>
      <c r="J2372" s="1">
        <v>3.1419999999999999</v>
      </c>
    </row>
    <row r="2373" spans="2:10" x14ac:dyDescent="0.3">
      <c r="B2373" s="10">
        <f t="shared" si="72"/>
        <v>2017</v>
      </c>
      <c r="C2373" s="10">
        <f t="shared" si="73"/>
        <v>4</v>
      </c>
      <c r="D2373" s="3">
        <v>42830</v>
      </c>
      <c r="E2373" s="1">
        <v>54.36</v>
      </c>
      <c r="F2373" s="1">
        <v>51.15</v>
      </c>
      <c r="G2373" s="1">
        <v>1.6034999999999999</v>
      </c>
      <c r="H2373" s="1">
        <v>1.7153</v>
      </c>
      <c r="I2373" s="1">
        <v>3.266</v>
      </c>
      <c r="J2373" s="1">
        <v>3.1192000000000002</v>
      </c>
    </row>
    <row r="2374" spans="2:10" x14ac:dyDescent="0.3">
      <c r="B2374" s="10">
        <f t="shared" ref="B2374:B2437" si="74">YEAR(D2374)</f>
        <v>2017</v>
      </c>
      <c r="C2374" s="10">
        <f t="shared" ref="C2374:C2437" si="75">MONTH(D2374)</f>
        <v>4</v>
      </c>
      <c r="D2374" s="3">
        <v>42829</v>
      </c>
      <c r="E2374" s="1">
        <v>54.17</v>
      </c>
      <c r="F2374" s="1">
        <v>51.03</v>
      </c>
      <c r="G2374" s="1">
        <v>1.5923</v>
      </c>
      <c r="H2374" s="1">
        <v>1.7217</v>
      </c>
      <c r="I2374" s="1">
        <v>3.2930000000000001</v>
      </c>
      <c r="J2374" s="1">
        <v>3.0926999999999998</v>
      </c>
    </row>
    <row r="2375" spans="2:10" x14ac:dyDescent="0.3">
      <c r="B2375" s="10">
        <f t="shared" si="74"/>
        <v>2017</v>
      </c>
      <c r="C2375" s="10">
        <f t="shared" si="75"/>
        <v>4</v>
      </c>
      <c r="D2375" s="3">
        <v>42828</v>
      </c>
      <c r="E2375" s="1">
        <v>53.12</v>
      </c>
      <c r="F2375" s="1">
        <v>50.24</v>
      </c>
      <c r="G2375" s="1">
        <v>1.5633999999999999</v>
      </c>
      <c r="H2375" s="1">
        <v>1.6937</v>
      </c>
      <c r="I2375" s="1">
        <v>3.1280000000000001</v>
      </c>
      <c r="J2375" s="1">
        <v>3.1137999999999999</v>
      </c>
    </row>
    <row r="2376" spans="2:10" x14ac:dyDescent="0.3">
      <c r="B2376" s="10">
        <f t="shared" si="74"/>
        <v>2017</v>
      </c>
      <c r="C2376" s="10">
        <f t="shared" si="75"/>
        <v>3</v>
      </c>
      <c r="D2376" s="3">
        <v>42825</v>
      </c>
      <c r="E2376" s="1">
        <v>52.83</v>
      </c>
      <c r="F2376" s="1">
        <v>50.6</v>
      </c>
      <c r="G2376" s="1">
        <v>1.5736000000000001</v>
      </c>
      <c r="H2376" s="1">
        <v>1.7000999999999999</v>
      </c>
      <c r="I2376" s="1">
        <v>3.19</v>
      </c>
      <c r="J2376" s="1">
        <v>3.1230000000000002</v>
      </c>
    </row>
    <row r="2377" spans="2:10" x14ac:dyDescent="0.3">
      <c r="B2377" s="10">
        <f t="shared" si="74"/>
        <v>2017</v>
      </c>
      <c r="C2377" s="10">
        <f t="shared" si="75"/>
        <v>3</v>
      </c>
      <c r="D2377" s="3">
        <v>42824</v>
      </c>
      <c r="E2377" s="1">
        <v>52.96</v>
      </c>
      <c r="F2377" s="1">
        <v>50.35</v>
      </c>
      <c r="G2377" s="1">
        <v>1.5582</v>
      </c>
      <c r="H2377" s="1">
        <v>1.6812</v>
      </c>
      <c r="I2377" s="1">
        <v>3.1909999999999998</v>
      </c>
      <c r="J2377" s="1">
        <v>3.1482999999999999</v>
      </c>
    </row>
    <row r="2378" spans="2:10" x14ac:dyDescent="0.3">
      <c r="B2378" s="10">
        <f t="shared" si="74"/>
        <v>2017</v>
      </c>
      <c r="C2378" s="10">
        <f t="shared" si="75"/>
        <v>3</v>
      </c>
      <c r="D2378" s="3">
        <v>42823</v>
      </c>
      <c r="E2378" s="1">
        <v>52.42</v>
      </c>
      <c r="F2378" s="1">
        <v>49.51</v>
      </c>
      <c r="G2378" s="1">
        <v>1.5425</v>
      </c>
      <c r="H2378" s="1">
        <v>1.6719999999999999</v>
      </c>
      <c r="I2378" s="1">
        <v>3.1749999999999998</v>
      </c>
      <c r="J2378" s="1">
        <v>3.1193</v>
      </c>
    </row>
    <row r="2379" spans="2:10" x14ac:dyDescent="0.3">
      <c r="B2379" s="10">
        <f t="shared" si="74"/>
        <v>2017</v>
      </c>
      <c r="C2379" s="10">
        <f t="shared" si="75"/>
        <v>3</v>
      </c>
      <c r="D2379" s="3">
        <v>42822</v>
      </c>
      <c r="E2379" s="1">
        <v>51.33</v>
      </c>
      <c r="F2379" s="1">
        <v>48.37</v>
      </c>
      <c r="G2379" s="1">
        <v>1.5166999999999999</v>
      </c>
      <c r="H2379" s="1">
        <v>1.6349</v>
      </c>
      <c r="I2379" s="1">
        <v>3.0960000000000001</v>
      </c>
      <c r="J2379" s="1">
        <v>3.1398000000000001</v>
      </c>
    </row>
    <row r="2380" spans="2:10" x14ac:dyDescent="0.3">
      <c r="B2380" s="10">
        <f t="shared" si="74"/>
        <v>2017</v>
      </c>
      <c r="C2380" s="10">
        <f t="shared" si="75"/>
        <v>3</v>
      </c>
      <c r="D2380" s="3">
        <v>42821</v>
      </c>
      <c r="E2380" s="1">
        <v>50.75</v>
      </c>
      <c r="F2380" s="1">
        <v>47.73</v>
      </c>
      <c r="G2380" s="1">
        <v>1.5024999999999999</v>
      </c>
      <c r="H2380" s="1">
        <v>1.6189</v>
      </c>
      <c r="I2380" s="1">
        <v>3.052</v>
      </c>
      <c r="J2380" s="1">
        <v>3.1255999999999999</v>
      </c>
    </row>
    <row r="2381" spans="2:10" x14ac:dyDescent="0.3">
      <c r="B2381" s="10">
        <f t="shared" si="74"/>
        <v>2017</v>
      </c>
      <c r="C2381" s="10">
        <f t="shared" si="75"/>
        <v>3</v>
      </c>
      <c r="D2381" s="3">
        <v>42818</v>
      </c>
      <c r="E2381" s="1">
        <v>50.8</v>
      </c>
      <c r="F2381" s="1">
        <v>47.97</v>
      </c>
      <c r="G2381" s="1">
        <v>1.4976</v>
      </c>
      <c r="H2381" s="1">
        <v>1.6048</v>
      </c>
      <c r="I2381" s="1">
        <v>3.0760000000000001</v>
      </c>
      <c r="J2381" s="1">
        <v>3.1073</v>
      </c>
    </row>
    <row r="2382" spans="2:10" x14ac:dyDescent="0.3">
      <c r="B2382" s="10">
        <f t="shared" si="74"/>
        <v>2017</v>
      </c>
      <c r="C2382" s="10">
        <f t="shared" si="75"/>
        <v>3</v>
      </c>
      <c r="D2382" s="3">
        <v>42817</v>
      </c>
      <c r="E2382" s="1">
        <v>50.56</v>
      </c>
      <c r="F2382" s="1">
        <v>47.7</v>
      </c>
      <c r="G2382" s="1">
        <v>1.4901</v>
      </c>
      <c r="H2382" s="1">
        <v>1.5895999999999999</v>
      </c>
      <c r="I2382" s="1">
        <v>3.0510000000000002</v>
      </c>
      <c r="J2382" s="1">
        <v>3.1383000000000001</v>
      </c>
    </row>
    <row r="2383" spans="2:10" x14ac:dyDescent="0.3">
      <c r="B2383" s="10">
        <f t="shared" si="74"/>
        <v>2017</v>
      </c>
      <c r="C2383" s="10">
        <f t="shared" si="75"/>
        <v>3</v>
      </c>
      <c r="D2383" s="3">
        <v>42816</v>
      </c>
      <c r="E2383" s="1">
        <v>50.64</v>
      </c>
      <c r="F2383" s="1">
        <v>48.04</v>
      </c>
      <c r="G2383" s="1">
        <v>1.4967999999999999</v>
      </c>
      <c r="H2383" s="1">
        <v>1.6019000000000001</v>
      </c>
      <c r="I2383" s="1">
        <v>3.0110000000000001</v>
      </c>
      <c r="J2383" s="1">
        <v>3.0870000000000002</v>
      </c>
    </row>
    <row r="2384" spans="2:10" x14ac:dyDescent="0.3">
      <c r="B2384" s="10">
        <f t="shared" si="74"/>
        <v>2017</v>
      </c>
      <c r="C2384" s="10">
        <f t="shared" si="75"/>
        <v>3</v>
      </c>
      <c r="D2384" s="3">
        <v>42815</v>
      </c>
      <c r="E2384" s="1">
        <v>50.96</v>
      </c>
      <c r="F2384" s="1">
        <v>47.34</v>
      </c>
      <c r="G2384" s="1">
        <v>1.5033000000000001</v>
      </c>
      <c r="H2384" s="1">
        <v>1.6052</v>
      </c>
      <c r="I2384" s="1">
        <v>3.093</v>
      </c>
      <c r="J2384" s="1">
        <v>3.0878000000000001</v>
      </c>
    </row>
    <row r="2385" spans="2:10" x14ac:dyDescent="0.3">
      <c r="B2385" s="10">
        <f t="shared" si="74"/>
        <v>2017</v>
      </c>
      <c r="C2385" s="10">
        <f t="shared" si="75"/>
        <v>3</v>
      </c>
      <c r="D2385" s="3">
        <v>42814</v>
      </c>
      <c r="E2385" s="1">
        <v>51.62</v>
      </c>
      <c r="F2385" s="1">
        <v>48.22</v>
      </c>
      <c r="G2385" s="1">
        <v>1.5141</v>
      </c>
      <c r="H2385" s="1">
        <v>1.6113</v>
      </c>
      <c r="I2385" s="1">
        <v>3.0409999999999999</v>
      </c>
      <c r="J2385" s="1">
        <v>3.0720000000000001</v>
      </c>
    </row>
    <row r="2386" spans="2:10" x14ac:dyDescent="0.3">
      <c r="B2386" s="10">
        <f t="shared" si="74"/>
        <v>2017</v>
      </c>
      <c r="C2386" s="10">
        <f t="shared" si="75"/>
        <v>3</v>
      </c>
      <c r="D2386" s="3">
        <v>42811</v>
      </c>
      <c r="E2386" s="1">
        <v>51.76</v>
      </c>
      <c r="F2386" s="1">
        <v>48.78</v>
      </c>
      <c r="G2386" s="1">
        <v>1.5085</v>
      </c>
      <c r="H2386" s="1">
        <v>1.5989</v>
      </c>
      <c r="I2386" s="1">
        <v>2.948</v>
      </c>
      <c r="J2386" s="1">
        <v>3.0911</v>
      </c>
    </row>
    <row r="2387" spans="2:10" x14ac:dyDescent="0.3">
      <c r="B2387" s="10">
        <f t="shared" si="74"/>
        <v>2017</v>
      </c>
      <c r="C2387" s="10">
        <f t="shared" si="75"/>
        <v>3</v>
      </c>
      <c r="D2387" s="3">
        <v>42810</v>
      </c>
      <c r="E2387" s="1">
        <v>51.74</v>
      </c>
      <c r="F2387" s="1">
        <v>48.75</v>
      </c>
      <c r="G2387" s="1">
        <v>1.5043</v>
      </c>
      <c r="H2387" s="1">
        <v>1.5942000000000001</v>
      </c>
      <c r="I2387" s="1">
        <v>2.9020000000000001</v>
      </c>
      <c r="J2387" s="1">
        <v>3.1179999999999999</v>
      </c>
    </row>
    <row r="2388" spans="2:10" x14ac:dyDescent="0.3">
      <c r="B2388" s="10">
        <f t="shared" si="74"/>
        <v>2017</v>
      </c>
      <c r="C2388" s="10">
        <f t="shared" si="75"/>
        <v>3</v>
      </c>
      <c r="D2388" s="3">
        <v>42809</v>
      </c>
      <c r="E2388" s="1">
        <v>51.81</v>
      </c>
      <c r="F2388" s="1">
        <v>48.86</v>
      </c>
      <c r="G2388" s="1">
        <v>1.5124</v>
      </c>
      <c r="H2388" s="1">
        <v>1.5833999999999999</v>
      </c>
      <c r="I2388" s="1">
        <v>2.9809999999999999</v>
      </c>
      <c r="J2388" s="1">
        <v>3.1032999999999999</v>
      </c>
    </row>
    <row r="2389" spans="2:10" x14ac:dyDescent="0.3">
      <c r="B2389" s="10">
        <f t="shared" si="74"/>
        <v>2017</v>
      </c>
      <c r="C2389" s="10">
        <f t="shared" si="75"/>
        <v>3</v>
      </c>
      <c r="D2389" s="3">
        <v>42808</v>
      </c>
      <c r="E2389" s="1">
        <v>50.92</v>
      </c>
      <c r="F2389" s="1">
        <v>47.72</v>
      </c>
      <c r="G2389" s="1">
        <v>1.4919</v>
      </c>
      <c r="H2389" s="1">
        <v>1.5834999999999999</v>
      </c>
      <c r="I2389" s="1">
        <v>2.9380000000000002</v>
      </c>
      <c r="J2389" s="1">
        <v>3.1682999999999999</v>
      </c>
    </row>
    <row r="2390" spans="2:10" x14ac:dyDescent="0.3">
      <c r="B2390" s="10">
        <f t="shared" si="74"/>
        <v>2017</v>
      </c>
      <c r="C2390" s="10">
        <f t="shared" si="75"/>
        <v>3</v>
      </c>
      <c r="D2390" s="3">
        <v>42807</v>
      </c>
      <c r="E2390" s="1">
        <v>51.35</v>
      </c>
      <c r="F2390" s="1">
        <v>48.4</v>
      </c>
      <c r="G2390" s="1">
        <v>1.5005999999999999</v>
      </c>
      <c r="H2390" s="1">
        <v>1.5807</v>
      </c>
      <c r="I2390" s="1">
        <v>3.0430000000000001</v>
      </c>
      <c r="J2390" s="1">
        <v>3.1522999999999999</v>
      </c>
    </row>
    <row r="2391" spans="2:10" x14ac:dyDescent="0.3">
      <c r="B2391" s="10">
        <f t="shared" si="74"/>
        <v>2017</v>
      </c>
      <c r="C2391" s="10">
        <f t="shared" si="75"/>
        <v>3</v>
      </c>
      <c r="D2391" s="3">
        <v>42804</v>
      </c>
      <c r="E2391" s="1">
        <v>51.37</v>
      </c>
      <c r="F2391" s="1">
        <v>48.49</v>
      </c>
      <c r="G2391" s="1">
        <v>1.5036</v>
      </c>
      <c r="H2391" s="1">
        <v>1.6001000000000001</v>
      </c>
      <c r="I2391" s="1">
        <v>3.008</v>
      </c>
      <c r="J2391" s="1">
        <v>3.1379999999999999</v>
      </c>
    </row>
    <row r="2392" spans="2:10" x14ac:dyDescent="0.3">
      <c r="B2392" s="10">
        <f t="shared" si="74"/>
        <v>2017</v>
      </c>
      <c r="C2392" s="10">
        <f t="shared" si="75"/>
        <v>3</v>
      </c>
      <c r="D2392" s="3">
        <v>42803</v>
      </c>
      <c r="E2392" s="1">
        <v>52.19</v>
      </c>
      <c r="F2392" s="1">
        <v>49.28</v>
      </c>
      <c r="G2392" s="1">
        <v>1.5295000000000001</v>
      </c>
      <c r="H2392" s="1">
        <v>1.6243000000000001</v>
      </c>
      <c r="I2392" s="1">
        <v>2.9740000000000002</v>
      </c>
      <c r="J2392" s="1">
        <v>3.1928999999999998</v>
      </c>
    </row>
    <row r="2393" spans="2:10" x14ac:dyDescent="0.3">
      <c r="B2393" s="10">
        <f t="shared" si="74"/>
        <v>2017</v>
      </c>
      <c r="C2393" s="10">
        <f t="shared" si="75"/>
        <v>3</v>
      </c>
      <c r="D2393" s="3">
        <v>42802</v>
      </c>
      <c r="E2393" s="1">
        <v>53.11</v>
      </c>
      <c r="F2393" s="1">
        <v>50.28</v>
      </c>
      <c r="G2393" s="1">
        <v>1.5567</v>
      </c>
      <c r="H2393" s="1">
        <v>1.6526000000000001</v>
      </c>
      <c r="I2393" s="1">
        <v>2.9009999999999998</v>
      </c>
      <c r="J2393" s="1">
        <v>3.1623999999999999</v>
      </c>
    </row>
    <row r="2394" spans="2:10" x14ac:dyDescent="0.3">
      <c r="B2394" s="10">
        <f t="shared" si="74"/>
        <v>2017</v>
      </c>
      <c r="C2394" s="10">
        <f t="shared" si="75"/>
        <v>3</v>
      </c>
      <c r="D2394" s="3">
        <v>42801</v>
      </c>
      <c r="E2394" s="1">
        <v>55.92</v>
      </c>
      <c r="F2394" s="1">
        <v>53.14</v>
      </c>
      <c r="G2394" s="1">
        <v>1.6138999999999999</v>
      </c>
      <c r="H2394" s="1">
        <v>1.6798</v>
      </c>
      <c r="I2394" s="1">
        <v>2.8239999999999998</v>
      </c>
      <c r="J2394" s="1">
        <v>3.1187</v>
      </c>
    </row>
    <row r="2395" spans="2:10" x14ac:dyDescent="0.3">
      <c r="B2395" s="10">
        <f t="shared" si="74"/>
        <v>2017</v>
      </c>
      <c r="C2395" s="10">
        <f t="shared" si="75"/>
        <v>3</v>
      </c>
      <c r="D2395" s="3">
        <v>42800</v>
      </c>
      <c r="E2395" s="1">
        <v>56.01</v>
      </c>
      <c r="F2395" s="1">
        <v>53.2</v>
      </c>
      <c r="G2395" s="1">
        <v>1.6045</v>
      </c>
      <c r="H2395" s="1">
        <v>1.6722999999999999</v>
      </c>
      <c r="I2395" s="1">
        <v>2.9009999999999998</v>
      </c>
      <c r="J2395" s="1">
        <v>3.1383000000000001</v>
      </c>
    </row>
    <row r="2396" spans="2:10" x14ac:dyDescent="0.3">
      <c r="B2396" s="10">
        <f t="shared" si="74"/>
        <v>2017</v>
      </c>
      <c r="C2396" s="10">
        <f t="shared" si="75"/>
        <v>3</v>
      </c>
      <c r="D2396" s="3">
        <v>42797</v>
      </c>
      <c r="E2396" s="1">
        <v>55.9</v>
      </c>
      <c r="F2396" s="1">
        <v>53.33</v>
      </c>
      <c r="G2396" s="1">
        <v>1.5935999999999999</v>
      </c>
      <c r="H2396" s="1">
        <v>1.6531</v>
      </c>
      <c r="I2396" s="1">
        <v>2.827</v>
      </c>
      <c r="J2396" s="1">
        <v>3.1143000000000001</v>
      </c>
    </row>
    <row r="2397" spans="2:10" x14ac:dyDescent="0.3">
      <c r="B2397" s="10">
        <f t="shared" si="74"/>
        <v>2017</v>
      </c>
      <c r="C2397" s="10">
        <f t="shared" si="75"/>
        <v>3</v>
      </c>
      <c r="D2397" s="3">
        <v>42796</v>
      </c>
      <c r="E2397" s="1">
        <v>55.08</v>
      </c>
      <c r="F2397" s="1">
        <v>52.61</v>
      </c>
      <c r="G2397" s="1">
        <v>1.5790999999999999</v>
      </c>
      <c r="H2397" s="1">
        <v>1.6433</v>
      </c>
      <c r="I2397" s="1">
        <v>2.8039999999999998</v>
      </c>
      <c r="J2397" s="1">
        <v>3.1560000000000001</v>
      </c>
    </row>
    <row r="2398" spans="2:10" x14ac:dyDescent="0.3">
      <c r="B2398" s="10">
        <f t="shared" si="74"/>
        <v>2017</v>
      </c>
      <c r="C2398" s="10">
        <f t="shared" si="75"/>
        <v>3</v>
      </c>
      <c r="D2398" s="3">
        <v>42795</v>
      </c>
      <c r="E2398" s="1">
        <v>56.36</v>
      </c>
      <c r="F2398" s="1">
        <v>53.83</v>
      </c>
      <c r="G2398" s="1">
        <v>1.6241000000000001</v>
      </c>
      <c r="H2398" s="1">
        <v>1.6779999999999999</v>
      </c>
      <c r="I2398" s="1">
        <v>2.7989999999999999</v>
      </c>
      <c r="J2398" s="1">
        <v>3.089</v>
      </c>
    </row>
    <row r="2399" spans="2:10" x14ac:dyDescent="0.3">
      <c r="B2399" s="10">
        <f t="shared" si="74"/>
        <v>2017</v>
      </c>
      <c r="C2399" s="10">
        <f t="shared" si="75"/>
        <v>2</v>
      </c>
      <c r="D2399" s="3">
        <v>42794</v>
      </c>
      <c r="E2399" s="1">
        <v>55.59</v>
      </c>
      <c r="F2399" s="1">
        <v>54.01</v>
      </c>
      <c r="G2399" s="1">
        <v>1.6208</v>
      </c>
      <c r="H2399" s="1">
        <v>1.512</v>
      </c>
      <c r="I2399" s="1">
        <v>2.774</v>
      </c>
      <c r="J2399" s="1">
        <v>3.1086</v>
      </c>
    </row>
    <row r="2400" spans="2:10" x14ac:dyDescent="0.3">
      <c r="B2400" s="10">
        <f t="shared" si="74"/>
        <v>2017</v>
      </c>
      <c r="C2400" s="10">
        <f t="shared" si="75"/>
        <v>2</v>
      </c>
      <c r="D2400" s="3">
        <v>42793</v>
      </c>
      <c r="E2400" s="1">
        <v>55.93</v>
      </c>
      <c r="F2400" s="1">
        <v>54.05</v>
      </c>
      <c r="G2400" s="1">
        <v>1.6398999999999999</v>
      </c>
      <c r="H2400" s="1">
        <v>1.5327</v>
      </c>
      <c r="I2400" s="1">
        <v>2.6930000000000001</v>
      </c>
      <c r="J2400" s="1">
        <v>3.1084999999999998</v>
      </c>
    </row>
    <row r="2401" spans="2:10" x14ac:dyDescent="0.3">
      <c r="B2401" s="10">
        <f t="shared" si="74"/>
        <v>2017</v>
      </c>
      <c r="C2401" s="10">
        <f t="shared" si="75"/>
        <v>2</v>
      </c>
      <c r="D2401" s="3">
        <v>42790</v>
      </c>
      <c r="E2401" s="1">
        <v>55.99</v>
      </c>
      <c r="F2401" s="1">
        <v>53.99</v>
      </c>
      <c r="G2401" s="1">
        <v>1.6404000000000001</v>
      </c>
      <c r="H2401" s="1">
        <v>1.5147999999999999</v>
      </c>
      <c r="I2401" s="1">
        <v>2.6269999999999998</v>
      </c>
      <c r="J2401" s="1">
        <v>3.11</v>
      </c>
    </row>
    <row r="2402" spans="2:10" x14ac:dyDescent="0.3">
      <c r="B2402" s="10">
        <f t="shared" si="74"/>
        <v>2017</v>
      </c>
      <c r="C2402" s="10">
        <f t="shared" si="75"/>
        <v>2</v>
      </c>
      <c r="D2402" s="3">
        <v>42789</v>
      </c>
      <c r="E2402" s="1">
        <v>56.58</v>
      </c>
      <c r="F2402" s="1">
        <v>54.45</v>
      </c>
      <c r="G2402" s="1">
        <v>1.6567000000000001</v>
      </c>
      <c r="H2402" s="1">
        <v>1.5286</v>
      </c>
      <c r="I2402" s="1">
        <v>2.617</v>
      </c>
      <c r="J2402" s="1">
        <v>3.0590000000000002</v>
      </c>
    </row>
    <row r="2403" spans="2:10" x14ac:dyDescent="0.3">
      <c r="B2403" s="10">
        <f t="shared" si="74"/>
        <v>2017</v>
      </c>
      <c r="C2403" s="10">
        <f t="shared" si="75"/>
        <v>2</v>
      </c>
      <c r="D2403" s="3">
        <v>42788</v>
      </c>
      <c r="E2403" s="1">
        <v>55.84</v>
      </c>
      <c r="F2403" s="1">
        <v>53.59</v>
      </c>
      <c r="G2403" s="1">
        <v>1.6295999999999999</v>
      </c>
      <c r="H2403" s="1">
        <v>1.5133000000000001</v>
      </c>
      <c r="I2403" s="1">
        <v>2.5920000000000001</v>
      </c>
      <c r="J2403" s="1">
        <v>3.0630000000000002</v>
      </c>
    </row>
    <row r="2404" spans="2:10" x14ac:dyDescent="0.3">
      <c r="B2404" s="10">
        <f t="shared" si="74"/>
        <v>2017</v>
      </c>
      <c r="C2404" s="10">
        <f t="shared" si="75"/>
        <v>2</v>
      </c>
      <c r="D2404" s="3">
        <v>42787</v>
      </c>
      <c r="E2404" s="1">
        <v>56.66</v>
      </c>
      <c r="F2404" s="1">
        <v>54.06</v>
      </c>
      <c r="G2404" s="1">
        <v>1.6425000000000001</v>
      </c>
      <c r="H2404" s="1">
        <v>1.494</v>
      </c>
      <c r="I2404" s="1">
        <v>2.5640000000000001</v>
      </c>
      <c r="J2404" s="1">
        <v>3.0949</v>
      </c>
    </row>
    <row r="2405" spans="2:10" x14ac:dyDescent="0.3">
      <c r="B2405" s="10">
        <f t="shared" si="74"/>
        <v>2017</v>
      </c>
      <c r="C2405" s="10">
        <f t="shared" si="75"/>
        <v>2</v>
      </c>
      <c r="D2405" s="3">
        <v>42786</v>
      </c>
      <c r="E2405" s="1">
        <v>56.18</v>
      </c>
      <c r="J2405" s="1">
        <v>3.0859999999999999</v>
      </c>
    </row>
    <row r="2406" spans="2:10" x14ac:dyDescent="0.3">
      <c r="B2406" s="10">
        <f t="shared" si="74"/>
        <v>2017</v>
      </c>
      <c r="C2406" s="10">
        <f t="shared" si="75"/>
        <v>2</v>
      </c>
      <c r="D2406" s="3">
        <v>42783</v>
      </c>
      <c r="E2406" s="1">
        <v>55.81</v>
      </c>
      <c r="F2406" s="1">
        <v>53.4</v>
      </c>
      <c r="G2406" s="1">
        <v>1.6364000000000001</v>
      </c>
      <c r="H2406" s="1">
        <v>1.5165999999999999</v>
      </c>
      <c r="I2406" s="1">
        <v>2.8340000000000001</v>
      </c>
      <c r="J2406" s="1">
        <v>3.1034999999999999</v>
      </c>
    </row>
    <row r="2407" spans="2:10" x14ac:dyDescent="0.3">
      <c r="B2407" s="10">
        <f t="shared" si="74"/>
        <v>2017</v>
      </c>
      <c r="C2407" s="10">
        <f t="shared" si="75"/>
        <v>2</v>
      </c>
      <c r="D2407" s="3">
        <v>42782</v>
      </c>
      <c r="E2407" s="1">
        <v>55.65</v>
      </c>
      <c r="F2407" s="1">
        <v>53.36</v>
      </c>
      <c r="G2407" s="1">
        <v>1.6291</v>
      </c>
      <c r="H2407" s="1">
        <v>1.5246999999999999</v>
      </c>
      <c r="I2407" s="1">
        <v>2.8540000000000001</v>
      </c>
      <c r="J2407" s="1">
        <v>3.0889000000000002</v>
      </c>
    </row>
    <row r="2408" spans="2:10" x14ac:dyDescent="0.3">
      <c r="B2408" s="10">
        <f t="shared" si="74"/>
        <v>2017</v>
      </c>
      <c r="C2408" s="10">
        <f t="shared" si="75"/>
        <v>2</v>
      </c>
      <c r="D2408" s="3">
        <v>42781</v>
      </c>
      <c r="E2408" s="1">
        <v>55.75</v>
      </c>
      <c r="F2408" s="1">
        <v>53.11</v>
      </c>
      <c r="G2408" s="1">
        <v>1.6305000000000001</v>
      </c>
      <c r="H2408" s="1">
        <v>1.5479000000000001</v>
      </c>
      <c r="I2408" s="1">
        <v>2.9249999999999998</v>
      </c>
      <c r="J2408" s="1">
        <v>3.0565000000000002</v>
      </c>
    </row>
    <row r="2409" spans="2:10" x14ac:dyDescent="0.3">
      <c r="B2409" s="10">
        <f t="shared" si="74"/>
        <v>2017</v>
      </c>
      <c r="C2409" s="10">
        <f t="shared" si="75"/>
        <v>2</v>
      </c>
      <c r="D2409" s="3">
        <v>42780</v>
      </c>
      <c r="E2409" s="1">
        <v>55.97</v>
      </c>
      <c r="F2409" s="1">
        <v>53.2</v>
      </c>
      <c r="G2409" s="1">
        <v>1.6382000000000001</v>
      </c>
      <c r="H2409" s="1">
        <v>1.5467</v>
      </c>
      <c r="I2409" s="1">
        <v>2.9049999999999998</v>
      </c>
      <c r="J2409" s="1">
        <v>3.0840000000000001</v>
      </c>
    </row>
    <row r="2410" spans="2:10" x14ac:dyDescent="0.3">
      <c r="B2410" s="10">
        <f t="shared" si="74"/>
        <v>2017</v>
      </c>
      <c r="C2410" s="10">
        <f t="shared" si="75"/>
        <v>2</v>
      </c>
      <c r="D2410" s="3">
        <v>42779</v>
      </c>
      <c r="E2410" s="1">
        <v>55.59</v>
      </c>
      <c r="F2410" s="1">
        <v>52.93</v>
      </c>
      <c r="G2410" s="1">
        <v>1.6273</v>
      </c>
      <c r="H2410" s="1">
        <v>1.5446</v>
      </c>
      <c r="I2410" s="1">
        <v>2.944</v>
      </c>
      <c r="J2410" s="1">
        <v>3.1110000000000002</v>
      </c>
    </row>
    <row r="2411" spans="2:10" x14ac:dyDescent="0.3">
      <c r="B2411" s="10">
        <f t="shared" si="74"/>
        <v>2017</v>
      </c>
      <c r="C2411" s="10">
        <f t="shared" si="75"/>
        <v>2</v>
      </c>
      <c r="D2411" s="3">
        <v>42776</v>
      </c>
      <c r="E2411" s="1">
        <v>56.7</v>
      </c>
      <c r="F2411" s="1">
        <v>53.86</v>
      </c>
      <c r="G2411" s="1">
        <v>1.6658999999999999</v>
      </c>
      <c r="H2411" s="1">
        <v>1.5895999999999999</v>
      </c>
      <c r="I2411" s="1">
        <v>3.0339999999999998</v>
      </c>
      <c r="J2411" s="1">
        <v>3.1145</v>
      </c>
    </row>
    <row r="2412" spans="2:10" x14ac:dyDescent="0.3">
      <c r="B2412" s="10">
        <f t="shared" si="74"/>
        <v>2017</v>
      </c>
      <c r="C2412" s="10">
        <f t="shared" si="75"/>
        <v>2</v>
      </c>
      <c r="D2412" s="3">
        <v>42775</v>
      </c>
      <c r="E2412" s="1">
        <v>55.63</v>
      </c>
      <c r="F2412" s="1">
        <v>53</v>
      </c>
      <c r="G2412" s="1">
        <v>1.6415</v>
      </c>
      <c r="H2412" s="1">
        <v>1.5702</v>
      </c>
      <c r="I2412" s="1">
        <v>3.141</v>
      </c>
      <c r="J2412" s="1">
        <v>3.1299000000000001</v>
      </c>
    </row>
    <row r="2413" spans="2:10" x14ac:dyDescent="0.3">
      <c r="B2413" s="10">
        <f t="shared" si="74"/>
        <v>2017</v>
      </c>
      <c r="C2413" s="10">
        <f t="shared" si="75"/>
        <v>2</v>
      </c>
      <c r="D2413" s="3">
        <v>42774</v>
      </c>
      <c r="E2413" s="1">
        <v>55.12</v>
      </c>
      <c r="F2413" s="1">
        <v>52.34</v>
      </c>
      <c r="G2413" s="1">
        <v>1.6359999999999999</v>
      </c>
      <c r="H2413" s="1">
        <v>1.5527</v>
      </c>
      <c r="I2413" s="1">
        <v>3.1259999999999999</v>
      </c>
      <c r="J2413" s="1">
        <v>3.117</v>
      </c>
    </row>
    <row r="2414" spans="2:10" x14ac:dyDescent="0.3">
      <c r="B2414" s="10">
        <f t="shared" si="74"/>
        <v>2017</v>
      </c>
      <c r="C2414" s="10">
        <f t="shared" si="75"/>
        <v>2</v>
      </c>
      <c r="D2414" s="3">
        <v>42773</v>
      </c>
      <c r="E2414" s="1">
        <v>55.05</v>
      </c>
      <c r="F2414" s="1">
        <v>52.17</v>
      </c>
      <c r="G2414" s="1">
        <v>1.6221000000000001</v>
      </c>
      <c r="H2414" s="1">
        <v>1.4875</v>
      </c>
      <c r="I2414" s="1">
        <v>3.13</v>
      </c>
      <c r="J2414" s="1">
        <v>3.12</v>
      </c>
    </row>
    <row r="2415" spans="2:10" x14ac:dyDescent="0.3">
      <c r="B2415" s="10">
        <f t="shared" si="74"/>
        <v>2017</v>
      </c>
      <c r="C2415" s="10">
        <f t="shared" si="75"/>
        <v>2</v>
      </c>
      <c r="D2415" s="3">
        <v>42772</v>
      </c>
      <c r="E2415" s="1">
        <v>55.72</v>
      </c>
      <c r="F2415" s="1">
        <v>53.01</v>
      </c>
      <c r="G2415" s="1">
        <v>1.6352</v>
      </c>
      <c r="H2415" s="1">
        <v>1.5103</v>
      </c>
      <c r="I2415" s="1">
        <v>3.05</v>
      </c>
      <c r="J2415" s="1">
        <v>3.1154999999999999</v>
      </c>
    </row>
    <row r="2416" spans="2:10" x14ac:dyDescent="0.3">
      <c r="B2416" s="10">
        <f t="shared" si="74"/>
        <v>2017</v>
      </c>
      <c r="C2416" s="10">
        <f t="shared" si="75"/>
        <v>2</v>
      </c>
      <c r="D2416" s="3">
        <v>42769</v>
      </c>
      <c r="E2416" s="1">
        <v>56.81</v>
      </c>
      <c r="F2416" s="1">
        <v>53.83</v>
      </c>
      <c r="G2416" s="1">
        <v>1.6651</v>
      </c>
      <c r="H2416" s="1">
        <v>1.5537000000000001</v>
      </c>
      <c r="I2416" s="1">
        <v>3.0630000000000002</v>
      </c>
      <c r="J2416" s="1">
        <v>3.1173999999999999</v>
      </c>
    </row>
    <row r="2417" spans="2:10" x14ac:dyDescent="0.3">
      <c r="B2417" s="10">
        <f t="shared" si="74"/>
        <v>2017</v>
      </c>
      <c r="C2417" s="10">
        <f t="shared" si="75"/>
        <v>2</v>
      </c>
      <c r="D2417" s="3">
        <v>42768</v>
      </c>
      <c r="E2417" s="1">
        <v>56.56</v>
      </c>
      <c r="F2417" s="1">
        <v>53.54</v>
      </c>
      <c r="G2417" s="1">
        <v>1.6517999999999999</v>
      </c>
      <c r="H2417" s="1">
        <v>1.5328999999999999</v>
      </c>
      <c r="I2417" s="1">
        <v>3.1869999999999998</v>
      </c>
      <c r="J2417" s="1">
        <v>3.1234999999999999</v>
      </c>
    </row>
    <row r="2418" spans="2:10" x14ac:dyDescent="0.3">
      <c r="B2418" s="10">
        <f t="shared" si="74"/>
        <v>2017</v>
      </c>
      <c r="C2418" s="10">
        <f t="shared" si="75"/>
        <v>2</v>
      </c>
      <c r="D2418" s="3">
        <v>42767</v>
      </c>
      <c r="E2418" s="1">
        <v>56.8</v>
      </c>
      <c r="F2418" s="1">
        <v>53.88</v>
      </c>
      <c r="G2418" s="1">
        <v>1.6739999999999999</v>
      </c>
      <c r="H2418" s="1">
        <v>1.5790999999999999</v>
      </c>
      <c r="I2418" s="1">
        <v>3.1680000000000001</v>
      </c>
      <c r="J2418" s="1">
        <v>3.1284999999999998</v>
      </c>
    </row>
    <row r="2419" spans="2:10" x14ac:dyDescent="0.3">
      <c r="B2419" s="10">
        <f t="shared" si="74"/>
        <v>2017</v>
      </c>
      <c r="C2419" s="10">
        <f t="shared" si="75"/>
        <v>1</v>
      </c>
      <c r="D2419" s="3">
        <v>42766</v>
      </c>
      <c r="E2419" s="1">
        <v>55.7</v>
      </c>
      <c r="F2419" s="1">
        <v>52.81</v>
      </c>
      <c r="G2419" s="1">
        <v>1.6116999999999999</v>
      </c>
      <c r="H2419" s="1">
        <v>1.5256000000000001</v>
      </c>
      <c r="I2419" s="1">
        <v>3.117</v>
      </c>
      <c r="J2419" s="1">
        <v>3.1507000000000001</v>
      </c>
    </row>
    <row r="2420" spans="2:10" x14ac:dyDescent="0.3">
      <c r="B2420" s="10">
        <f t="shared" si="74"/>
        <v>2017</v>
      </c>
      <c r="C2420" s="10">
        <f t="shared" si="75"/>
        <v>1</v>
      </c>
      <c r="D2420" s="3">
        <v>42765</v>
      </c>
      <c r="E2420" s="1">
        <v>55.23</v>
      </c>
      <c r="F2420" s="1">
        <v>52.63</v>
      </c>
      <c r="G2420" s="1">
        <v>1.6067</v>
      </c>
      <c r="H2420" s="1">
        <v>1.5055000000000001</v>
      </c>
      <c r="I2420" s="1">
        <v>3.2320000000000002</v>
      </c>
      <c r="J2420" s="1">
        <v>3.1255000000000002</v>
      </c>
    </row>
    <row r="2421" spans="2:10" x14ac:dyDescent="0.3">
      <c r="B2421" s="10">
        <f t="shared" si="74"/>
        <v>2017</v>
      </c>
      <c r="C2421" s="10">
        <f t="shared" si="75"/>
        <v>1</v>
      </c>
      <c r="D2421" s="3">
        <v>42762</v>
      </c>
      <c r="E2421" s="1">
        <v>55.52</v>
      </c>
      <c r="F2421" s="1">
        <v>53.17</v>
      </c>
      <c r="G2421" s="1">
        <v>1.6189</v>
      </c>
      <c r="H2421" s="1">
        <v>1.5270999999999999</v>
      </c>
      <c r="I2421" s="1">
        <v>3.391</v>
      </c>
      <c r="J2421" s="1">
        <v>3.14</v>
      </c>
    </row>
    <row r="2422" spans="2:10" x14ac:dyDescent="0.3">
      <c r="B2422" s="10">
        <f t="shared" si="74"/>
        <v>2017</v>
      </c>
      <c r="C2422" s="10">
        <f t="shared" si="75"/>
        <v>1</v>
      </c>
      <c r="D2422" s="3">
        <v>42761</v>
      </c>
      <c r="E2422" s="1">
        <v>56.24</v>
      </c>
      <c r="F2422" s="1">
        <v>53.78</v>
      </c>
      <c r="G2422" s="1">
        <v>1.6409</v>
      </c>
      <c r="H2422" s="1">
        <v>1.5427</v>
      </c>
      <c r="I2422" s="1">
        <v>3.3820000000000001</v>
      </c>
      <c r="J2422" s="1">
        <v>3.1775000000000002</v>
      </c>
    </row>
    <row r="2423" spans="2:10" x14ac:dyDescent="0.3">
      <c r="B2423" s="10">
        <f t="shared" si="74"/>
        <v>2017</v>
      </c>
      <c r="C2423" s="10">
        <f t="shared" si="75"/>
        <v>1</v>
      </c>
      <c r="D2423" s="3">
        <v>42760</v>
      </c>
      <c r="E2423" s="1">
        <v>55.08</v>
      </c>
      <c r="F2423" s="1">
        <v>52.75</v>
      </c>
      <c r="G2423" s="1">
        <v>1.6113999999999999</v>
      </c>
      <c r="H2423" s="1">
        <v>1.5238</v>
      </c>
      <c r="I2423" s="1">
        <v>3.3319999999999999</v>
      </c>
      <c r="J2423" s="1">
        <v>3.1697000000000002</v>
      </c>
    </row>
    <row r="2424" spans="2:10" x14ac:dyDescent="0.3">
      <c r="B2424" s="10">
        <f t="shared" si="74"/>
        <v>2017</v>
      </c>
      <c r="C2424" s="10">
        <f t="shared" si="75"/>
        <v>1</v>
      </c>
      <c r="D2424" s="3">
        <v>42759</v>
      </c>
      <c r="E2424" s="1">
        <v>55.44</v>
      </c>
      <c r="F2424" s="1">
        <v>53.18</v>
      </c>
      <c r="G2424" s="1">
        <v>1.6415</v>
      </c>
      <c r="H2424" s="1">
        <v>1.5759000000000001</v>
      </c>
      <c r="I2424" s="1">
        <v>3.2789999999999999</v>
      </c>
      <c r="J2424" s="1">
        <v>3.1697000000000002</v>
      </c>
    </row>
    <row r="2425" spans="2:10" x14ac:dyDescent="0.3">
      <c r="B2425" s="10">
        <f t="shared" si="74"/>
        <v>2017</v>
      </c>
      <c r="C2425" s="10">
        <f t="shared" si="75"/>
        <v>1</v>
      </c>
      <c r="D2425" s="3">
        <v>42758</v>
      </c>
      <c r="E2425" s="1">
        <v>55.23</v>
      </c>
      <c r="F2425" s="1">
        <v>52.75</v>
      </c>
      <c r="G2425" s="1">
        <v>1.6265000000000001</v>
      </c>
      <c r="H2425" s="1">
        <v>1.5667</v>
      </c>
      <c r="I2425" s="1">
        <v>3.2429999999999999</v>
      </c>
      <c r="J2425" s="1">
        <v>3.1627999999999998</v>
      </c>
    </row>
    <row r="2426" spans="2:10" x14ac:dyDescent="0.3">
      <c r="B2426" s="10">
        <f t="shared" si="74"/>
        <v>2017</v>
      </c>
      <c r="C2426" s="10">
        <f t="shared" si="75"/>
        <v>1</v>
      </c>
      <c r="D2426" s="3">
        <v>42755</v>
      </c>
      <c r="E2426" s="1">
        <v>55.49</v>
      </c>
      <c r="F2426" s="1">
        <v>52.42</v>
      </c>
      <c r="G2426" s="1">
        <v>1.6458999999999999</v>
      </c>
      <c r="H2426" s="1">
        <v>1.5660000000000001</v>
      </c>
      <c r="I2426" s="1">
        <v>3.2040000000000002</v>
      </c>
      <c r="J2426" s="1">
        <v>3.1684999999999999</v>
      </c>
    </row>
    <row r="2427" spans="2:10" x14ac:dyDescent="0.3">
      <c r="B2427" s="10">
        <f t="shared" si="74"/>
        <v>2017</v>
      </c>
      <c r="C2427" s="10">
        <f t="shared" si="75"/>
        <v>1</v>
      </c>
      <c r="D2427" s="3">
        <v>42754</v>
      </c>
      <c r="E2427" s="1">
        <v>54.16</v>
      </c>
      <c r="F2427" s="1">
        <v>51.37</v>
      </c>
      <c r="G2427" s="1">
        <v>1.6183000000000001</v>
      </c>
      <c r="H2427" s="1">
        <v>1.5345</v>
      </c>
      <c r="I2427" s="1">
        <v>3.3679999999999999</v>
      </c>
      <c r="J2427" s="1">
        <v>3.1960000000000002</v>
      </c>
    </row>
    <row r="2428" spans="2:10" x14ac:dyDescent="0.3">
      <c r="B2428" s="10">
        <f t="shared" si="74"/>
        <v>2017</v>
      </c>
      <c r="C2428" s="10">
        <f t="shared" si="75"/>
        <v>1</v>
      </c>
      <c r="D2428" s="3">
        <v>42753</v>
      </c>
      <c r="E2428" s="1">
        <v>53.92</v>
      </c>
      <c r="F2428" s="1">
        <v>51.08</v>
      </c>
      <c r="G2428" s="1">
        <v>1.6092</v>
      </c>
      <c r="H2428" s="1">
        <v>1.5487</v>
      </c>
      <c r="I2428" s="1">
        <v>3.302</v>
      </c>
      <c r="J2428" s="1">
        <v>3.2307000000000001</v>
      </c>
    </row>
    <row r="2429" spans="2:10" x14ac:dyDescent="0.3">
      <c r="B2429" s="10">
        <f t="shared" si="74"/>
        <v>2017</v>
      </c>
      <c r="C2429" s="10">
        <f t="shared" si="75"/>
        <v>1</v>
      </c>
      <c r="D2429" s="3">
        <v>42752</v>
      </c>
      <c r="E2429" s="1">
        <v>55.47</v>
      </c>
      <c r="F2429" s="1">
        <v>52.48</v>
      </c>
      <c r="G2429" s="1">
        <v>1.6486000000000001</v>
      </c>
      <c r="H2429" s="1">
        <v>1.6004</v>
      </c>
      <c r="I2429" s="1">
        <v>3.4119999999999999</v>
      </c>
      <c r="J2429" s="1">
        <v>3.2113</v>
      </c>
    </row>
    <row r="2430" spans="2:10" x14ac:dyDescent="0.3">
      <c r="B2430" s="10">
        <f t="shared" si="74"/>
        <v>2017</v>
      </c>
      <c r="C2430" s="10">
        <f t="shared" si="75"/>
        <v>1</v>
      </c>
      <c r="D2430" s="3">
        <v>42751</v>
      </c>
      <c r="E2430" s="1">
        <v>55.86</v>
      </c>
      <c r="J2430" s="1">
        <v>3.2414999999999998</v>
      </c>
    </row>
    <row r="2431" spans="2:10" x14ac:dyDescent="0.3">
      <c r="B2431" s="10">
        <f t="shared" si="74"/>
        <v>2017</v>
      </c>
      <c r="C2431" s="10">
        <f t="shared" si="75"/>
        <v>1</v>
      </c>
      <c r="D2431" s="3">
        <v>42748</v>
      </c>
      <c r="E2431" s="1">
        <v>55.45</v>
      </c>
      <c r="F2431" s="1">
        <v>52.37</v>
      </c>
      <c r="G2431" s="1">
        <v>1.6514</v>
      </c>
      <c r="H2431" s="1">
        <v>1.6116999999999999</v>
      </c>
      <c r="I2431" s="1">
        <v>3.419</v>
      </c>
      <c r="J2431" s="1">
        <v>3.2204999999999999</v>
      </c>
    </row>
    <row r="2432" spans="2:10" x14ac:dyDescent="0.3">
      <c r="B2432" s="10">
        <f t="shared" si="74"/>
        <v>2017</v>
      </c>
      <c r="C2432" s="10">
        <f t="shared" si="75"/>
        <v>1</v>
      </c>
      <c r="D2432" s="3">
        <v>42747</v>
      </c>
      <c r="E2432" s="1">
        <v>56.01</v>
      </c>
      <c r="F2432" s="1">
        <v>53.01</v>
      </c>
      <c r="G2432" s="1">
        <v>1.6756</v>
      </c>
      <c r="H2432" s="1">
        <v>1.6108</v>
      </c>
      <c r="I2432" s="1">
        <v>3.3860000000000001</v>
      </c>
      <c r="J2432" s="1">
        <v>3.1878000000000002</v>
      </c>
    </row>
    <row r="2433" spans="2:10" x14ac:dyDescent="0.3">
      <c r="B2433" s="10">
        <f t="shared" si="74"/>
        <v>2017</v>
      </c>
      <c r="C2433" s="10">
        <f t="shared" si="75"/>
        <v>1</v>
      </c>
      <c r="D2433" s="3">
        <v>42746</v>
      </c>
      <c r="E2433" s="1">
        <v>55.1</v>
      </c>
      <c r="F2433" s="1">
        <v>52.25</v>
      </c>
      <c r="G2433" s="1">
        <v>1.6524000000000001</v>
      </c>
      <c r="H2433" s="1">
        <v>1.5929</v>
      </c>
      <c r="I2433" s="1">
        <v>3.2240000000000002</v>
      </c>
      <c r="J2433" s="1">
        <v>3.1964999999999999</v>
      </c>
    </row>
    <row r="2434" spans="2:10" x14ac:dyDescent="0.3">
      <c r="B2434" s="10">
        <f t="shared" si="74"/>
        <v>2017</v>
      </c>
      <c r="C2434" s="10">
        <f t="shared" si="75"/>
        <v>1</v>
      </c>
      <c r="D2434" s="3">
        <v>42745</v>
      </c>
      <c r="E2434" s="1">
        <v>53.64</v>
      </c>
      <c r="F2434" s="1">
        <v>50.82</v>
      </c>
      <c r="G2434" s="1">
        <v>1.6113999999999999</v>
      </c>
      <c r="H2434" s="1">
        <v>1.5467</v>
      </c>
      <c r="I2434" s="1">
        <v>3.278</v>
      </c>
      <c r="J2434" s="1">
        <v>3.1955</v>
      </c>
    </row>
    <row r="2435" spans="2:10" x14ac:dyDescent="0.3">
      <c r="B2435" s="10">
        <f t="shared" si="74"/>
        <v>2017</v>
      </c>
      <c r="C2435" s="10">
        <f t="shared" si="75"/>
        <v>1</v>
      </c>
      <c r="D2435" s="3">
        <v>42744</v>
      </c>
      <c r="E2435" s="1">
        <v>54.94</v>
      </c>
      <c r="F2435" s="1">
        <v>51.96</v>
      </c>
      <c r="G2435" s="1">
        <v>1.6375999999999999</v>
      </c>
      <c r="H2435" s="1">
        <v>1.5707</v>
      </c>
      <c r="I2435" s="1">
        <v>3.1030000000000002</v>
      </c>
      <c r="J2435" s="1">
        <v>3.1966999999999999</v>
      </c>
    </row>
    <row r="2436" spans="2:10" x14ac:dyDescent="0.3">
      <c r="B2436" s="10">
        <f t="shared" si="74"/>
        <v>2017</v>
      </c>
      <c r="C2436" s="10">
        <f t="shared" si="75"/>
        <v>1</v>
      </c>
      <c r="D2436" s="3">
        <v>42741</v>
      </c>
      <c r="E2436" s="1">
        <v>57.1</v>
      </c>
      <c r="F2436" s="1">
        <v>53.99</v>
      </c>
      <c r="G2436" s="1">
        <v>1.7032</v>
      </c>
      <c r="H2436" s="1">
        <v>1.6339999999999999</v>
      </c>
      <c r="I2436" s="1">
        <v>3.2850000000000001</v>
      </c>
      <c r="J2436" s="1">
        <v>3.2239</v>
      </c>
    </row>
    <row r="2437" spans="2:10" x14ac:dyDescent="0.3">
      <c r="B2437" s="10">
        <f t="shared" si="74"/>
        <v>2017</v>
      </c>
      <c r="C2437" s="10">
        <f t="shared" si="75"/>
        <v>1</v>
      </c>
      <c r="D2437" s="3">
        <v>42740</v>
      </c>
      <c r="E2437" s="1">
        <v>56.89</v>
      </c>
      <c r="F2437" s="1">
        <v>53.76</v>
      </c>
      <c r="G2437" s="1">
        <v>1.6941999999999999</v>
      </c>
      <c r="H2437" s="1">
        <v>1.6376999999999999</v>
      </c>
      <c r="I2437" s="1">
        <v>3.2730000000000001</v>
      </c>
      <c r="J2437" s="1">
        <v>3.1987999999999999</v>
      </c>
    </row>
    <row r="2438" spans="2:10" x14ac:dyDescent="0.3">
      <c r="B2438" s="10">
        <f t="shared" ref="B2438:B2501" si="76">YEAR(D2438)</f>
        <v>2017</v>
      </c>
      <c r="C2438" s="10">
        <f t="shared" ref="C2438:C2501" si="77">MONTH(D2438)</f>
        <v>1</v>
      </c>
      <c r="D2438" s="3">
        <v>42739</v>
      </c>
      <c r="E2438" s="1">
        <v>56.46</v>
      </c>
      <c r="F2438" s="1">
        <v>53.26</v>
      </c>
      <c r="G2438" s="1">
        <v>1.6930000000000001</v>
      </c>
      <c r="H2438" s="1">
        <v>1.6458999999999999</v>
      </c>
      <c r="I2438" s="1">
        <v>3.2669999999999999</v>
      </c>
      <c r="J2438" s="1">
        <v>3.2160000000000002</v>
      </c>
    </row>
    <row r="2439" spans="2:10" x14ac:dyDescent="0.3">
      <c r="B2439" s="10">
        <f t="shared" si="76"/>
        <v>2017</v>
      </c>
      <c r="C2439" s="10">
        <f t="shared" si="77"/>
        <v>1</v>
      </c>
      <c r="D2439" s="3">
        <v>42738</v>
      </c>
      <c r="E2439" s="1">
        <v>55.47</v>
      </c>
      <c r="F2439" s="1">
        <v>52.33</v>
      </c>
      <c r="G2439" s="1">
        <v>1.6767000000000001</v>
      </c>
      <c r="H2439" s="1">
        <v>1.6217999999999999</v>
      </c>
      <c r="I2439" s="1">
        <v>3.327</v>
      </c>
      <c r="J2439" s="1">
        <v>3.2644000000000002</v>
      </c>
    </row>
    <row r="2440" spans="2:10" x14ac:dyDescent="0.3">
      <c r="B2440" s="10">
        <f t="shared" si="76"/>
        <v>2017</v>
      </c>
      <c r="C2440" s="10">
        <f t="shared" si="77"/>
        <v>1</v>
      </c>
      <c r="D2440" s="3">
        <v>42737</v>
      </c>
      <c r="E2440" s="1">
        <v>56.82</v>
      </c>
      <c r="J2440" s="1">
        <v>3.2850999999999999</v>
      </c>
    </row>
    <row r="2441" spans="2:10" x14ac:dyDescent="0.3">
      <c r="B2441" s="10">
        <f t="shared" si="76"/>
        <v>2016</v>
      </c>
      <c r="C2441" s="10">
        <f t="shared" si="77"/>
        <v>12</v>
      </c>
      <c r="D2441" s="3">
        <v>42734</v>
      </c>
      <c r="E2441" s="1">
        <v>56.82</v>
      </c>
      <c r="F2441" s="1">
        <v>53.72</v>
      </c>
      <c r="G2441" s="1">
        <v>1.7042999999999999</v>
      </c>
      <c r="H2441" s="1">
        <v>1.6651</v>
      </c>
      <c r="I2441" s="1">
        <v>3.7240000000000002</v>
      </c>
      <c r="J2441" s="1">
        <v>3.2532000000000001</v>
      </c>
    </row>
    <row r="2442" spans="2:10" x14ac:dyDescent="0.3">
      <c r="B2442" s="10">
        <f t="shared" si="76"/>
        <v>2016</v>
      </c>
      <c r="C2442" s="10">
        <f t="shared" si="77"/>
        <v>12</v>
      </c>
      <c r="D2442" s="3">
        <v>42733</v>
      </c>
      <c r="E2442" s="1">
        <v>56.14</v>
      </c>
      <c r="F2442" s="1">
        <v>53.77</v>
      </c>
      <c r="G2442" s="1">
        <v>1.7037</v>
      </c>
      <c r="H2442" s="1">
        <v>1.6819999999999999</v>
      </c>
      <c r="I2442" s="1">
        <v>3.802</v>
      </c>
      <c r="J2442" s="1">
        <v>3.2532000000000001</v>
      </c>
    </row>
    <row r="2443" spans="2:10" x14ac:dyDescent="0.3">
      <c r="B2443" s="10">
        <f t="shared" si="76"/>
        <v>2016</v>
      </c>
      <c r="C2443" s="10">
        <f t="shared" si="77"/>
        <v>12</v>
      </c>
      <c r="D2443" s="3">
        <v>42732</v>
      </c>
      <c r="E2443" s="1">
        <v>56.22</v>
      </c>
      <c r="F2443" s="1">
        <v>54.06</v>
      </c>
      <c r="G2443" s="1">
        <v>1.6993</v>
      </c>
      <c r="H2443" s="1">
        <v>1.6746000000000001</v>
      </c>
      <c r="I2443" s="1">
        <v>3.93</v>
      </c>
      <c r="J2443" s="1">
        <v>3.2839999999999998</v>
      </c>
    </row>
    <row r="2444" spans="2:10" x14ac:dyDescent="0.3">
      <c r="B2444" s="10">
        <f t="shared" si="76"/>
        <v>2016</v>
      </c>
      <c r="C2444" s="10">
        <f t="shared" si="77"/>
        <v>12</v>
      </c>
      <c r="D2444" s="3">
        <v>42731</v>
      </c>
      <c r="E2444" s="1">
        <v>56.09</v>
      </c>
      <c r="F2444" s="1">
        <v>53.9</v>
      </c>
      <c r="G2444" s="1">
        <v>1.6994</v>
      </c>
      <c r="H2444" s="1">
        <v>1.6528</v>
      </c>
      <c r="I2444" s="1">
        <v>3.7610000000000001</v>
      </c>
      <c r="J2444" s="1">
        <v>3.2696999999999998</v>
      </c>
    </row>
    <row r="2445" spans="2:10" x14ac:dyDescent="0.3">
      <c r="B2445" s="10">
        <f t="shared" si="76"/>
        <v>2016</v>
      </c>
      <c r="C2445" s="10">
        <f t="shared" si="77"/>
        <v>12</v>
      </c>
      <c r="D2445" s="3">
        <v>42730</v>
      </c>
      <c r="J2445" s="1">
        <v>3.2759999999999998</v>
      </c>
    </row>
    <row r="2446" spans="2:10" x14ac:dyDescent="0.3">
      <c r="B2446" s="10">
        <f t="shared" si="76"/>
        <v>2016</v>
      </c>
      <c r="C2446" s="10">
        <f t="shared" si="77"/>
        <v>12</v>
      </c>
      <c r="D2446" s="3">
        <v>42727</v>
      </c>
      <c r="E2446" s="1">
        <v>55.16</v>
      </c>
      <c r="F2446" s="1">
        <v>53.02</v>
      </c>
      <c r="G2446" s="1">
        <v>1.6628000000000001</v>
      </c>
      <c r="H2446" s="1">
        <v>1.6262000000000001</v>
      </c>
      <c r="I2446" s="1">
        <v>3.6619999999999999</v>
      </c>
      <c r="J2446" s="1">
        <v>3.2705000000000002</v>
      </c>
    </row>
    <row r="2447" spans="2:10" x14ac:dyDescent="0.3">
      <c r="B2447" s="10">
        <f t="shared" si="76"/>
        <v>2016</v>
      </c>
      <c r="C2447" s="10">
        <f t="shared" si="77"/>
        <v>12</v>
      </c>
      <c r="D2447" s="3">
        <v>42726</v>
      </c>
      <c r="E2447" s="1">
        <v>55.05</v>
      </c>
      <c r="F2447" s="1">
        <v>52.95</v>
      </c>
      <c r="G2447" s="1">
        <v>1.6608000000000001</v>
      </c>
      <c r="H2447" s="1">
        <v>1.6040000000000001</v>
      </c>
      <c r="I2447" s="1">
        <v>3.5379999999999998</v>
      </c>
      <c r="J2447" s="1">
        <v>3.2865000000000002</v>
      </c>
    </row>
    <row r="2448" spans="2:10" x14ac:dyDescent="0.3">
      <c r="B2448" s="10">
        <f t="shared" si="76"/>
        <v>2016</v>
      </c>
      <c r="C2448" s="10">
        <f t="shared" si="77"/>
        <v>12</v>
      </c>
      <c r="D2448" s="3">
        <v>42725</v>
      </c>
      <c r="E2448" s="1">
        <v>54.46</v>
      </c>
      <c r="F2448" s="1">
        <v>52.49</v>
      </c>
      <c r="G2448" s="1">
        <v>1.6400999999999999</v>
      </c>
      <c r="H2448" s="1">
        <v>1.6054999999999999</v>
      </c>
      <c r="I2448" s="1">
        <v>3.5419999999999998</v>
      </c>
      <c r="J2448" s="1">
        <v>3.3264999999999998</v>
      </c>
    </row>
    <row r="2449" spans="2:10" x14ac:dyDescent="0.3">
      <c r="B2449" s="10">
        <f t="shared" si="76"/>
        <v>2016</v>
      </c>
      <c r="C2449" s="10">
        <f t="shared" si="77"/>
        <v>12</v>
      </c>
      <c r="D2449" s="3">
        <v>42724</v>
      </c>
      <c r="E2449" s="1">
        <v>55.35</v>
      </c>
      <c r="F2449" s="1">
        <v>52.23</v>
      </c>
      <c r="G2449" s="1">
        <v>1.6688000000000001</v>
      </c>
      <c r="H2449" s="1">
        <v>1.5935999999999999</v>
      </c>
      <c r="I2449" s="1">
        <v>3.2629999999999999</v>
      </c>
      <c r="J2449" s="1">
        <v>3.3536000000000001</v>
      </c>
    </row>
    <row r="2450" spans="2:10" x14ac:dyDescent="0.3">
      <c r="B2450" s="10">
        <f t="shared" si="76"/>
        <v>2016</v>
      </c>
      <c r="C2450" s="10">
        <f t="shared" si="77"/>
        <v>12</v>
      </c>
      <c r="D2450" s="3">
        <v>42723</v>
      </c>
      <c r="E2450" s="1">
        <v>54.92</v>
      </c>
      <c r="F2450" s="1">
        <v>52.12</v>
      </c>
      <c r="G2450" s="1">
        <v>1.669</v>
      </c>
      <c r="H2450" s="1">
        <v>1.5639000000000001</v>
      </c>
      <c r="I2450" s="1">
        <v>3.3919999999999999</v>
      </c>
      <c r="J2450" s="1">
        <v>3.3645</v>
      </c>
    </row>
    <row r="2451" spans="2:10" x14ac:dyDescent="0.3">
      <c r="B2451" s="10">
        <f t="shared" si="76"/>
        <v>2016</v>
      </c>
      <c r="C2451" s="10">
        <f t="shared" si="77"/>
        <v>12</v>
      </c>
      <c r="D2451" s="3">
        <v>42720</v>
      </c>
      <c r="E2451" s="1">
        <v>55.21</v>
      </c>
      <c r="F2451" s="1">
        <v>51.9</v>
      </c>
      <c r="G2451" s="1">
        <v>1.6722999999999999</v>
      </c>
      <c r="H2451" s="1">
        <v>1.5570999999999999</v>
      </c>
      <c r="I2451" s="1">
        <v>3.415</v>
      </c>
      <c r="J2451" s="1">
        <v>3.3915000000000002</v>
      </c>
    </row>
    <row r="2452" spans="2:10" x14ac:dyDescent="0.3">
      <c r="B2452" s="10">
        <f t="shared" si="76"/>
        <v>2016</v>
      </c>
      <c r="C2452" s="10">
        <f t="shared" si="77"/>
        <v>12</v>
      </c>
      <c r="D2452" s="3">
        <v>42719</v>
      </c>
      <c r="E2452" s="1">
        <v>54.02</v>
      </c>
      <c r="F2452" s="1">
        <v>50.9</v>
      </c>
      <c r="G2452" s="1">
        <v>1.6419999999999999</v>
      </c>
      <c r="H2452" s="1">
        <v>1.5421</v>
      </c>
      <c r="I2452" s="1">
        <v>3.4340000000000002</v>
      </c>
      <c r="J2452" s="1">
        <v>3.3690000000000002</v>
      </c>
    </row>
    <row r="2453" spans="2:10" x14ac:dyDescent="0.3">
      <c r="B2453" s="10">
        <f t="shared" si="76"/>
        <v>2016</v>
      </c>
      <c r="C2453" s="10">
        <f t="shared" si="77"/>
        <v>12</v>
      </c>
      <c r="D2453" s="3">
        <v>42718</v>
      </c>
      <c r="E2453" s="1">
        <v>53.9</v>
      </c>
      <c r="F2453" s="1">
        <v>51.04</v>
      </c>
      <c r="G2453" s="1">
        <v>1.6435</v>
      </c>
      <c r="H2453" s="1">
        <v>1.5330999999999999</v>
      </c>
      <c r="I2453" s="1">
        <v>3.54</v>
      </c>
      <c r="J2453" s="1">
        <v>3.3690000000000002</v>
      </c>
    </row>
    <row r="2454" spans="2:10" x14ac:dyDescent="0.3">
      <c r="B2454" s="10">
        <f t="shared" si="76"/>
        <v>2016</v>
      </c>
      <c r="C2454" s="10">
        <f t="shared" si="77"/>
        <v>12</v>
      </c>
      <c r="D2454" s="3">
        <v>42717</v>
      </c>
      <c r="E2454" s="1">
        <v>55.72</v>
      </c>
      <c r="F2454" s="1">
        <v>52.98</v>
      </c>
      <c r="G2454" s="1">
        <v>1.6747000000000001</v>
      </c>
      <c r="H2454" s="1">
        <v>1.5507</v>
      </c>
      <c r="I2454" s="1">
        <v>3.4740000000000002</v>
      </c>
      <c r="J2454" s="1">
        <v>3.3344999999999998</v>
      </c>
    </row>
    <row r="2455" spans="2:10" x14ac:dyDescent="0.3">
      <c r="B2455" s="10">
        <f t="shared" si="76"/>
        <v>2016</v>
      </c>
      <c r="C2455" s="10">
        <f t="shared" si="77"/>
        <v>12</v>
      </c>
      <c r="D2455" s="3">
        <v>42716</v>
      </c>
      <c r="E2455" s="1">
        <v>55.69</v>
      </c>
      <c r="F2455" s="1">
        <v>52.83</v>
      </c>
      <c r="G2455" s="1">
        <v>1.6717</v>
      </c>
      <c r="H2455" s="1">
        <v>1.5429999999999999</v>
      </c>
      <c r="I2455" s="1">
        <v>3.5070000000000001</v>
      </c>
      <c r="J2455" s="1">
        <v>3.3380000000000001</v>
      </c>
    </row>
    <row r="2456" spans="2:10" x14ac:dyDescent="0.3">
      <c r="B2456" s="10">
        <f t="shared" si="76"/>
        <v>2016</v>
      </c>
      <c r="C2456" s="10">
        <f t="shared" si="77"/>
        <v>12</v>
      </c>
      <c r="D2456" s="3">
        <v>42713</v>
      </c>
      <c r="E2456" s="1">
        <v>54.33</v>
      </c>
      <c r="F2456" s="1">
        <v>51.5</v>
      </c>
      <c r="G2456" s="1">
        <v>1.6374</v>
      </c>
      <c r="H2456" s="1">
        <v>1.5073000000000001</v>
      </c>
      <c r="I2456" s="1">
        <v>3.746</v>
      </c>
      <c r="J2456" s="1">
        <v>3.3769999999999998</v>
      </c>
    </row>
    <row r="2457" spans="2:10" x14ac:dyDescent="0.3">
      <c r="B2457" s="10">
        <f t="shared" si="76"/>
        <v>2016</v>
      </c>
      <c r="C2457" s="10">
        <f t="shared" si="77"/>
        <v>12</v>
      </c>
      <c r="D2457" s="3">
        <v>42712</v>
      </c>
      <c r="E2457" s="1">
        <v>53.89</v>
      </c>
      <c r="F2457" s="1">
        <v>50.84</v>
      </c>
      <c r="G2457" s="1">
        <v>1.6258999999999999</v>
      </c>
      <c r="H2457" s="1">
        <v>1.5046999999999999</v>
      </c>
      <c r="I2457" s="1">
        <v>3.6949999999999998</v>
      </c>
      <c r="J2457" s="1">
        <v>3.375</v>
      </c>
    </row>
    <row r="2458" spans="2:10" x14ac:dyDescent="0.3">
      <c r="B2458" s="10">
        <f t="shared" si="76"/>
        <v>2016</v>
      </c>
      <c r="C2458" s="10">
        <f t="shared" si="77"/>
        <v>12</v>
      </c>
      <c r="D2458" s="3">
        <v>42711</v>
      </c>
      <c r="E2458" s="1">
        <v>53</v>
      </c>
      <c r="F2458" s="1">
        <v>49.77</v>
      </c>
      <c r="G2458" s="1">
        <v>1.6184000000000001</v>
      </c>
      <c r="H2458" s="1">
        <v>1.5082</v>
      </c>
      <c r="I2458" s="1">
        <v>3.6030000000000002</v>
      </c>
      <c r="J2458" s="1">
        <v>3.3824999999999998</v>
      </c>
    </row>
    <row r="2459" spans="2:10" x14ac:dyDescent="0.3">
      <c r="B2459" s="10">
        <f t="shared" si="76"/>
        <v>2016</v>
      </c>
      <c r="C2459" s="10">
        <f t="shared" si="77"/>
        <v>12</v>
      </c>
      <c r="D2459" s="3">
        <v>42710</v>
      </c>
      <c r="E2459" s="1">
        <v>53.93</v>
      </c>
      <c r="F2459" s="1">
        <v>50.93</v>
      </c>
      <c r="G2459" s="1">
        <v>1.6378999999999999</v>
      </c>
      <c r="H2459" s="1">
        <v>1.5359</v>
      </c>
      <c r="I2459" s="1">
        <v>3.6349999999999998</v>
      </c>
      <c r="J2459" s="1">
        <v>3.4075000000000002</v>
      </c>
    </row>
    <row r="2460" spans="2:10" x14ac:dyDescent="0.3">
      <c r="B2460" s="10">
        <f t="shared" si="76"/>
        <v>2016</v>
      </c>
      <c r="C2460" s="10">
        <f t="shared" si="77"/>
        <v>12</v>
      </c>
      <c r="D2460" s="3">
        <v>42709</v>
      </c>
      <c r="E2460" s="1">
        <v>54.94</v>
      </c>
      <c r="F2460" s="1">
        <v>51.79</v>
      </c>
      <c r="G2460" s="1">
        <v>1.6571</v>
      </c>
      <c r="H2460" s="1">
        <v>1.5575000000000001</v>
      </c>
      <c r="I2460" s="1">
        <v>3.6539999999999999</v>
      </c>
      <c r="J2460" s="1">
        <v>3.4201000000000001</v>
      </c>
    </row>
    <row r="2461" spans="2:10" x14ac:dyDescent="0.3">
      <c r="B2461" s="10">
        <f t="shared" si="76"/>
        <v>2016</v>
      </c>
      <c r="C2461" s="10">
        <f t="shared" si="77"/>
        <v>12</v>
      </c>
      <c r="D2461" s="3">
        <v>42706</v>
      </c>
      <c r="E2461" s="1">
        <v>54.46</v>
      </c>
      <c r="F2461" s="1">
        <v>51.68</v>
      </c>
      <c r="G2461" s="1">
        <v>1.6580999999999999</v>
      </c>
      <c r="H2461" s="1">
        <v>1.5590999999999999</v>
      </c>
      <c r="I2461" s="1">
        <v>3.4359999999999999</v>
      </c>
      <c r="J2461" s="1">
        <v>3.4750000000000001</v>
      </c>
    </row>
    <row r="2462" spans="2:10" x14ac:dyDescent="0.3">
      <c r="B2462" s="10">
        <f t="shared" si="76"/>
        <v>2016</v>
      </c>
      <c r="C2462" s="10">
        <f t="shared" si="77"/>
        <v>12</v>
      </c>
      <c r="D2462" s="3">
        <v>42705</v>
      </c>
      <c r="E2462" s="1">
        <v>53.94</v>
      </c>
      <c r="F2462" s="1">
        <v>51.06</v>
      </c>
      <c r="G2462" s="1">
        <v>1.6478999999999999</v>
      </c>
      <c r="H2462" s="1">
        <v>1.5469999999999999</v>
      </c>
      <c r="I2462" s="1">
        <v>3.5049999999999999</v>
      </c>
      <c r="J2462" s="1">
        <v>3.4702999999999999</v>
      </c>
    </row>
    <row r="2463" spans="2:10" x14ac:dyDescent="0.3">
      <c r="B2463" s="10">
        <f t="shared" si="76"/>
        <v>2016</v>
      </c>
      <c r="C2463" s="10">
        <f t="shared" si="77"/>
        <v>11</v>
      </c>
      <c r="D2463" s="3">
        <v>42704</v>
      </c>
      <c r="E2463" s="1">
        <v>50.47</v>
      </c>
      <c r="F2463" s="1">
        <v>49.44</v>
      </c>
      <c r="G2463" s="1">
        <v>1.5709</v>
      </c>
      <c r="H2463" s="1">
        <v>1.4907999999999999</v>
      </c>
      <c r="I2463" s="1">
        <v>3.3519999999999999</v>
      </c>
      <c r="J2463" s="1">
        <v>3.3826999999999998</v>
      </c>
    </row>
    <row r="2464" spans="2:10" x14ac:dyDescent="0.3">
      <c r="B2464" s="10">
        <f t="shared" si="76"/>
        <v>2016</v>
      </c>
      <c r="C2464" s="10">
        <f t="shared" si="77"/>
        <v>11</v>
      </c>
      <c r="D2464" s="3">
        <v>42703</v>
      </c>
      <c r="E2464" s="1">
        <v>46.38</v>
      </c>
      <c r="F2464" s="1">
        <v>45.23</v>
      </c>
      <c r="G2464" s="1">
        <v>1.4626999999999999</v>
      </c>
      <c r="H2464" s="1">
        <v>1.3771</v>
      </c>
      <c r="I2464" s="1">
        <v>3.3149999999999999</v>
      </c>
      <c r="J2464" s="1">
        <v>3.3975</v>
      </c>
    </row>
    <row r="2465" spans="2:10" x14ac:dyDescent="0.3">
      <c r="B2465" s="10">
        <f t="shared" si="76"/>
        <v>2016</v>
      </c>
      <c r="C2465" s="10">
        <f t="shared" si="77"/>
        <v>11</v>
      </c>
      <c r="D2465" s="3">
        <v>42702</v>
      </c>
      <c r="E2465" s="1">
        <v>48.24</v>
      </c>
      <c r="F2465" s="1">
        <v>47.08</v>
      </c>
      <c r="G2465" s="1">
        <v>1.5127999999999999</v>
      </c>
      <c r="H2465" s="1">
        <v>1.4127000000000001</v>
      </c>
      <c r="I2465" s="1">
        <v>3.2320000000000002</v>
      </c>
      <c r="J2465" s="1">
        <v>3.3843999999999999</v>
      </c>
    </row>
    <row r="2466" spans="2:10" x14ac:dyDescent="0.3">
      <c r="B2466" s="10">
        <f t="shared" si="76"/>
        <v>2016</v>
      </c>
      <c r="C2466" s="10">
        <f t="shared" si="77"/>
        <v>11</v>
      </c>
      <c r="D2466" s="3">
        <v>42699</v>
      </c>
      <c r="E2466" s="1">
        <v>47.24</v>
      </c>
      <c r="F2466" s="1">
        <v>46.06</v>
      </c>
      <c r="G2466" s="1">
        <v>1.47</v>
      </c>
      <c r="H2466" s="1">
        <v>1.3727</v>
      </c>
      <c r="I2466" s="1">
        <v>3.085</v>
      </c>
      <c r="J2466" s="1">
        <v>3.4207999999999998</v>
      </c>
    </row>
    <row r="2467" spans="2:10" x14ac:dyDescent="0.3">
      <c r="B2467" s="10">
        <f t="shared" si="76"/>
        <v>2016</v>
      </c>
      <c r="C2467" s="10">
        <f t="shared" si="77"/>
        <v>11</v>
      </c>
      <c r="D2467" s="3">
        <v>42698</v>
      </c>
      <c r="E2467" s="1">
        <v>49</v>
      </c>
      <c r="J2467" s="1">
        <v>3.3904999999999998</v>
      </c>
    </row>
    <row r="2468" spans="2:10" x14ac:dyDescent="0.3">
      <c r="B2468" s="10">
        <f t="shared" si="76"/>
        <v>2016</v>
      </c>
      <c r="C2468" s="10">
        <f t="shared" si="77"/>
        <v>11</v>
      </c>
      <c r="D2468" s="3">
        <v>42697</v>
      </c>
      <c r="E2468" s="1">
        <v>48.95</v>
      </c>
      <c r="F2468" s="1">
        <v>47.96</v>
      </c>
      <c r="G2468" s="1">
        <v>1.5168999999999999</v>
      </c>
      <c r="H2468" s="1">
        <v>1.4217</v>
      </c>
      <c r="I2468" s="1">
        <v>3.0259999999999998</v>
      </c>
      <c r="J2468" s="1">
        <v>3.3929999999999998</v>
      </c>
    </row>
    <row r="2469" spans="2:10" x14ac:dyDescent="0.3">
      <c r="B2469" s="10">
        <f t="shared" si="76"/>
        <v>2016</v>
      </c>
      <c r="C2469" s="10">
        <f t="shared" si="77"/>
        <v>11</v>
      </c>
      <c r="D2469" s="3">
        <v>42696</v>
      </c>
      <c r="E2469" s="1">
        <v>49.12</v>
      </c>
      <c r="F2469" s="1">
        <v>48.03</v>
      </c>
      <c r="G2469" s="1">
        <v>1.5263</v>
      </c>
      <c r="H2469" s="1">
        <v>1.4097999999999999</v>
      </c>
      <c r="I2469" s="1">
        <v>2.9820000000000002</v>
      </c>
      <c r="J2469" s="1">
        <v>3.3540000000000001</v>
      </c>
    </row>
    <row r="2470" spans="2:10" x14ac:dyDescent="0.3">
      <c r="B2470" s="10">
        <f t="shared" si="76"/>
        <v>2016</v>
      </c>
      <c r="C2470" s="10">
        <f t="shared" si="77"/>
        <v>11</v>
      </c>
      <c r="D2470" s="3">
        <v>42695</v>
      </c>
      <c r="E2470" s="1">
        <v>48.9</v>
      </c>
      <c r="F2470" s="1">
        <v>47.49</v>
      </c>
      <c r="G2470" s="1">
        <v>1.5245</v>
      </c>
      <c r="H2470" s="1">
        <v>1.3965000000000001</v>
      </c>
      <c r="I2470" s="1">
        <v>2.95</v>
      </c>
      <c r="J2470" s="1">
        <v>3.3511000000000002</v>
      </c>
    </row>
    <row r="2471" spans="2:10" x14ac:dyDescent="0.3">
      <c r="B2471" s="10">
        <f t="shared" si="76"/>
        <v>2016</v>
      </c>
      <c r="C2471" s="10">
        <f t="shared" si="77"/>
        <v>11</v>
      </c>
      <c r="D2471" s="3">
        <v>42692</v>
      </c>
      <c r="E2471" s="1">
        <v>46.86</v>
      </c>
      <c r="F2471" s="1">
        <v>45.69</v>
      </c>
      <c r="G2471" s="1">
        <v>1.4577</v>
      </c>
      <c r="H2471" s="1">
        <v>1.3391</v>
      </c>
      <c r="I2471" s="1">
        <v>2.843</v>
      </c>
      <c r="J2471" s="1">
        <v>3.3824999999999998</v>
      </c>
    </row>
    <row r="2472" spans="2:10" x14ac:dyDescent="0.3">
      <c r="B2472" s="10">
        <f t="shared" si="76"/>
        <v>2016</v>
      </c>
      <c r="C2472" s="10">
        <f t="shared" si="77"/>
        <v>11</v>
      </c>
      <c r="D2472" s="3">
        <v>42691</v>
      </c>
      <c r="E2472" s="1">
        <v>46.49</v>
      </c>
      <c r="F2472" s="1">
        <v>45.42</v>
      </c>
      <c r="G2472" s="1">
        <v>1.4470000000000001</v>
      </c>
      <c r="H2472" s="1">
        <v>1.343</v>
      </c>
      <c r="I2472" s="1">
        <v>2.7029999999999998</v>
      </c>
      <c r="J2472" s="1">
        <v>3.4178000000000002</v>
      </c>
    </row>
    <row r="2473" spans="2:10" x14ac:dyDescent="0.3">
      <c r="B2473" s="10">
        <f t="shared" si="76"/>
        <v>2016</v>
      </c>
      <c r="C2473" s="10">
        <f t="shared" si="77"/>
        <v>11</v>
      </c>
      <c r="D2473" s="3">
        <v>42690</v>
      </c>
      <c r="E2473" s="1">
        <v>46.63</v>
      </c>
      <c r="F2473" s="1">
        <v>45.57</v>
      </c>
      <c r="G2473" s="1">
        <v>1.4350000000000001</v>
      </c>
      <c r="H2473" s="1">
        <v>1.3190999999999999</v>
      </c>
      <c r="I2473" s="1">
        <v>2.7639999999999998</v>
      </c>
      <c r="J2473" s="1">
        <v>3.419</v>
      </c>
    </row>
    <row r="2474" spans="2:10" x14ac:dyDescent="0.3">
      <c r="B2474" s="10">
        <f t="shared" si="76"/>
        <v>2016</v>
      </c>
      <c r="C2474" s="10">
        <f t="shared" si="77"/>
        <v>11</v>
      </c>
      <c r="D2474" s="3">
        <v>42689</v>
      </c>
      <c r="E2474" s="1">
        <v>46.95</v>
      </c>
      <c r="F2474" s="1">
        <v>45.81</v>
      </c>
      <c r="G2474" s="1">
        <v>1.4439</v>
      </c>
      <c r="H2474" s="1">
        <v>1.335</v>
      </c>
      <c r="I2474" s="1">
        <v>2.7090000000000001</v>
      </c>
      <c r="J2474" s="1">
        <v>3.4388999999999998</v>
      </c>
    </row>
    <row r="2475" spans="2:10" x14ac:dyDescent="0.3">
      <c r="B2475" s="10">
        <f t="shared" si="76"/>
        <v>2016</v>
      </c>
      <c r="C2475" s="10">
        <f t="shared" si="77"/>
        <v>11</v>
      </c>
      <c r="D2475" s="3">
        <v>42688</v>
      </c>
      <c r="E2475" s="1">
        <v>44.43</v>
      </c>
      <c r="F2475" s="1">
        <v>43.32</v>
      </c>
      <c r="G2475" s="1">
        <v>1.3855</v>
      </c>
      <c r="H2475" s="1">
        <v>1.2778</v>
      </c>
      <c r="I2475" s="1">
        <v>2.7490000000000001</v>
      </c>
      <c r="J2475" s="1">
        <v>3.4316</v>
      </c>
    </row>
    <row r="2476" spans="2:10" x14ac:dyDescent="0.3">
      <c r="B2476" s="10">
        <f t="shared" si="76"/>
        <v>2016</v>
      </c>
      <c r="C2476" s="10">
        <f t="shared" si="77"/>
        <v>11</v>
      </c>
      <c r="D2476" s="3">
        <v>42685</v>
      </c>
      <c r="E2476" s="1">
        <v>44.75</v>
      </c>
      <c r="F2476" s="1">
        <v>43.41</v>
      </c>
      <c r="G2476" s="1">
        <v>1.4012</v>
      </c>
      <c r="H2476" s="1">
        <v>1.3052999999999999</v>
      </c>
      <c r="I2476" s="1">
        <v>2.6190000000000002</v>
      </c>
      <c r="J2476" s="1">
        <v>3.39</v>
      </c>
    </row>
    <row r="2477" spans="2:10" x14ac:dyDescent="0.3">
      <c r="B2477" s="10">
        <f t="shared" si="76"/>
        <v>2016</v>
      </c>
      <c r="C2477" s="10">
        <f t="shared" si="77"/>
        <v>11</v>
      </c>
      <c r="D2477" s="3">
        <v>42684</v>
      </c>
      <c r="E2477" s="1">
        <v>45.84</v>
      </c>
      <c r="F2477" s="1">
        <v>44.66</v>
      </c>
      <c r="G2477" s="1">
        <v>1.4366000000000001</v>
      </c>
      <c r="H2477" s="1">
        <v>1.3376999999999999</v>
      </c>
      <c r="I2477" s="1">
        <v>2.6320000000000001</v>
      </c>
      <c r="J2477" s="1">
        <v>3.3849</v>
      </c>
    </row>
    <row r="2478" spans="2:10" x14ac:dyDescent="0.3">
      <c r="B2478" s="10">
        <f t="shared" si="76"/>
        <v>2016</v>
      </c>
      <c r="C2478" s="10">
        <f t="shared" si="77"/>
        <v>11</v>
      </c>
      <c r="D2478" s="3">
        <v>42683</v>
      </c>
      <c r="E2478" s="1">
        <v>46.36</v>
      </c>
      <c r="F2478" s="1">
        <v>45.27</v>
      </c>
      <c r="G2478" s="1">
        <v>1.4411</v>
      </c>
      <c r="H2478" s="1">
        <v>1.3572</v>
      </c>
      <c r="I2478" s="1">
        <v>2.69</v>
      </c>
      <c r="J2478" s="1">
        <v>3.2157</v>
      </c>
    </row>
    <row r="2479" spans="2:10" x14ac:dyDescent="0.3">
      <c r="B2479" s="10">
        <f t="shared" si="76"/>
        <v>2016</v>
      </c>
      <c r="C2479" s="10">
        <f t="shared" si="77"/>
        <v>11</v>
      </c>
      <c r="D2479" s="3">
        <v>42682</v>
      </c>
      <c r="E2479" s="1">
        <v>46.04</v>
      </c>
      <c r="F2479" s="1">
        <v>44.98</v>
      </c>
      <c r="G2479" s="1">
        <v>1.4411</v>
      </c>
      <c r="H2479" s="1">
        <v>1.3692</v>
      </c>
      <c r="I2479" s="1">
        <v>2.633</v>
      </c>
      <c r="J2479" s="1">
        <v>3.1680000000000001</v>
      </c>
    </row>
    <row r="2480" spans="2:10" x14ac:dyDescent="0.3">
      <c r="B2480" s="10">
        <f t="shared" si="76"/>
        <v>2016</v>
      </c>
      <c r="C2480" s="10">
        <f t="shared" si="77"/>
        <v>11</v>
      </c>
      <c r="D2480" s="3">
        <v>42681</v>
      </c>
      <c r="E2480" s="1">
        <v>46.15</v>
      </c>
      <c r="F2480" s="1">
        <v>44.89</v>
      </c>
      <c r="G2480" s="1">
        <v>1.4406000000000001</v>
      </c>
      <c r="H2480" s="1">
        <v>1.371</v>
      </c>
      <c r="I2480" s="1">
        <v>2.8159999999999998</v>
      </c>
      <c r="J2480" s="1">
        <v>3.2004999999999999</v>
      </c>
    </row>
    <row r="2481" spans="2:10" x14ac:dyDescent="0.3">
      <c r="B2481" s="10">
        <f t="shared" si="76"/>
        <v>2016</v>
      </c>
      <c r="C2481" s="10">
        <f t="shared" si="77"/>
        <v>11</v>
      </c>
      <c r="D2481" s="3">
        <v>42678</v>
      </c>
      <c r="E2481" s="1">
        <v>45.58</v>
      </c>
      <c r="F2481" s="1">
        <v>44.07</v>
      </c>
      <c r="G2481" s="1">
        <v>1.4302999999999999</v>
      </c>
      <c r="H2481" s="1">
        <v>1.3786</v>
      </c>
      <c r="I2481" s="1">
        <v>2.7669999999999999</v>
      </c>
      <c r="J2481" s="1">
        <v>3.2322000000000002</v>
      </c>
    </row>
    <row r="2482" spans="2:10" x14ac:dyDescent="0.3">
      <c r="B2482" s="10">
        <f t="shared" si="76"/>
        <v>2016</v>
      </c>
      <c r="C2482" s="10">
        <f t="shared" si="77"/>
        <v>11</v>
      </c>
      <c r="D2482" s="3">
        <v>42677</v>
      </c>
      <c r="E2482" s="1">
        <v>46.35</v>
      </c>
      <c r="F2482" s="1">
        <v>44.66</v>
      </c>
      <c r="G2482" s="1">
        <v>1.4581999999999999</v>
      </c>
      <c r="H2482" s="1">
        <v>1.4245000000000001</v>
      </c>
      <c r="I2482" s="1">
        <v>2.7690000000000001</v>
      </c>
      <c r="J2482" s="1">
        <v>3.2410000000000001</v>
      </c>
    </row>
    <row r="2483" spans="2:10" x14ac:dyDescent="0.3">
      <c r="B2483" s="10">
        <f t="shared" si="76"/>
        <v>2016</v>
      </c>
      <c r="C2483" s="10">
        <f t="shared" si="77"/>
        <v>11</v>
      </c>
      <c r="D2483" s="3">
        <v>42676</v>
      </c>
      <c r="E2483" s="1">
        <v>46.86</v>
      </c>
      <c r="F2483" s="1">
        <v>45.34</v>
      </c>
      <c r="G2483" s="1">
        <v>1.4664999999999999</v>
      </c>
      <c r="H2483" s="1">
        <v>1.4479</v>
      </c>
      <c r="I2483" s="1">
        <v>2.7919999999999998</v>
      </c>
      <c r="J2483" s="1">
        <v>3.2343999999999999</v>
      </c>
    </row>
    <row r="2484" spans="2:10" x14ac:dyDescent="0.3">
      <c r="B2484" s="10">
        <f t="shared" si="76"/>
        <v>2016</v>
      </c>
      <c r="C2484" s="10">
        <f t="shared" si="77"/>
        <v>11</v>
      </c>
      <c r="D2484" s="3">
        <v>42675</v>
      </c>
      <c r="E2484" s="1">
        <v>48.14</v>
      </c>
      <c r="F2484" s="1">
        <v>46.67</v>
      </c>
      <c r="G2484" s="1">
        <v>1.5168999999999999</v>
      </c>
      <c r="H2484" s="1">
        <v>1.4841</v>
      </c>
      <c r="I2484" s="1">
        <v>2.9020000000000001</v>
      </c>
      <c r="J2484" s="1">
        <v>3.2355</v>
      </c>
    </row>
    <row r="2485" spans="2:10" x14ac:dyDescent="0.3">
      <c r="B2485" s="10">
        <f t="shared" si="76"/>
        <v>2016</v>
      </c>
      <c r="C2485" s="10">
        <f t="shared" si="77"/>
        <v>10</v>
      </c>
      <c r="D2485" s="3">
        <v>42674</v>
      </c>
      <c r="E2485" s="1">
        <v>48.3</v>
      </c>
      <c r="F2485" s="1">
        <v>46.86</v>
      </c>
      <c r="G2485" s="1">
        <v>1.4955000000000001</v>
      </c>
      <c r="H2485" s="1">
        <v>1.4495</v>
      </c>
      <c r="I2485" s="1">
        <v>3.0259999999999998</v>
      </c>
      <c r="J2485" s="1">
        <v>3.1878000000000002</v>
      </c>
    </row>
    <row r="2486" spans="2:10" x14ac:dyDescent="0.3">
      <c r="B2486" s="10">
        <f t="shared" si="76"/>
        <v>2016</v>
      </c>
      <c r="C2486" s="10">
        <f t="shared" si="77"/>
        <v>10</v>
      </c>
      <c r="D2486" s="3">
        <v>42671</v>
      </c>
      <c r="E2486" s="1">
        <v>49.71</v>
      </c>
      <c r="F2486" s="1">
        <v>48.7</v>
      </c>
      <c r="G2486" s="1">
        <v>1.5422</v>
      </c>
      <c r="H2486" s="1">
        <v>1.4691000000000001</v>
      </c>
      <c r="I2486" s="1">
        <v>3.105</v>
      </c>
      <c r="J2486" s="1">
        <v>3.2050000000000001</v>
      </c>
    </row>
    <row r="2487" spans="2:10" x14ac:dyDescent="0.3">
      <c r="B2487" s="10">
        <f t="shared" si="76"/>
        <v>2016</v>
      </c>
      <c r="C2487" s="10">
        <f t="shared" si="77"/>
        <v>10</v>
      </c>
      <c r="D2487" s="3">
        <v>42670</v>
      </c>
      <c r="E2487" s="1">
        <v>50.47</v>
      </c>
      <c r="F2487" s="1">
        <v>49.72</v>
      </c>
      <c r="G2487" s="1">
        <v>1.5701000000000001</v>
      </c>
      <c r="H2487" s="1">
        <v>1.4871000000000001</v>
      </c>
      <c r="I2487" s="1">
        <v>2.7639999999999998</v>
      </c>
      <c r="J2487" s="1">
        <v>3.1686000000000001</v>
      </c>
    </row>
    <row r="2488" spans="2:10" x14ac:dyDescent="0.3">
      <c r="B2488" s="10">
        <f t="shared" si="76"/>
        <v>2016</v>
      </c>
      <c r="C2488" s="10">
        <f t="shared" si="77"/>
        <v>10</v>
      </c>
      <c r="D2488" s="3">
        <v>42669</v>
      </c>
      <c r="E2488" s="1">
        <v>49.98</v>
      </c>
      <c r="F2488" s="1">
        <v>49.18</v>
      </c>
      <c r="G2488" s="1">
        <v>1.5510999999999999</v>
      </c>
      <c r="H2488" s="1">
        <v>1.4831000000000001</v>
      </c>
      <c r="I2488" s="1">
        <v>2.7309999999999999</v>
      </c>
      <c r="J2488" s="1">
        <v>3.1394000000000002</v>
      </c>
    </row>
    <row r="2489" spans="2:10" x14ac:dyDescent="0.3">
      <c r="B2489" s="10">
        <f t="shared" si="76"/>
        <v>2016</v>
      </c>
      <c r="C2489" s="10">
        <f t="shared" si="77"/>
        <v>10</v>
      </c>
      <c r="D2489" s="3">
        <v>42668</v>
      </c>
      <c r="E2489" s="1">
        <v>50.79</v>
      </c>
      <c r="F2489" s="1">
        <v>49.96</v>
      </c>
      <c r="G2489" s="1">
        <v>1.5630999999999999</v>
      </c>
      <c r="H2489" s="1">
        <v>1.5004999999999999</v>
      </c>
      <c r="I2489" s="1">
        <v>2.774</v>
      </c>
      <c r="J2489" s="1">
        <v>3.1135999999999999</v>
      </c>
    </row>
    <row r="2490" spans="2:10" x14ac:dyDescent="0.3">
      <c r="B2490" s="10">
        <f t="shared" si="76"/>
        <v>2016</v>
      </c>
      <c r="C2490" s="10">
        <f t="shared" si="77"/>
        <v>10</v>
      </c>
      <c r="D2490" s="3">
        <v>42667</v>
      </c>
      <c r="E2490" s="1">
        <v>51.46</v>
      </c>
      <c r="F2490" s="1">
        <v>50.52</v>
      </c>
      <c r="G2490" s="1">
        <v>1.5798000000000001</v>
      </c>
      <c r="H2490" s="1">
        <v>1.5038</v>
      </c>
      <c r="I2490" s="1">
        <v>2.831</v>
      </c>
      <c r="J2490" s="1">
        <v>3.1231</v>
      </c>
    </row>
    <row r="2491" spans="2:10" x14ac:dyDescent="0.3">
      <c r="B2491" s="10">
        <f t="shared" si="76"/>
        <v>2016</v>
      </c>
      <c r="C2491" s="10">
        <f t="shared" si="77"/>
        <v>10</v>
      </c>
      <c r="D2491" s="3">
        <v>42664</v>
      </c>
      <c r="E2491" s="1">
        <v>51.78</v>
      </c>
      <c r="F2491" s="1">
        <v>50.85</v>
      </c>
      <c r="G2491" s="1">
        <v>1.5740000000000001</v>
      </c>
      <c r="H2491" s="1">
        <v>1.5314000000000001</v>
      </c>
      <c r="I2491" s="1">
        <v>2.9929999999999999</v>
      </c>
      <c r="J2491" s="1">
        <v>3.1496</v>
      </c>
    </row>
    <row r="2492" spans="2:10" x14ac:dyDescent="0.3">
      <c r="B2492" s="10">
        <f t="shared" si="76"/>
        <v>2016</v>
      </c>
      <c r="C2492" s="10">
        <f t="shared" si="77"/>
        <v>10</v>
      </c>
      <c r="D2492" s="3">
        <v>42663</v>
      </c>
      <c r="E2492" s="1">
        <v>51.38</v>
      </c>
      <c r="F2492" s="1">
        <v>50.43</v>
      </c>
      <c r="G2492" s="1">
        <v>1.5596000000000001</v>
      </c>
      <c r="H2492" s="1">
        <v>1.4937</v>
      </c>
      <c r="I2492" s="1">
        <v>3.141</v>
      </c>
      <c r="J2492" s="1">
        <v>3.1417999999999999</v>
      </c>
    </row>
    <row r="2493" spans="2:10" x14ac:dyDescent="0.3">
      <c r="B2493" s="10">
        <f t="shared" si="76"/>
        <v>2016</v>
      </c>
      <c r="C2493" s="10">
        <f t="shared" si="77"/>
        <v>10</v>
      </c>
      <c r="D2493" s="3">
        <v>42662</v>
      </c>
      <c r="E2493" s="1">
        <v>52.67</v>
      </c>
      <c r="F2493" s="1">
        <v>51.6</v>
      </c>
      <c r="G2493" s="1">
        <v>1.5879000000000001</v>
      </c>
      <c r="H2493" s="1">
        <v>1.5136000000000001</v>
      </c>
      <c r="I2493" s="1">
        <v>3.17</v>
      </c>
      <c r="J2493" s="1">
        <v>3.1682000000000001</v>
      </c>
    </row>
    <row r="2494" spans="2:10" x14ac:dyDescent="0.3">
      <c r="B2494" s="10">
        <f t="shared" si="76"/>
        <v>2016</v>
      </c>
      <c r="C2494" s="10">
        <f t="shared" si="77"/>
        <v>10</v>
      </c>
      <c r="D2494" s="3">
        <v>42661</v>
      </c>
      <c r="E2494" s="1">
        <v>51.68</v>
      </c>
      <c r="F2494" s="1">
        <v>50.29</v>
      </c>
      <c r="G2494" s="1">
        <v>1.5686</v>
      </c>
      <c r="H2494" s="1">
        <v>1.5057</v>
      </c>
      <c r="I2494" s="1">
        <v>3.2629999999999999</v>
      </c>
      <c r="J2494" s="1">
        <v>3.1873</v>
      </c>
    </row>
    <row r="2495" spans="2:10" x14ac:dyDescent="0.3">
      <c r="B2495" s="10">
        <f t="shared" si="76"/>
        <v>2016</v>
      </c>
      <c r="C2495" s="10">
        <f t="shared" si="77"/>
        <v>10</v>
      </c>
      <c r="D2495" s="3">
        <v>42660</v>
      </c>
      <c r="E2495" s="1">
        <v>51.52</v>
      </c>
      <c r="F2495" s="1">
        <v>49.94</v>
      </c>
      <c r="G2495" s="1">
        <v>1.5561</v>
      </c>
      <c r="H2495" s="1">
        <v>1.4923999999999999</v>
      </c>
      <c r="I2495" s="1">
        <v>3.2440000000000002</v>
      </c>
      <c r="J2495" s="1">
        <v>3.2006999999999999</v>
      </c>
    </row>
    <row r="2496" spans="2:10" x14ac:dyDescent="0.3">
      <c r="B2496" s="10">
        <f t="shared" si="76"/>
        <v>2016</v>
      </c>
      <c r="C2496" s="10">
        <f t="shared" si="77"/>
        <v>10</v>
      </c>
      <c r="D2496" s="3">
        <v>42657</v>
      </c>
      <c r="E2496" s="1">
        <v>51.95</v>
      </c>
      <c r="F2496" s="1">
        <v>50.35</v>
      </c>
      <c r="G2496" s="1">
        <v>1.5672999999999999</v>
      </c>
      <c r="H2496" s="1">
        <v>1.4936</v>
      </c>
      <c r="I2496" s="1">
        <v>3.2850000000000001</v>
      </c>
      <c r="J2496" s="1">
        <v>3.2035999999999998</v>
      </c>
    </row>
    <row r="2497" spans="2:10" x14ac:dyDescent="0.3">
      <c r="B2497" s="10">
        <f t="shared" si="76"/>
        <v>2016</v>
      </c>
      <c r="C2497" s="10">
        <f t="shared" si="77"/>
        <v>10</v>
      </c>
      <c r="D2497" s="3">
        <v>42656</v>
      </c>
      <c r="E2497" s="1">
        <v>52.03</v>
      </c>
      <c r="F2497" s="1">
        <v>50.44</v>
      </c>
      <c r="G2497" s="1">
        <v>1.5795999999999999</v>
      </c>
      <c r="H2497" s="1">
        <v>1.4818</v>
      </c>
      <c r="I2497" s="1">
        <v>3.3410000000000002</v>
      </c>
      <c r="J2497" s="1">
        <v>3.177</v>
      </c>
    </row>
    <row r="2498" spans="2:10" x14ac:dyDescent="0.3">
      <c r="B2498" s="10">
        <f t="shared" si="76"/>
        <v>2016</v>
      </c>
      <c r="C2498" s="10">
        <f t="shared" si="77"/>
        <v>10</v>
      </c>
      <c r="D2498" s="3">
        <v>42655</v>
      </c>
      <c r="E2498" s="1">
        <v>51.81</v>
      </c>
      <c r="F2498" s="1">
        <v>50.18</v>
      </c>
      <c r="G2498" s="1">
        <v>1.5668</v>
      </c>
      <c r="H2498" s="1">
        <v>1.4619</v>
      </c>
      <c r="I2498" s="1">
        <v>3.21</v>
      </c>
      <c r="J2498" s="1">
        <v>3.2010000000000001</v>
      </c>
    </row>
    <row r="2499" spans="2:10" x14ac:dyDescent="0.3">
      <c r="B2499" s="10">
        <f t="shared" si="76"/>
        <v>2016</v>
      </c>
      <c r="C2499" s="10">
        <f t="shared" si="77"/>
        <v>10</v>
      </c>
      <c r="D2499" s="3">
        <v>42654</v>
      </c>
      <c r="E2499" s="1">
        <v>52.41</v>
      </c>
      <c r="F2499" s="1">
        <v>50.79</v>
      </c>
      <c r="G2499" s="1">
        <v>1.5872999999999999</v>
      </c>
      <c r="H2499" s="1">
        <v>1.4829000000000001</v>
      </c>
      <c r="I2499" s="1">
        <v>3.2370000000000001</v>
      </c>
      <c r="J2499" s="1">
        <v>3.1945999999999999</v>
      </c>
    </row>
    <row r="2500" spans="2:10" x14ac:dyDescent="0.3">
      <c r="B2500" s="10">
        <f t="shared" si="76"/>
        <v>2016</v>
      </c>
      <c r="C2500" s="10">
        <f t="shared" si="77"/>
        <v>10</v>
      </c>
      <c r="D2500" s="3">
        <v>42653</v>
      </c>
      <c r="E2500" s="1">
        <v>53.14</v>
      </c>
      <c r="F2500" s="1">
        <v>51.35</v>
      </c>
      <c r="G2500" s="1">
        <v>1.6102000000000001</v>
      </c>
      <c r="H2500" s="1">
        <v>1.4972000000000001</v>
      </c>
      <c r="I2500" s="1">
        <v>3.2749999999999999</v>
      </c>
      <c r="J2500" s="1">
        <v>3.2050000000000001</v>
      </c>
    </row>
    <row r="2501" spans="2:10" x14ac:dyDescent="0.3">
      <c r="B2501" s="10">
        <f t="shared" si="76"/>
        <v>2016</v>
      </c>
      <c r="C2501" s="10">
        <f t="shared" si="77"/>
        <v>10</v>
      </c>
      <c r="D2501" s="3">
        <v>42650</v>
      </c>
      <c r="E2501" s="1">
        <v>51.93</v>
      </c>
      <c r="F2501" s="1">
        <v>49.81</v>
      </c>
      <c r="G2501" s="1">
        <v>1.5792999999999999</v>
      </c>
      <c r="H2501" s="1">
        <v>1.4818</v>
      </c>
      <c r="I2501" s="1">
        <v>3.1930000000000001</v>
      </c>
      <c r="J2501" s="1">
        <v>3.2189999999999999</v>
      </c>
    </row>
    <row r="2502" spans="2:10" x14ac:dyDescent="0.3">
      <c r="B2502" s="10">
        <f t="shared" ref="B2502:B2565" si="78">YEAR(D2502)</f>
        <v>2016</v>
      </c>
      <c r="C2502" s="10">
        <f t="shared" ref="C2502:C2565" si="79">MONTH(D2502)</f>
        <v>10</v>
      </c>
      <c r="D2502" s="3">
        <v>42649</v>
      </c>
      <c r="E2502" s="1">
        <v>52.51</v>
      </c>
      <c r="F2502" s="1">
        <v>50.44</v>
      </c>
      <c r="G2502" s="1">
        <v>1.5958000000000001</v>
      </c>
      <c r="H2502" s="1">
        <v>1.4978</v>
      </c>
      <c r="I2502" s="1">
        <v>3.0489999999999999</v>
      </c>
      <c r="J2502" s="1">
        <v>3.2294999999999998</v>
      </c>
    </row>
    <row r="2503" spans="2:10" x14ac:dyDescent="0.3">
      <c r="B2503" s="10">
        <f t="shared" si="78"/>
        <v>2016</v>
      </c>
      <c r="C2503" s="10">
        <f t="shared" si="79"/>
        <v>10</v>
      </c>
      <c r="D2503" s="3">
        <v>42648</v>
      </c>
      <c r="E2503" s="1">
        <v>51.86</v>
      </c>
      <c r="F2503" s="1">
        <v>49.83</v>
      </c>
      <c r="G2503" s="1">
        <v>1.5823</v>
      </c>
      <c r="H2503" s="1">
        <v>1.4927999999999999</v>
      </c>
      <c r="I2503" s="1">
        <v>3.0409999999999999</v>
      </c>
      <c r="J2503" s="1">
        <v>3.2191000000000001</v>
      </c>
    </row>
    <row r="2504" spans="2:10" x14ac:dyDescent="0.3">
      <c r="B2504" s="10">
        <f t="shared" si="78"/>
        <v>2016</v>
      </c>
      <c r="C2504" s="10">
        <f t="shared" si="79"/>
        <v>10</v>
      </c>
      <c r="D2504" s="3">
        <v>42647</v>
      </c>
      <c r="E2504" s="1">
        <v>50.87</v>
      </c>
      <c r="F2504" s="1">
        <v>48.69</v>
      </c>
      <c r="G2504" s="1">
        <v>1.5544</v>
      </c>
      <c r="H2504" s="1">
        <v>1.4996</v>
      </c>
      <c r="I2504" s="1">
        <v>2.964</v>
      </c>
      <c r="J2504" s="1">
        <v>3.2563</v>
      </c>
    </row>
    <row r="2505" spans="2:10" x14ac:dyDescent="0.3">
      <c r="B2505" s="10">
        <f t="shared" si="78"/>
        <v>2016</v>
      </c>
      <c r="C2505" s="10">
        <f t="shared" si="79"/>
        <v>10</v>
      </c>
      <c r="D2505" s="3">
        <v>42646</v>
      </c>
      <c r="E2505" s="1">
        <v>50.89</v>
      </c>
      <c r="F2505" s="1">
        <v>48.81</v>
      </c>
      <c r="G2505" s="1">
        <v>1.5531999999999999</v>
      </c>
      <c r="H2505" s="1">
        <v>1.4704999999999999</v>
      </c>
      <c r="I2505" s="1">
        <v>2.923</v>
      </c>
      <c r="J2505" s="1">
        <v>3.2090000000000001</v>
      </c>
    </row>
    <row r="2506" spans="2:10" x14ac:dyDescent="0.3">
      <c r="B2506" s="10">
        <f t="shared" si="78"/>
        <v>2016</v>
      </c>
      <c r="C2506" s="10">
        <f t="shared" si="79"/>
        <v>9</v>
      </c>
      <c r="D2506" s="3">
        <v>42643</v>
      </c>
      <c r="E2506" s="1">
        <v>49.06</v>
      </c>
      <c r="F2506" s="1">
        <v>48.24</v>
      </c>
      <c r="G2506" s="1">
        <v>1.5279</v>
      </c>
      <c r="H2506" s="1">
        <v>1.4874000000000001</v>
      </c>
      <c r="I2506" s="1">
        <v>2.9060000000000001</v>
      </c>
      <c r="J2506" s="1">
        <v>3.2589000000000001</v>
      </c>
    </row>
    <row r="2507" spans="2:10" x14ac:dyDescent="0.3">
      <c r="B2507" s="10">
        <f t="shared" si="78"/>
        <v>2016</v>
      </c>
      <c r="C2507" s="10">
        <f t="shared" si="79"/>
        <v>9</v>
      </c>
      <c r="D2507" s="3">
        <v>42642</v>
      </c>
      <c r="E2507" s="1">
        <v>49.24</v>
      </c>
      <c r="F2507" s="1">
        <v>47.83</v>
      </c>
      <c r="G2507" s="1">
        <v>1.5102</v>
      </c>
      <c r="H2507" s="1">
        <v>1.4668000000000001</v>
      </c>
      <c r="I2507" s="1">
        <v>2.9590000000000001</v>
      </c>
      <c r="J2507" s="1">
        <v>3.258</v>
      </c>
    </row>
    <row r="2508" spans="2:10" x14ac:dyDescent="0.3">
      <c r="B2508" s="10">
        <f t="shared" si="78"/>
        <v>2016</v>
      </c>
      <c r="C2508" s="10">
        <f t="shared" si="79"/>
        <v>9</v>
      </c>
      <c r="D2508" s="3">
        <v>42641</v>
      </c>
      <c r="E2508" s="1">
        <v>48.69</v>
      </c>
      <c r="F2508" s="1">
        <v>47.05</v>
      </c>
      <c r="G2508" s="1">
        <v>1.4910000000000001</v>
      </c>
      <c r="H2508" s="1">
        <v>1.4777</v>
      </c>
      <c r="I2508" s="1">
        <v>2.952</v>
      </c>
      <c r="J2508" s="1">
        <v>3.2157</v>
      </c>
    </row>
    <row r="2509" spans="2:10" x14ac:dyDescent="0.3">
      <c r="B2509" s="10">
        <f t="shared" si="78"/>
        <v>2016</v>
      </c>
      <c r="C2509" s="10">
        <f t="shared" si="79"/>
        <v>9</v>
      </c>
      <c r="D2509" s="3">
        <v>42640</v>
      </c>
      <c r="E2509" s="1">
        <v>45.97</v>
      </c>
      <c r="F2509" s="1">
        <v>44.67</v>
      </c>
      <c r="G2509" s="1">
        <v>1.4098999999999999</v>
      </c>
      <c r="H2509" s="1">
        <v>1.3936999999999999</v>
      </c>
      <c r="I2509" s="1">
        <v>2.996</v>
      </c>
      <c r="J2509" s="1">
        <v>3.2334999999999998</v>
      </c>
    </row>
    <row r="2510" spans="2:10" x14ac:dyDescent="0.3">
      <c r="B2510" s="10">
        <f t="shared" si="78"/>
        <v>2016</v>
      </c>
      <c r="C2510" s="10">
        <f t="shared" si="79"/>
        <v>9</v>
      </c>
      <c r="D2510" s="3">
        <v>42639</v>
      </c>
      <c r="E2510" s="1">
        <v>47.35</v>
      </c>
      <c r="F2510" s="1">
        <v>45.93</v>
      </c>
      <c r="G2510" s="1">
        <v>1.4490000000000001</v>
      </c>
      <c r="H2510" s="1">
        <v>1.4024000000000001</v>
      </c>
      <c r="I2510" s="1">
        <v>2.9969999999999999</v>
      </c>
      <c r="J2510" s="1">
        <v>3.2391999999999999</v>
      </c>
    </row>
    <row r="2511" spans="2:10" x14ac:dyDescent="0.3">
      <c r="B2511" s="10">
        <f t="shared" si="78"/>
        <v>2016</v>
      </c>
      <c r="C2511" s="10">
        <f t="shared" si="79"/>
        <v>9</v>
      </c>
      <c r="D2511" s="3">
        <v>42636</v>
      </c>
      <c r="E2511" s="1">
        <v>45.89</v>
      </c>
      <c r="F2511" s="1">
        <v>44.48</v>
      </c>
      <c r="G2511" s="1">
        <v>1.4073</v>
      </c>
      <c r="H2511" s="1">
        <v>1.3769</v>
      </c>
      <c r="I2511" s="1">
        <v>2.9550000000000001</v>
      </c>
      <c r="J2511" s="1">
        <v>3.2437999999999998</v>
      </c>
    </row>
    <row r="2512" spans="2:10" x14ac:dyDescent="0.3">
      <c r="B2512" s="10">
        <f t="shared" si="78"/>
        <v>2016</v>
      </c>
      <c r="C2512" s="10">
        <f t="shared" si="79"/>
        <v>9</v>
      </c>
      <c r="D2512" s="3">
        <v>42635</v>
      </c>
      <c r="E2512" s="1">
        <v>47.65</v>
      </c>
      <c r="F2512" s="1">
        <v>46.32</v>
      </c>
      <c r="G2512" s="1">
        <v>1.4541999999999999</v>
      </c>
      <c r="H2512" s="1">
        <v>1.4017999999999999</v>
      </c>
      <c r="I2512" s="1">
        <v>2.99</v>
      </c>
      <c r="J2512" s="1">
        <v>3.2199</v>
      </c>
    </row>
    <row r="2513" spans="2:10" x14ac:dyDescent="0.3">
      <c r="B2513" s="10">
        <f t="shared" si="78"/>
        <v>2016</v>
      </c>
      <c r="C2513" s="10">
        <f t="shared" si="79"/>
        <v>9</v>
      </c>
      <c r="D2513" s="3">
        <v>42634</v>
      </c>
      <c r="E2513" s="1">
        <v>46.83</v>
      </c>
      <c r="F2513" s="1">
        <v>45.34</v>
      </c>
      <c r="G2513" s="1">
        <v>1.429</v>
      </c>
      <c r="H2513" s="1">
        <v>1.399</v>
      </c>
      <c r="I2513" s="1">
        <v>3.0569999999999999</v>
      </c>
      <c r="J2513" s="1">
        <v>3.2056</v>
      </c>
    </row>
    <row r="2514" spans="2:10" x14ac:dyDescent="0.3">
      <c r="B2514" s="10">
        <f t="shared" si="78"/>
        <v>2016</v>
      </c>
      <c r="C2514" s="10">
        <f t="shared" si="79"/>
        <v>9</v>
      </c>
      <c r="D2514" s="3">
        <v>42633</v>
      </c>
      <c r="E2514" s="1">
        <v>45.88</v>
      </c>
      <c r="F2514" s="1">
        <v>43.44</v>
      </c>
      <c r="G2514" s="1">
        <v>1.405</v>
      </c>
      <c r="H2514" s="1">
        <v>1.3646</v>
      </c>
      <c r="I2514" s="1">
        <v>3.0470000000000002</v>
      </c>
      <c r="J2514" s="1">
        <v>3.2576000000000001</v>
      </c>
    </row>
    <row r="2515" spans="2:10" x14ac:dyDescent="0.3">
      <c r="B2515" s="10">
        <f t="shared" si="78"/>
        <v>2016</v>
      </c>
      <c r="C2515" s="10">
        <f t="shared" si="79"/>
        <v>9</v>
      </c>
      <c r="D2515" s="3">
        <v>42632</v>
      </c>
      <c r="E2515" s="1">
        <v>45.95</v>
      </c>
      <c r="F2515" s="1">
        <v>43.3</v>
      </c>
      <c r="G2515" s="1">
        <v>1.3944000000000001</v>
      </c>
      <c r="H2515" s="1">
        <v>1.4208000000000001</v>
      </c>
      <c r="I2515" s="1">
        <v>2.9340000000000002</v>
      </c>
      <c r="J2515" s="1">
        <v>3.2725</v>
      </c>
    </row>
    <row r="2516" spans="2:10" x14ac:dyDescent="0.3">
      <c r="B2516" s="10">
        <f t="shared" si="78"/>
        <v>2016</v>
      </c>
      <c r="C2516" s="10">
        <f t="shared" si="79"/>
        <v>9</v>
      </c>
      <c r="D2516" s="3">
        <v>42629</v>
      </c>
      <c r="E2516" s="1">
        <v>45.77</v>
      </c>
      <c r="F2516" s="1">
        <v>43.03</v>
      </c>
      <c r="G2516" s="1">
        <v>1.4051</v>
      </c>
      <c r="H2516" s="1">
        <v>1.4616</v>
      </c>
      <c r="I2516" s="1">
        <v>2.948</v>
      </c>
      <c r="J2516" s="1">
        <v>3.2614999999999998</v>
      </c>
    </row>
    <row r="2517" spans="2:10" x14ac:dyDescent="0.3">
      <c r="B2517" s="10">
        <f t="shared" si="78"/>
        <v>2016</v>
      </c>
      <c r="C2517" s="10">
        <f t="shared" si="79"/>
        <v>9</v>
      </c>
      <c r="D2517" s="3">
        <v>42628</v>
      </c>
      <c r="E2517" s="1">
        <v>46.59</v>
      </c>
      <c r="F2517" s="1">
        <v>43.91</v>
      </c>
      <c r="G2517" s="1">
        <v>1.4161999999999999</v>
      </c>
      <c r="H2517" s="1">
        <v>1.4301999999999999</v>
      </c>
      <c r="I2517" s="1">
        <v>2.927</v>
      </c>
      <c r="J2517" s="1">
        <v>3.3018999999999998</v>
      </c>
    </row>
    <row r="2518" spans="2:10" x14ac:dyDescent="0.3">
      <c r="B2518" s="10">
        <f t="shared" si="78"/>
        <v>2016</v>
      </c>
      <c r="C2518" s="10">
        <f t="shared" si="79"/>
        <v>9</v>
      </c>
      <c r="D2518" s="3">
        <v>42627</v>
      </c>
      <c r="E2518" s="1">
        <v>45.85</v>
      </c>
      <c r="F2518" s="1">
        <v>43.58</v>
      </c>
      <c r="G2518" s="1">
        <v>1.3816999999999999</v>
      </c>
      <c r="H2518" s="1">
        <v>1.3614999999999999</v>
      </c>
      <c r="I2518" s="1">
        <v>2.8889999999999998</v>
      </c>
      <c r="J2518" s="1">
        <v>3.3420000000000001</v>
      </c>
    </row>
    <row r="2519" spans="2:10" x14ac:dyDescent="0.3">
      <c r="B2519" s="10">
        <f t="shared" si="78"/>
        <v>2016</v>
      </c>
      <c r="C2519" s="10">
        <f t="shared" si="79"/>
        <v>9</v>
      </c>
      <c r="D2519" s="3">
        <v>42626</v>
      </c>
      <c r="E2519" s="1">
        <v>47.1</v>
      </c>
      <c r="F2519" s="1">
        <v>44.9</v>
      </c>
      <c r="G2519" s="1">
        <v>1.4229000000000001</v>
      </c>
      <c r="H2519" s="1">
        <v>1.3765000000000001</v>
      </c>
      <c r="I2519" s="1">
        <v>2.9089999999999998</v>
      </c>
      <c r="J2519" s="1">
        <v>3.3130999999999999</v>
      </c>
    </row>
    <row r="2520" spans="2:10" x14ac:dyDescent="0.3">
      <c r="B2520" s="10">
        <f t="shared" si="78"/>
        <v>2016</v>
      </c>
      <c r="C2520" s="10">
        <f t="shared" si="79"/>
        <v>9</v>
      </c>
      <c r="D2520" s="3">
        <v>42625</v>
      </c>
      <c r="E2520" s="1">
        <v>48.32</v>
      </c>
      <c r="F2520" s="1">
        <v>46.29</v>
      </c>
      <c r="G2520" s="1">
        <v>1.4415</v>
      </c>
      <c r="H2520" s="1">
        <v>1.3898999999999999</v>
      </c>
      <c r="I2520" s="1">
        <v>2.915</v>
      </c>
      <c r="J2520" s="1">
        <v>3.2452000000000001</v>
      </c>
    </row>
    <row r="2521" spans="2:10" x14ac:dyDescent="0.3">
      <c r="B2521" s="10">
        <f t="shared" si="78"/>
        <v>2016</v>
      </c>
      <c r="C2521" s="10">
        <f t="shared" si="79"/>
        <v>9</v>
      </c>
      <c r="D2521" s="3">
        <v>42622</v>
      </c>
      <c r="E2521" s="1">
        <v>48.01</v>
      </c>
      <c r="F2521" s="1">
        <v>45.88</v>
      </c>
      <c r="G2521" s="1">
        <v>1.4303999999999999</v>
      </c>
      <c r="H2521" s="1">
        <v>1.3611</v>
      </c>
      <c r="I2521" s="1">
        <v>2.7970000000000002</v>
      </c>
      <c r="J2521" s="1">
        <v>3.2719999999999998</v>
      </c>
    </row>
    <row r="2522" spans="2:10" x14ac:dyDescent="0.3">
      <c r="B2522" s="10">
        <f t="shared" si="78"/>
        <v>2016</v>
      </c>
      <c r="C2522" s="10">
        <f t="shared" si="79"/>
        <v>9</v>
      </c>
      <c r="D2522" s="3">
        <v>42621</v>
      </c>
      <c r="E2522" s="1">
        <v>49.99</v>
      </c>
      <c r="F2522" s="1">
        <v>47.62</v>
      </c>
      <c r="G2522" s="1">
        <v>1.4822</v>
      </c>
      <c r="H2522" s="1">
        <v>1.4165000000000001</v>
      </c>
      <c r="I2522" s="1">
        <v>2.806</v>
      </c>
      <c r="J2522" s="1">
        <v>3.2134</v>
      </c>
    </row>
    <row r="2523" spans="2:10" x14ac:dyDescent="0.3">
      <c r="B2523" s="10">
        <f t="shared" si="78"/>
        <v>2016</v>
      </c>
      <c r="C2523" s="10">
        <f t="shared" si="79"/>
        <v>9</v>
      </c>
      <c r="D2523" s="3">
        <v>42620</v>
      </c>
      <c r="E2523" s="1">
        <v>47.98</v>
      </c>
      <c r="F2523" s="1">
        <v>45.5</v>
      </c>
      <c r="G2523" s="1">
        <v>1.4265000000000001</v>
      </c>
      <c r="H2523" s="1">
        <v>1.3464</v>
      </c>
      <c r="I2523" s="1">
        <v>2.6760000000000002</v>
      </c>
      <c r="J2523" s="1">
        <v>3.1915</v>
      </c>
    </row>
    <row r="2524" spans="2:10" x14ac:dyDescent="0.3">
      <c r="B2524" s="10">
        <f t="shared" si="78"/>
        <v>2016</v>
      </c>
      <c r="C2524" s="10">
        <f t="shared" si="79"/>
        <v>9</v>
      </c>
      <c r="D2524" s="3">
        <v>42619</v>
      </c>
      <c r="E2524" s="1">
        <v>47.26</v>
      </c>
      <c r="F2524" s="1">
        <v>44.83</v>
      </c>
      <c r="G2524" s="1">
        <v>1.4085000000000001</v>
      </c>
      <c r="H2524" s="1">
        <v>1.3164</v>
      </c>
      <c r="I2524" s="1">
        <v>2.7170000000000001</v>
      </c>
      <c r="J2524" s="1">
        <v>3.194</v>
      </c>
    </row>
    <row r="2525" spans="2:10" x14ac:dyDescent="0.3">
      <c r="B2525" s="10">
        <f t="shared" si="78"/>
        <v>2016</v>
      </c>
      <c r="C2525" s="10">
        <f t="shared" si="79"/>
        <v>9</v>
      </c>
      <c r="D2525" s="3">
        <v>42618</v>
      </c>
      <c r="E2525" s="1">
        <v>47.63</v>
      </c>
      <c r="J2525" s="1">
        <v>3.282</v>
      </c>
    </row>
    <row r="2526" spans="2:10" x14ac:dyDescent="0.3">
      <c r="B2526" s="10">
        <f t="shared" si="78"/>
        <v>2016</v>
      </c>
      <c r="C2526" s="10">
        <f t="shared" si="79"/>
        <v>9</v>
      </c>
      <c r="D2526" s="3">
        <v>42615</v>
      </c>
      <c r="E2526" s="1">
        <v>46.83</v>
      </c>
      <c r="F2526" s="1">
        <v>44.44</v>
      </c>
      <c r="G2526" s="1">
        <v>1.4096</v>
      </c>
      <c r="H2526" s="1">
        <v>1.3016000000000001</v>
      </c>
      <c r="I2526" s="1">
        <v>2.7919999999999998</v>
      </c>
      <c r="J2526" s="1">
        <v>3.2555000000000001</v>
      </c>
    </row>
    <row r="2527" spans="2:10" x14ac:dyDescent="0.3">
      <c r="B2527" s="10">
        <f t="shared" si="78"/>
        <v>2016</v>
      </c>
      <c r="C2527" s="10">
        <f t="shared" si="79"/>
        <v>9</v>
      </c>
      <c r="D2527" s="3">
        <v>42614</v>
      </c>
      <c r="E2527" s="1">
        <v>45.45</v>
      </c>
      <c r="F2527" s="1">
        <v>43.16</v>
      </c>
      <c r="G2527" s="1">
        <v>1.3818999999999999</v>
      </c>
      <c r="H2527" s="1">
        <v>1.2724</v>
      </c>
      <c r="I2527" s="1">
        <v>2.7919999999999998</v>
      </c>
      <c r="J2527" s="1">
        <v>3.2578</v>
      </c>
    </row>
    <row r="2528" spans="2:10" x14ac:dyDescent="0.3">
      <c r="B2528" s="10">
        <f t="shared" si="78"/>
        <v>2016</v>
      </c>
      <c r="C2528" s="10">
        <f t="shared" si="79"/>
        <v>8</v>
      </c>
      <c r="D2528" s="3">
        <v>42613</v>
      </c>
      <c r="E2528" s="1">
        <v>47.04</v>
      </c>
      <c r="F2528" s="1">
        <v>44.7</v>
      </c>
      <c r="G2528" s="1">
        <v>1.4101999999999999</v>
      </c>
      <c r="H2528" s="1">
        <v>1.4121999999999999</v>
      </c>
      <c r="I2528" s="1">
        <v>2.887</v>
      </c>
      <c r="J2528" s="1">
        <v>3.2265999999999999</v>
      </c>
    </row>
    <row r="2529" spans="2:10" x14ac:dyDescent="0.3">
      <c r="B2529" s="10">
        <f t="shared" si="78"/>
        <v>2016</v>
      </c>
      <c r="C2529" s="10">
        <f t="shared" si="79"/>
        <v>8</v>
      </c>
      <c r="D2529" s="3">
        <v>42612</v>
      </c>
      <c r="E2529" s="1">
        <v>48.37</v>
      </c>
      <c r="F2529" s="1">
        <v>46.35</v>
      </c>
      <c r="G2529" s="1">
        <v>1.4711000000000001</v>
      </c>
      <c r="H2529" s="1">
        <v>1.4482999999999999</v>
      </c>
      <c r="I2529" s="1">
        <v>2.827</v>
      </c>
      <c r="J2529" s="1">
        <v>3.2410000000000001</v>
      </c>
    </row>
    <row r="2530" spans="2:10" x14ac:dyDescent="0.3">
      <c r="B2530" s="10">
        <f t="shared" si="78"/>
        <v>2016</v>
      </c>
      <c r="C2530" s="10">
        <f t="shared" si="79"/>
        <v>8</v>
      </c>
      <c r="D2530" s="3">
        <v>42611</v>
      </c>
      <c r="E2530" s="1">
        <v>49.26</v>
      </c>
      <c r="F2530" s="1">
        <v>46.98</v>
      </c>
      <c r="G2530" s="1">
        <v>1.4862</v>
      </c>
      <c r="H2530" s="1">
        <v>1.4669000000000001</v>
      </c>
      <c r="I2530" s="1">
        <v>2.8530000000000002</v>
      </c>
      <c r="J2530" s="1">
        <v>3.2292999999999998</v>
      </c>
    </row>
    <row r="2531" spans="2:10" x14ac:dyDescent="0.3">
      <c r="B2531" s="10">
        <f t="shared" si="78"/>
        <v>2016</v>
      </c>
      <c r="C2531" s="10">
        <f t="shared" si="79"/>
        <v>8</v>
      </c>
      <c r="D2531" s="3">
        <v>42608</v>
      </c>
      <c r="E2531" s="1">
        <v>49.92</v>
      </c>
      <c r="F2531" s="1">
        <v>47.64</v>
      </c>
      <c r="G2531" s="1">
        <v>1.4972000000000001</v>
      </c>
      <c r="H2531" s="1">
        <v>1.5127999999999999</v>
      </c>
      <c r="I2531" s="1">
        <v>2.871</v>
      </c>
      <c r="J2531" s="1">
        <v>3.2641</v>
      </c>
    </row>
    <row r="2532" spans="2:10" x14ac:dyDescent="0.3">
      <c r="B2532" s="10">
        <f t="shared" si="78"/>
        <v>2016</v>
      </c>
      <c r="C2532" s="10">
        <f t="shared" si="79"/>
        <v>8</v>
      </c>
      <c r="D2532" s="3">
        <v>42607</v>
      </c>
      <c r="E2532" s="1">
        <v>49.67</v>
      </c>
      <c r="F2532" s="1">
        <v>47.33</v>
      </c>
      <c r="G2532" s="1">
        <v>1.5094000000000001</v>
      </c>
      <c r="H2532" s="1">
        <v>1.5114000000000001</v>
      </c>
      <c r="I2532" s="1">
        <v>2.8460000000000001</v>
      </c>
      <c r="J2532" s="1">
        <v>3.2361</v>
      </c>
    </row>
    <row r="2533" spans="2:10" x14ac:dyDescent="0.3">
      <c r="B2533" s="10">
        <f t="shared" si="78"/>
        <v>2016</v>
      </c>
      <c r="C2533" s="10">
        <f t="shared" si="79"/>
        <v>8</v>
      </c>
      <c r="D2533" s="3">
        <v>42606</v>
      </c>
      <c r="E2533" s="1">
        <v>49.05</v>
      </c>
      <c r="F2533" s="1">
        <v>46.77</v>
      </c>
      <c r="G2533" s="1">
        <v>1.4963</v>
      </c>
      <c r="H2533" s="1">
        <v>1.5096000000000001</v>
      </c>
      <c r="I2533" s="1">
        <v>2.7959999999999998</v>
      </c>
      <c r="J2533" s="1">
        <v>3.2246000000000001</v>
      </c>
    </row>
    <row r="2534" spans="2:10" x14ac:dyDescent="0.3">
      <c r="B2534" s="10">
        <f t="shared" si="78"/>
        <v>2016</v>
      </c>
      <c r="C2534" s="10">
        <f t="shared" si="79"/>
        <v>8</v>
      </c>
      <c r="D2534" s="3">
        <v>42605</v>
      </c>
      <c r="E2534" s="1">
        <v>49.96</v>
      </c>
      <c r="F2534" s="1">
        <v>48.1</v>
      </c>
      <c r="G2534" s="1">
        <v>1.5018</v>
      </c>
      <c r="H2534" s="1">
        <v>1.4987999999999999</v>
      </c>
      <c r="I2534" s="1">
        <v>2.7610000000000001</v>
      </c>
      <c r="J2534" s="1">
        <v>3.2324999999999999</v>
      </c>
    </row>
    <row r="2535" spans="2:10" x14ac:dyDescent="0.3">
      <c r="B2535" s="10">
        <f t="shared" si="78"/>
        <v>2016</v>
      </c>
      <c r="C2535" s="10">
        <f t="shared" si="79"/>
        <v>8</v>
      </c>
      <c r="D2535" s="3">
        <v>42604</v>
      </c>
      <c r="E2535" s="1">
        <v>49.16</v>
      </c>
      <c r="F2535" s="1">
        <v>47.05</v>
      </c>
      <c r="G2535" s="1">
        <v>1.4863999999999999</v>
      </c>
      <c r="H2535" s="1">
        <v>1.4842</v>
      </c>
      <c r="I2535" s="1">
        <v>2.6789999999999998</v>
      </c>
      <c r="J2535" s="1">
        <v>3.2004999999999999</v>
      </c>
    </row>
    <row r="2536" spans="2:10" x14ac:dyDescent="0.3">
      <c r="B2536" s="10">
        <f t="shared" si="78"/>
        <v>2016</v>
      </c>
      <c r="C2536" s="10">
        <f t="shared" si="79"/>
        <v>8</v>
      </c>
      <c r="D2536" s="3">
        <v>42601</v>
      </c>
      <c r="E2536" s="1">
        <v>50.88</v>
      </c>
      <c r="F2536" s="1">
        <v>48.52</v>
      </c>
      <c r="G2536" s="1">
        <v>1.5196000000000001</v>
      </c>
      <c r="H2536" s="1">
        <v>1.5128999999999999</v>
      </c>
      <c r="I2536" s="1">
        <v>2.5840000000000001</v>
      </c>
      <c r="J2536" s="1">
        <v>3.2025000000000001</v>
      </c>
    </row>
    <row r="2537" spans="2:10" x14ac:dyDescent="0.3">
      <c r="B2537" s="10">
        <f t="shared" si="78"/>
        <v>2016</v>
      </c>
      <c r="C2537" s="10">
        <f t="shared" si="79"/>
        <v>8</v>
      </c>
      <c r="D2537" s="3">
        <v>42600</v>
      </c>
      <c r="E2537" s="1">
        <v>50.89</v>
      </c>
      <c r="F2537" s="1">
        <v>48.22</v>
      </c>
      <c r="G2537" s="1">
        <v>1.526</v>
      </c>
      <c r="H2537" s="1">
        <v>1.4897</v>
      </c>
      <c r="I2537" s="1">
        <v>2.6739999999999999</v>
      </c>
      <c r="J2537" s="1">
        <v>3.2383000000000002</v>
      </c>
    </row>
    <row r="2538" spans="2:10" x14ac:dyDescent="0.3">
      <c r="B2538" s="10">
        <f t="shared" si="78"/>
        <v>2016</v>
      </c>
      <c r="C2538" s="10">
        <f t="shared" si="79"/>
        <v>8</v>
      </c>
      <c r="D2538" s="3">
        <v>42599</v>
      </c>
      <c r="E2538" s="1">
        <v>49.85</v>
      </c>
      <c r="F2538" s="1">
        <v>46.79</v>
      </c>
      <c r="G2538" s="1">
        <v>1.4892000000000001</v>
      </c>
      <c r="H2538" s="1">
        <v>1.4504999999999999</v>
      </c>
      <c r="I2538" s="1">
        <v>2.6190000000000002</v>
      </c>
      <c r="J2538" s="1">
        <v>3.2031999999999998</v>
      </c>
    </row>
    <row r="2539" spans="2:10" x14ac:dyDescent="0.3">
      <c r="B2539" s="10">
        <f t="shared" si="78"/>
        <v>2016</v>
      </c>
      <c r="C2539" s="10">
        <f t="shared" si="79"/>
        <v>8</v>
      </c>
      <c r="D2539" s="3">
        <v>42598</v>
      </c>
      <c r="E2539" s="1">
        <v>49.23</v>
      </c>
      <c r="F2539" s="1">
        <v>46.58</v>
      </c>
      <c r="G2539" s="1">
        <v>1.4613</v>
      </c>
      <c r="H2539" s="1">
        <v>1.4226000000000001</v>
      </c>
      <c r="I2539" s="1">
        <v>2.617</v>
      </c>
      <c r="J2539" s="1">
        <v>3.2014</v>
      </c>
    </row>
    <row r="2540" spans="2:10" x14ac:dyDescent="0.3">
      <c r="B2540" s="10">
        <f t="shared" si="78"/>
        <v>2016</v>
      </c>
      <c r="C2540" s="10">
        <f t="shared" si="79"/>
        <v>8</v>
      </c>
      <c r="D2540" s="3">
        <v>42597</v>
      </c>
      <c r="E2540" s="1">
        <v>48.35</v>
      </c>
      <c r="F2540" s="1">
        <v>45.74</v>
      </c>
      <c r="G2540" s="1">
        <v>1.4499</v>
      </c>
      <c r="H2540" s="1">
        <v>1.4007000000000001</v>
      </c>
      <c r="I2540" s="1">
        <v>2.59</v>
      </c>
      <c r="J2540" s="1">
        <v>3.1856</v>
      </c>
    </row>
    <row r="2541" spans="2:10" x14ac:dyDescent="0.3">
      <c r="B2541" s="10">
        <f t="shared" si="78"/>
        <v>2016</v>
      </c>
      <c r="C2541" s="10">
        <f t="shared" si="79"/>
        <v>8</v>
      </c>
      <c r="D2541" s="3">
        <v>42594</v>
      </c>
      <c r="E2541" s="1">
        <v>46.97</v>
      </c>
      <c r="F2541" s="1">
        <v>44.49</v>
      </c>
      <c r="G2541" s="1">
        <v>1.4086000000000001</v>
      </c>
      <c r="H2541" s="1">
        <v>1.3709</v>
      </c>
      <c r="I2541" s="1">
        <v>2.5859999999999999</v>
      </c>
      <c r="J2541" s="1">
        <v>3.1917</v>
      </c>
    </row>
    <row r="2542" spans="2:10" x14ac:dyDescent="0.3">
      <c r="B2542" s="10">
        <f t="shared" si="78"/>
        <v>2016</v>
      </c>
      <c r="C2542" s="10">
        <f t="shared" si="79"/>
        <v>8</v>
      </c>
      <c r="D2542" s="3">
        <v>42593</v>
      </c>
      <c r="E2542" s="1">
        <v>46.04</v>
      </c>
      <c r="F2542" s="1">
        <v>43.49</v>
      </c>
      <c r="G2542" s="1">
        <v>1.3849</v>
      </c>
      <c r="H2542" s="1">
        <v>1.3616999999999999</v>
      </c>
      <c r="I2542" s="1">
        <v>2.5510000000000002</v>
      </c>
      <c r="J2542" s="1">
        <v>3.1446999999999998</v>
      </c>
    </row>
    <row r="2543" spans="2:10" x14ac:dyDescent="0.3">
      <c r="B2543" s="10">
        <f t="shared" si="78"/>
        <v>2016</v>
      </c>
      <c r="C2543" s="10">
        <f t="shared" si="79"/>
        <v>8</v>
      </c>
      <c r="D2543" s="3">
        <v>42592</v>
      </c>
      <c r="E2543" s="1">
        <v>44.05</v>
      </c>
      <c r="F2543" s="1">
        <v>41.71</v>
      </c>
      <c r="G2543" s="1">
        <v>1.3184</v>
      </c>
      <c r="H2543" s="1">
        <v>1.3013999999999999</v>
      </c>
      <c r="I2543" s="1">
        <v>2.5609999999999999</v>
      </c>
      <c r="J2543" s="1">
        <v>3.1265999999999998</v>
      </c>
    </row>
    <row r="2544" spans="2:10" x14ac:dyDescent="0.3">
      <c r="B2544" s="10">
        <f t="shared" si="78"/>
        <v>2016</v>
      </c>
      <c r="C2544" s="10">
        <f t="shared" si="79"/>
        <v>8</v>
      </c>
      <c r="D2544" s="3">
        <v>42591</v>
      </c>
      <c r="E2544" s="1">
        <v>44.98</v>
      </c>
      <c r="F2544" s="1">
        <v>42.77</v>
      </c>
      <c r="G2544" s="1">
        <v>1.3307</v>
      </c>
      <c r="H2544" s="1">
        <v>1.3462000000000001</v>
      </c>
      <c r="I2544" s="1">
        <v>2.6150000000000002</v>
      </c>
      <c r="J2544" s="1">
        <v>3.1448</v>
      </c>
    </row>
    <row r="2545" spans="2:10" x14ac:dyDescent="0.3">
      <c r="B2545" s="10">
        <f t="shared" si="78"/>
        <v>2016</v>
      </c>
      <c r="C2545" s="10">
        <f t="shared" si="79"/>
        <v>8</v>
      </c>
      <c r="D2545" s="3">
        <v>42590</v>
      </c>
      <c r="E2545" s="1">
        <v>45.39</v>
      </c>
      <c r="F2545" s="1">
        <v>43.02</v>
      </c>
      <c r="G2545" s="1">
        <v>1.3435999999999999</v>
      </c>
      <c r="H2545" s="1">
        <v>1.3620000000000001</v>
      </c>
      <c r="I2545" s="1">
        <v>2.7480000000000002</v>
      </c>
      <c r="J2545" s="1">
        <v>3.1741000000000001</v>
      </c>
    </row>
    <row r="2546" spans="2:10" x14ac:dyDescent="0.3">
      <c r="B2546" s="10">
        <f t="shared" si="78"/>
        <v>2016</v>
      </c>
      <c r="C2546" s="10">
        <f t="shared" si="79"/>
        <v>8</v>
      </c>
      <c r="D2546" s="3">
        <v>42587</v>
      </c>
      <c r="E2546" s="1">
        <v>44.27</v>
      </c>
      <c r="F2546" s="1">
        <v>41.8</v>
      </c>
      <c r="G2546" s="1">
        <v>1.3169999999999999</v>
      </c>
      <c r="H2546" s="1">
        <v>1.3763000000000001</v>
      </c>
      <c r="I2546" s="1">
        <v>2.7719999999999998</v>
      </c>
      <c r="J2546" s="1">
        <v>3.1644999999999999</v>
      </c>
    </row>
    <row r="2547" spans="2:10" x14ac:dyDescent="0.3">
      <c r="B2547" s="10">
        <f t="shared" si="78"/>
        <v>2016</v>
      </c>
      <c r="C2547" s="10">
        <f t="shared" si="79"/>
        <v>8</v>
      </c>
      <c r="D2547" s="3">
        <v>42586</v>
      </c>
      <c r="E2547" s="1">
        <v>44.29</v>
      </c>
      <c r="F2547" s="1">
        <v>41.93</v>
      </c>
      <c r="G2547" s="1">
        <v>1.3259000000000001</v>
      </c>
      <c r="H2547" s="1">
        <v>1.3680000000000001</v>
      </c>
      <c r="I2547" s="1">
        <v>2.8340000000000001</v>
      </c>
      <c r="J2547" s="1">
        <v>3.1934999999999998</v>
      </c>
    </row>
    <row r="2548" spans="2:10" x14ac:dyDescent="0.3">
      <c r="B2548" s="10">
        <f t="shared" si="78"/>
        <v>2016</v>
      </c>
      <c r="C2548" s="10">
        <f t="shared" si="79"/>
        <v>8</v>
      </c>
      <c r="D2548" s="3">
        <v>42585</v>
      </c>
      <c r="E2548" s="1">
        <v>43.1</v>
      </c>
      <c r="F2548" s="1">
        <v>40.83</v>
      </c>
      <c r="G2548" s="1">
        <v>1.2875000000000001</v>
      </c>
      <c r="H2548" s="1">
        <v>1.3499000000000001</v>
      </c>
      <c r="I2548" s="1">
        <v>2.839</v>
      </c>
      <c r="J2548" s="1">
        <v>3.2366999999999999</v>
      </c>
    </row>
    <row r="2549" spans="2:10" x14ac:dyDescent="0.3">
      <c r="B2549" s="10">
        <f t="shared" si="78"/>
        <v>2016</v>
      </c>
      <c r="C2549" s="10">
        <f t="shared" si="79"/>
        <v>8</v>
      </c>
      <c r="D2549" s="3">
        <v>42584</v>
      </c>
      <c r="E2549" s="1">
        <v>41.8</v>
      </c>
      <c r="F2549" s="1">
        <v>39.51</v>
      </c>
      <c r="G2549" s="1">
        <v>1.2589999999999999</v>
      </c>
      <c r="H2549" s="1">
        <v>1.3116000000000001</v>
      </c>
      <c r="I2549" s="1">
        <v>2.7330000000000001</v>
      </c>
      <c r="J2549" s="1">
        <v>3.2568000000000001</v>
      </c>
    </row>
    <row r="2550" spans="2:10" x14ac:dyDescent="0.3">
      <c r="B2550" s="10">
        <f t="shared" si="78"/>
        <v>2016</v>
      </c>
      <c r="C2550" s="10">
        <f t="shared" si="79"/>
        <v>8</v>
      </c>
      <c r="D2550" s="3">
        <v>42583</v>
      </c>
      <c r="E2550" s="1">
        <v>42.14</v>
      </c>
      <c r="F2550" s="1">
        <v>40.06</v>
      </c>
      <c r="G2550" s="1">
        <v>1.2579</v>
      </c>
      <c r="H2550" s="1">
        <v>1.3036000000000001</v>
      </c>
      <c r="I2550" s="1">
        <v>2.7709999999999999</v>
      </c>
      <c r="J2550" s="1">
        <v>3.2644000000000002</v>
      </c>
    </row>
    <row r="2551" spans="2:10" x14ac:dyDescent="0.3">
      <c r="B2551" s="10">
        <f t="shared" si="78"/>
        <v>2016</v>
      </c>
      <c r="C2551" s="10">
        <f t="shared" si="79"/>
        <v>7</v>
      </c>
      <c r="D2551" s="3">
        <v>42580</v>
      </c>
      <c r="E2551" s="1">
        <v>42.46</v>
      </c>
      <c r="F2551" s="1">
        <v>41.6</v>
      </c>
      <c r="G2551" s="1">
        <v>1.276</v>
      </c>
      <c r="H2551" s="1">
        <v>1.321</v>
      </c>
      <c r="I2551" s="1">
        <v>2.8759999999999999</v>
      </c>
      <c r="J2551" s="1">
        <v>3.2471000000000001</v>
      </c>
    </row>
    <row r="2552" spans="2:10" x14ac:dyDescent="0.3">
      <c r="B2552" s="10">
        <f t="shared" si="78"/>
        <v>2016</v>
      </c>
      <c r="C2552" s="10">
        <f t="shared" si="79"/>
        <v>7</v>
      </c>
      <c r="D2552" s="3">
        <v>42579</v>
      </c>
      <c r="E2552" s="1">
        <v>42.7</v>
      </c>
      <c r="F2552" s="1">
        <v>41.14</v>
      </c>
      <c r="G2552" s="1">
        <v>1.2704</v>
      </c>
      <c r="H2552" s="1">
        <v>1.3062</v>
      </c>
      <c r="I2552" s="1">
        <v>2.8730000000000002</v>
      </c>
      <c r="J2552" s="1">
        <v>3.2884000000000002</v>
      </c>
    </row>
    <row r="2553" spans="2:10" x14ac:dyDescent="0.3">
      <c r="B2553" s="10">
        <f t="shared" si="78"/>
        <v>2016</v>
      </c>
      <c r="C2553" s="10">
        <f t="shared" si="79"/>
        <v>7</v>
      </c>
      <c r="D2553" s="3">
        <v>42578</v>
      </c>
      <c r="E2553" s="1">
        <v>43.47</v>
      </c>
      <c r="F2553" s="1">
        <v>41.92</v>
      </c>
      <c r="G2553" s="1">
        <v>1.2949999999999999</v>
      </c>
      <c r="H2553" s="1">
        <v>1.3213999999999999</v>
      </c>
      <c r="I2553" s="1">
        <v>2.6720000000000002</v>
      </c>
      <c r="J2553" s="1">
        <v>3.2633000000000001</v>
      </c>
    </row>
    <row r="2554" spans="2:10" x14ac:dyDescent="0.3">
      <c r="B2554" s="10">
        <f t="shared" si="78"/>
        <v>2016</v>
      </c>
      <c r="C2554" s="10">
        <f t="shared" si="79"/>
        <v>7</v>
      </c>
      <c r="D2554" s="3">
        <v>42577</v>
      </c>
      <c r="E2554" s="1">
        <v>44.87</v>
      </c>
      <c r="F2554" s="1">
        <v>42.92</v>
      </c>
      <c r="G2554" s="1">
        <v>1.3260000000000001</v>
      </c>
      <c r="H2554" s="1">
        <v>1.3452</v>
      </c>
      <c r="I2554" s="1">
        <v>2.7120000000000002</v>
      </c>
      <c r="J2554" s="1">
        <v>3.2761999999999998</v>
      </c>
    </row>
    <row r="2555" spans="2:10" x14ac:dyDescent="0.3">
      <c r="B2555" s="10">
        <f t="shared" si="78"/>
        <v>2016</v>
      </c>
      <c r="C2555" s="10">
        <f t="shared" si="79"/>
        <v>7</v>
      </c>
      <c r="D2555" s="3">
        <v>42576</v>
      </c>
      <c r="E2555" s="1">
        <v>44.72</v>
      </c>
      <c r="F2555" s="1">
        <v>43.13</v>
      </c>
      <c r="G2555" s="1">
        <v>1.3228</v>
      </c>
      <c r="H2555" s="1">
        <v>1.3335999999999999</v>
      </c>
      <c r="I2555" s="1">
        <v>2.7469999999999999</v>
      </c>
      <c r="J2555" s="1">
        <v>3.2845</v>
      </c>
    </row>
    <row r="2556" spans="2:10" x14ac:dyDescent="0.3">
      <c r="B2556" s="10">
        <f t="shared" si="78"/>
        <v>2016</v>
      </c>
      <c r="C2556" s="10">
        <f t="shared" si="79"/>
        <v>7</v>
      </c>
      <c r="D2556" s="3">
        <v>42573</v>
      </c>
      <c r="E2556" s="1">
        <v>45.69</v>
      </c>
      <c r="F2556" s="1">
        <v>44.19</v>
      </c>
      <c r="G2556" s="1">
        <v>1.357</v>
      </c>
      <c r="H2556" s="1">
        <v>1.3614999999999999</v>
      </c>
      <c r="I2556" s="1">
        <v>2.7770000000000001</v>
      </c>
      <c r="J2556" s="1">
        <v>3.2563</v>
      </c>
    </row>
    <row r="2557" spans="2:10" x14ac:dyDescent="0.3">
      <c r="B2557" s="10">
        <f t="shared" si="78"/>
        <v>2016</v>
      </c>
      <c r="C2557" s="10">
        <f t="shared" si="79"/>
        <v>7</v>
      </c>
      <c r="D2557" s="3">
        <v>42572</v>
      </c>
      <c r="E2557" s="1">
        <v>46.2</v>
      </c>
      <c r="F2557" s="1">
        <v>44.75</v>
      </c>
      <c r="G2557" s="1">
        <v>1.3707</v>
      </c>
      <c r="H2557" s="1">
        <v>1.355</v>
      </c>
      <c r="I2557" s="1">
        <v>2.6920000000000002</v>
      </c>
      <c r="J2557" s="1">
        <v>3.2709999999999999</v>
      </c>
    </row>
    <row r="2558" spans="2:10" x14ac:dyDescent="0.3">
      <c r="B2558" s="10">
        <f t="shared" si="78"/>
        <v>2016</v>
      </c>
      <c r="C2558" s="10">
        <f t="shared" si="79"/>
        <v>7</v>
      </c>
      <c r="D2558" s="3">
        <v>42571</v>
      </c>
      <c r="E2558" s="1">
        <v>47.17</v>
      </c>
      <c r="F2558" s="1">
        <v>44.94</v>
      </c>
      <c r="G2558" s="1">
        <v>1.4054</v>
      </c>
      <c r="H2558" s="1">
        <v>1.3636999999999999</v>
      </c>
      <c r="I2558" s="1">
        <v>2.6579999999999999</v>
      </c>
      <c r="J2558" s="1">
        <v>3.2587999999999999</v>
      </c>
    </row>
    <row r="2559" spans="2:10" x14ac:dyDescent="0.3">
      <c r="B2559" s="10">
        <f t="shared" si="78"/>
        <v>2016</v>
      </c>
      <c r="C2559" s="10">
        <f t="shared" si="79"/>
        <v>7</v>
      </c>
      <c r="D2559" s="3">
        <v>42570</v>
      </c>
      <c r="E2559" s="1">
        <v>46.66</v>
      </c>
      <c r="F2559" s="1">
        <v>44.65</v>
      </c>
      <c r="G2559" s="1">
        <v>1.3841000000000001</v>
      </c>
      <c r="H2559" s="1">
        <v>1.3756999999999999</v>
      </c>
      <c r="I2559" s="1">
        <v>2.7280000000000002</v>
      </c>
      <c r="J2559" s="1">
        <v>3.2488000000000001</v>
      </c>
    </row>
    <row r="2560" spans="2:10" x14ac:dyDescent="0.3">
      <c r="B2560" s="10">
        <f t="shared" si="78"/>
        <v>2016</v>
      </c>
      <c r="C2560" s="10">
        <f t="shared" si="79"/>
        <v>7</v>
      </c>
      <c r="D2560" s="3">
        <v>42569</v>
      </c>
      <c r="E2560" s="1">
        <v>46.96</v>
      </c>
      <c r="F2560" s="1">
        <v>45.24</v>
      </c>
      <c r="G2560" s="1">
        <v>1.3777999999999999</v>
      </c>
      <c r="H2560" s="1">
        <v>1.3872</v>
      </c>
      <c r="I2560" s="1">
        <v>2.722</v>
      </c>
      <c r="J2560" s="1">
        <v>3.2522000000000002</v>
      </c>
    </row>
    <row r="2561" spans="2:10" x14ac:dyDescent="0.3">
      <c r="B2561" s="10">
        <f t="shared" si="78"/>
        <v>2016</v>
      </c>
      <c r="C2561" s="10">
        <f t="shared" si="79"/>
        <v>7</v>
      </c>
      <c r="D2561" s="3">
        <v>42566</v>
      </c>
      <c r="E2561" s="1">
        <v>47.61</v>
      </c>
      <c r="F2561" s="1">
        <v>45.95</v>
      </c>
      <c r="G2561" s="1">
        <v>1.3974</v>
      </c>
      <c r="H2561" s="1">
        <v>1.4219999999999999</v>
      </c>
      <c r="I2561" s="1">
        <v>2.7559999999999998</v>
      </c>
      <c r="J2561" s="1">
        <v>3.2808000000000002</v>
      </c>
    </row>
    <row r="2562" spans="2:10" x14ac:dyDescent="0.3">
      <c r="B2562" s="10">
        <f t="shared" si="78"/>
        <v>2016</v>
      </c>
      <c r="C2562" s="10">
        <f t="shared" si="79"/>
        <v>7</v>
      </c>
      <c r="D2562" s="3">
        <v>42565</v>
      </c>
      <c r="E2562" s="1">
        <v>47.37</v>
      </c>
      <c r="F2562" s="1">
        <v>45.68</v>
      </c>
      <c r="G2562" s="1">
        <v>1.4064000000000001</v>
      </c>
      <c r="H2562" s="1">
        <v>1.4139999999999999</v>
      </c>
      <c r="I2562" s="1">
        <v>2.7269999999999999</v>
      </c>
      <c r="J2562" s="1">
        <v>3.2501000000000002</v>
      </c>
    </row>
    <row r="2563" spans="2:10" x14ac:dyDescent="0.3">
      <c r="B2563" s="10">
        <f t="shared" si="78"/>
        <v>2016</v>
      </c>
      <c r="C2563" s="10">
        <f t="shared" si="79"/>
        <v>7</v>
      </c>
      <c r="D2563" s="3">
        <v>42564</v>
      </c>
      <c r="E2563" s="1">
        <v>46.26</v>
      </c>
      <c r="F2563" s="1">
        <v>44.75</v>
      </c>
      <c r="G2563" s="1">
        <v>1.3809</v>
      </c>
      <c r="H2563" s="1">
        <v>1.3784000000000001</v>
      </c>
      <c r="I2563" s="1">
        <v>2.7370000000000001</v>
      </c>
      <c r="J2563" s="1">
        <v>3.2629999999999999</v>
      </c>
    </row>
    <row r="2564" spans="2:10" x14ac:dyDescent="0.3">
      <c r="B2564" s="10">
        <f t="shared" si="78"/>
        <v>2016</v>
      </c>
      <c r="C2564" s="10">
        <f t="shared" si="79"/>
        <v>7</v>
      </c>
      <c r="D2564" s="3">
        <v>42563</v>
      </c>
      <c r="E2564" s="1">
        <v>48.47</v>
      </c>
      <c r="F2564" s="1">
        <v>46.8</v>
      </c>
      <c r="G2564" s="1">
        <v>1.4632000000000001</v>
      </c>
      <c r="H2564" s="1">
        <v>1.4300999999999999</v>
      </c>
      <c r="I2564" s="1">
        <v>2.734</v>
      </c>
      <c r="J2564" s="1">
        <v>3.2945000000000002</v>
      </c>
    </row>
    <row r="2565" spans="2:10" x14ac:dyDescent="0.3">
      <c r="B2565" s="10">
        <f t="shared" si="78"/>
        <v>2016</v>
      </c>
      <c r="C2565" s="10">
        <f t="shared" si="79"/>
        <v>7</v>
      </c>
      <c r="D2565" s="3">
        <v>42562</v>
      </c>
      <c r="E2565" s="1">
        <v>46.25</v>
      </c>
      <c r="F2565" s="1">
        <v>44.76</v>
      </c>
      <c r="G2565" s="1">
        <v>1.4162999999999999</v>
      </c>
      <c r="H2565" s="1">
        <v>1.3835</v>
      </c>
      <c r="I2565" s="1">
        <v>2.702</v>
      </c>
      <c r="J2565" s="1">
        <v>3.3085</v>
      </c>
    </row>
    <row r="2566" spans="2:10" x14ac:dyDescent="0.3">
      <c r="B2566" s="10">
        <f t="shared" ref="B2566:B2629" si="80">YEAR(D2566)</f>
        <v>2016</v>
      </c>
      <c r="C2566" s="10">
        <f t="shared" ref="C2566:C2629" si="81">MONTH(D2566)</f>
        <v>7</v>
      </c>
      <c r="D2566" s="3">
        <v>42559</v>
      </c>
      <c r="E2566" s="1">
        <v>46.76</v>
      </c>
      <c r="F2566" s="1">
        <v>45.41</v>
      </c>
      <c r="G2566" s="1">
        <v>1.4123000000000001</v>
      </c>
      <c r="H2566" s="1">
        <v>1.3708</v>
      </c>
      <c r="I2566" s="1">
        <v>2.8010000000000002</v>
      </c>
      <c r="J2566" s="1">
        <v>3.2995000000000001</v>
      </c>
    </row>
    <row r="2567" spans="2:10" x14ac:dyDescent="0.3">
      <c r="B2567" s="10">
        <f t="shared" si="80"/>
        <v>2016</v>
      </c>
      <c r="C2567" s="10">
        <f t="shared" si="81"/>
        <v>7</v>
      </c>
      <c r="D2567" s="3">
        <v>42558</v>
      </c>
      <c r="E2567" s="1">
        <v>46.4</v>
      </c>
      <c r="F2567" s="1">
        <v>45.14</v>
      </c>
      <c r="G2567" s="1">
        <v>1.4106000000000001</v>
      </c>
      <c r="H2567" s="1">
        <v>1.3631</v>
      </c>
      <c r="I2567" s="1">
        <v>2.7770000000000001</v>
      </c>
      <c r="J2567" s="1">
        <v>3.3668</v>
      </c>
    </row>
    <row r="2568" spans="2:10" x14ac:dyDescent="0.3">
      <c r="B2568" s="10">
        <f t="shared" si="80"/>
        <v>2016</v>
      </c>
      <c r="C2568" s="10">
        <f t="shared" si="81"/>
        <v>7</v>
      </c>
      <c r="D2568" s="3">
        <v>42557</v>
      </c>
      <c r="E2568" s="1">
        <v>48.8</v>
      </c>
      <c r="F2568" s="1">
        <v>47.43</v>
      </c>
      <c r="G2568" s="1">
        <v>1.4711000000000001</v>
      </c>
      <c r="H2568" s="1">
        <v>1.4329000000000001</v>
      </c>
      <c r="I2568" s="1">
        <v>2.786</v>
      </c>
      <c r="J2568" s="1">
        <v>3.3296000000000001</v>
      </c>
    </row>
    <row r="2569" spans="2:10" x14ac:dyDescent="0.3">
      <c r="B2569" s="10">
        <f t="shared" si="80"/>
        <v>2016</v>
      </c>
      <c r="C2569" s="10">
        <f t="shared" si="81"/>
        <v>7</v>
      </c>
      <c r="D2569" s="3">
        <v>42556</v>
      </c>
      <c r="E2569" s="1">
        <v>47.96</v>
      </c>
      <c r="F2569" s="1">
        <v>46.6</v>
      </c>
      <c r="G2569" s="1">
        <v>1.4456</v>
      </c>
      <c r="H2569" s="1">
        <v>1.4287000000000001</v>
      </c>
      <c r="I2569" s="1">
        <v>2.7639999999999998</v>
      </c>
      <c r="J2569" s="1">
        <v>3.3018999999999998</v>
      </c>
    </row>
    <row r="2570" spans="2:10" x14ac:dyDescent="0.3">
      <c r="B2570" s="10">
        <f t="shared" si="80"/>
        <v>2016</v>
      </c>
      <c r="C2570" s="10">
        <f t="shared" si="81"/>
        <v>7</v>
      </c>
      <c r="D2570" s="3">
        <v>42555</v>
      </c>
      <c r="E2570" s="1">
        <v>50.1</v>
      </c>
      <c r="J2570" s="1">
        <v>3.2692000000000001</v>
      </c>
    </row>
    <row r="2571" spans="2:10" x14ac:dyDescent="0.3">
      <c r="B2571" s="10">
        <f t="shared" si="80"/>
        <v>2016</v>
      </c>
      <c r="C2571" s="10">
        <f t="shared" si="81"/>
        <v>7</v>
      </c>
      <c r="D2571" s="3">
        <v>42552</v>
      </c>
      <c r="E2571" s="1">
        <v>50.35</v>
      </c>
      <c r="F2571" s="1">
        <v>48.99</v>
      </c>
      <c r="G2571" s="1">
        <v>1.5115000000000001</v>
      </c>
      <c r="H2571" s="1">
        <v>1.5135000000000001</v>
      </c>
      <c r="I2571" s="1">
        <v>2.9870000000000001</v>
      </c>
      <c r="J2571" s="1">
        <v>3.2347999999999999</v>
      </c>
    </row>
    <row r="2572" spans="2:10" x14ac:dyDescent="0.3">
      <c r="B2572" s="10">
        <f t="shared" si="80"/>
        <v>2016</v>
      </c>
      <c r="C2572" s="10">
        <f t="shared" si="81"/>
        <v>6</v>
      </c>
      <c r="D2572" s="3">
        <v>42551</v>
      </c>
      <c r="E2572" s="1">
        <v>49.68</v>
      </c>
      <c r="F2572" s="1">
        <v>48.33</v>
      </c>
      <c r="G2572" s="1">
        <v>1.4846999999999999</v>
      </c>
      <c r="H2572" s="1">
        <v>1.5014000000000001</v>
      </c>
      <c r="I2572" s="1">
        <v>2.9239999999999999</v>
      </c>
      <c r="J2572" s="1">
        <v>3.2126000000000001</v>
      </c>
    </row>
    <row r="2573" spans="2:10" x14ac:dyDescent="0.3">
      <c r="B2573" s="10">
        <f t="shared" si="80"/>
        <v>2016</v>
      </c>
      <c r="C2573" s="10">
        <f t="shared" si="81"/>
        <v>6</v>
      </c>
      <c r="D2573" s="3">
        <v>42550</v>
      </c>
      <c r="E2573" s="1">
        <v>50.61</v>
      </c>
      <c r="F2573" s="1">
        <v>49.88</v>
      </c>
      <c r="G2573" s="1">
        <v>1.5335000000000001</v>
      </c>
      <c r="H2573" s="1">
        <v>1.5247999999999999</v>
      </c>
      <c r="I2573" s="1">
        <v>2.863</v>
      </c>
      <c r="J2573" s="1">
        <v>3.2214999999999998</v>
      </c>
    </row>
    <row r="2574" spans="2:10" x14ac:dyDescent="0.3">
      <c r="B2574" s="10">
        <f t="shared" si="80"/>
        <v>2016</v>
      </c>
      <c r="C2574" s="10">
        <f t="shared" si="81"/>
        <v>6</v>
      </c>
      <c r="D2574" s="3">
        <v>42549</v>
      </c>
      <c r="E2574" s="1">
        <v>48.58</v>
      </c>
      <c r="F2574" s="1">
        <v>47.85</v>
      </c>
      <c r="G2574" s="1">
        <v>1.4711000000000001</v>
      </c>
      <c r="H2574" s="1">
        <v>1.51</v>
      </c>
      <c r="I2574" s="1">
        <v>2.9169999999999998</v>
      </c>
      <c r="J2574" s="1">
        <v>3.3016000000000001</v>
      </c>
    </row>
    <row r="2575" spans="2:10" x14ac:dyDescent="0.3">
      <c r="B2575" s="10">
        <f t="shared" si="80"/>
        <v>2016</v>
      </c>
      <c r="C2575" s="10">
        <f t="shared" si="81"/>
        <v>6</v>
      </c>
      <c r="D2575" s="3">
        <v>42548</v>
      </c>
      <c r="E2575" s="1">
        <v>47.16</v>
      </c>
      <c r="F2575" s="1">
        <v>46.33</v>
      </c>
      <c r="G2575" s="1">
        <v>1.4292</v>
      </c>
      <c r="H2575" s="1">
        <v>1.4766999999999999</v>
      </c>
      <c r="I2575" s="1">
        <v>2.7160000000000002</v>
      </c>
      <c r="J2575" s="1">
        <v>3.3915999999999999</v>
      </c>
    </row>
    <row r="2576" spans="2:10" x14ac:dyDescent="0.3">
      <c r="B2576" s="10">
        <f t="shared" si="80"/>
        <v>2016</v>
      </c>
      <c r="C2576" s="10">
        <f t="shared" si="81"/>
        <v>6</v>
      </c>
      <c r="D2576" s="3">
        <v>42545</v>
      </c>
      <c r="E2576" s="1">
        <v>48.41</v>
      </c>
      <c r="F2576" s="1">
        <v>47.64</v>
      </c>
      <c r="G2576" s="1">
        <v>1.4553</v>
      </c>
      <c r="H2576" s="1">
        <v>1.5249999999999999</v>
      </c>
      <c r="I2576" s="1">
        <v>2.6619999999999999</v>
      </c>
      <c r="J2576" s="1">
        <v>3.3725000000000001</v>
      </c>
    </row>
    <row r="2577" spans="2:10" x14ac:dyDescent="0.3">
      <c r="B2577" s="10">
        <f t="shared" si="80"/>
        <v>2016</v>
      </c>
      <c r="C2577" s="10">
        <f t="shared" si="81"/>
        <v>6</v>
      </c>
      <c r="D2577" s="3">
        <v>42544</v>
      </c>
      <c r="E2577" s="1">
        <v>50.91</v>
      </c>
      <c r="F2577" s="1">
        <v>50.11</v>
      </c>
      <c r="G2577" s="1">
        <v>1.5206</v>
      </c>
      <c r="H2577" s="1">
        <v>1.6034999999999999</v>
      </c>
      <c r="I2577" s="1">
        <v>2.698</v>
      </c>
      <c r="J2577" s="1">
        <v>3.3376000000000001</v>
      </c>
    </row>
    <row r="2578" spans="2:10" x14ac:dyDescent="0.3">
      <c r="B2578" s="10">
        <f t="shared" si="80"/>
        <v>2016</v>
      </c>
      <c r="C2578" s="10">
        <f t="shared" si="81"/>
        <v>6</v>
      </c>
      <c r="D2578" s="3">
        <v>42543</v>
      </c>
      <c r="E2578" s="1">
        <v>49.88</v>
      </c>
      <c r="F2578" s="1">
        <v>49.13</v>
      </c>
      <c r="G2578" s="1">
        <v>1.5047999999999999</v>
      </c>
      <c r="H2578" s="1">
        <v>1.5882000000000001</v>
      </c>
      <c r="I2578" s="1">
        <v>2.677</v>
      </c>
      <c r="J2578" s="1">
        <v>3.3755999999999999</v>
      </c>
    </row>
    <row r="2579" spans="2:10" x14ac:dyDescent="0.3">
      <c r="B2579" s="10">
        <f t="shared" si="80"/>
        <v>2016</v>
      </c>
      <c r="C2579" s="10">
        <f t="shared" si="81"/>
        <v>6</v>
      </c>
      <c r="D2579" s="3">
        <v>42542</v>
      </c>
      <c r="E2579" s="1">
        <v>50.62</v>
      </c>
      <c r="F2579" s="1">
        <v>48.85</v>
      </c>
      <c r="G2579" s="1">
        <v>1.5166999999999999</v>
      </c>
      <c r="H2579" s="1">
        <v>1.5929</v>
      </c>
      <c r="I2579" s="1">
        <v>2.7679999999999998</v>
      </c>
      <c r="J2579" s="1">
        <v>3.4152999999999998</v>
      </c>
    </row>
    <row r="2580" spans="2:10" x14ac:dyDescent="0.3">
      <c r="B2580" s="10">
        <f t="shared" si="80"/>
        <v>2016</v>
      </c>
      <c r="C2580" s="10">
        <f t="shared" si="81"/>
        <v>6</v>
      </c>
      <c r="D2580" s="3">
        <v>42541</v>
      </c>
      <c r="E2580" s="1">
        <v>50.65</v>
      </c>
      <c r="F2580" s="1">
        <v>49.37</v>
      </c>
      <c r="G2580" s="1">
        <v>1.5274000000000001</v>
      </c>
      <c r="H2580" s="1">
        <v>1.5827</v>
      </c>
      <c r="I2580" s="1">
        <v>2.7469999999999999</v>
      </c>
      <c r="J2580" s="1">
        <v>3.3934000000000002</v>
      </c>
    </row>
    <row r="2581" spans="2:10" x14ac:dyDescent="0.3">
      <c r="B2581" s="10">
        <f t="shared" si="80"/>
        <v>2016</v>
      </c>
      <c r="C2581" s="10">
        <f t="shared" si="81"/>
        <v>6</v>
      </c>
      <c r="D2581" s="3">
        <v>42538</v>
      </c>
      <c r="E2581" s="1">
        <v>49.17</v>
      </c>
      <c r="F2581" s="1">
        <v>47.98</v>
      </c>
      <c r="G2581" s="1">
        <v>1.4817</v>
      </c>
      <c r="H2581" s="1">
        <v>1.5053000000000001</v>
      </c>
      <c r="I2581" s="1">
        <v>2.6230000000000002</v>
      </c>
      <c r="J2581" s="1">
        <v>3.4157999999999999</v>
      </c>
    </row>
    <row r="2582" spans="2:10" x14ac:dyDescent="0.3">
      <c r="B2582" s="10">
        <f t="shared" si="80"/>
        <v>2016</v>
      </c>
      <c r="C2582" s="10">
        <f t="shared" si="81"/>
        <v>6</v>
      </c>
      <c r="D2582" s="3">
        <v>42537</v>
      </c>
      <c r="E2582" s="1">
        <v>47.19</v>
      </c>
      <c r="F2582" s="1">
        <v>46.21</v>
      </c>
      <c r="G2582" s="1">
        <v>1.4229000000000001</v>
      </c>
      <c r="H2582" s="1">
        <v>1.4653</v>
      </c>
      <c r="I2582" s="1">
        <v>2.58</v>
      </c>
      <c r="J2582" s="1">
        <v>3.4655999999999998</v>
      </c>
    </row>
    <row r="2583" spans="2:10" x14ac:dyDescent="0.3">
      <c r="B2583" s="10">
        <f t="shared" si="80"/>
        <v>2016</v>
      </c>
      <c r="C2583" s="10">
        <f t="shared" si="81"/>
        <v>6</v>
      </c>
      <c r="D2583" s="3">
        <v>42536</v>
      </c>
      <c r="E2583" s="1">
        <v>48.97</v>
      </c>
      <c r="F2583" s="1">
        <v>48.01</v>
      </c>
      <c r="G2583" s="1">
        <v>1.4778</v>
      </c>
      <c r="H2583" s="1">
        <v>1.5014000000000001</v>
      </c>
      <c r="I2583" s="1">
        <v>2.5950000000000002</v>
      </c>
      <c r="J2583" s="1">
        <v>3.4725999999999999</v>
      </c>
    </row>
    <row r="2584" spans="2:10" x14ac:dyDescent="0.3">
      <c r="B2584" s="10">
        <f t="shared" si="80"/>
        <v>2016</v>
      </c>
      <c r="C2584" s="10">
        <f t="shared" si="81"/>
        <v>6</v>
      </c>
      <c r="D2584" s="3">
        <v>42535</v>
      </c>
      <c r="E2584" s="1">
        <v>49.83</v>
      </c>
      <c r="F2584" s="1">
        <v>48.49</v>
      </c>
      <c r="G2584" s="1">
        <v>1.502</v>
      </c>
      <c r="H2584" s="1">
        <v>1.5213000000000001</v>
      </c>
      <c r="I2584" s="1">
        <v>2.6040000000000001</v>
      </c>
      <c r="J2584" s="1">
        <v>3.4802</v>
      </c>
    </row>
    <row r="2585" spans="2:10" x14ac:dyDescent="0.3">
      <c r="B2585" s="10">
        <f t="shared" si="80"/>
        <v>2016</v>
      </c>
      <c r="C2585" s="10">
        <f t="shared" si="81"/>
        <v>6</v>
      </c>
      <c r="D2585" s="3">
        <v>42534</v>
      </c>
      <c r="E2585" s="1">
        <v>50.35</v>
      </c>
      <c r="F2585" s="1">
        <v>48.88</v>
      </c>
      <c r="G2585" s="1">
        <v>1.5145</v>
      </c>
      <c r="H2585" s="1">
        <v>1.5362</v>
      </c>
      <c r="I2585" s="1">
        <v>2.585</v>
      </c>
      <c r="J2585" s="1">
        <v>3.4817</v>
      </c>
    </row>
    <row r="2586" spans="2:10" x14ac:dyDescent="0.3">
      <c r="B2586" s="10">
        <f t="shared" si="80"/>
        <v>2016</v>
      </c>
      <c r="C2586" s="10">
        <f t="shared" si="81"/>
        <v>6</v>
      </c>
      <c r="D2586" s="3">
        <v>42531</v>
      </c>
      <c r="E2586" s="1">
        <v>50.54</v>
      </c>
      <c r="F2586" s="1">
        <v>49.07</v>
      </c>
      <c r="G2586" s="1">
        <v>1.516</v>
      </c>
      <c r="H2586" s="1">
        <v>1.5596000000000001</v>
      </c>
      <c r="I2586" s="1">
        <v>2.556</v>
      </c>
      <c r="J2586" s="1">
        <v>3.4175</v>
      </c>
    </row>
    <row r="2587" spans="2:10" x14ac:dyDescent="0.3">
      <c r="B2587" s="10">
        <f t="shared" si="80"/>
        <v>2016</v>
      </c>
      <c r="C2587" s="10">
        <f t="shared" si="81"/>
        <v>6</v>
      </c>
      <c r="D2587" s="3">
        <v>42530</v>
      </c>
      <c r="E2587" s="1">
        <v>51.95</v>
      </c>
      <c r="F2587" s="1">
        <v>50.56</v>
      </c>
      <c r="G2587" s="1">
        <v>1.5511999999999999</v>
      </c>
      <c r="H2587" s="1">
        <v>1.6186</v>
      </c>
      <c r="I2587" s="1">
        <v>2.617</v>
      </c>
      <c r="J2587" s="1">
        <v>3.3995000000000002</v>
      </c>
    </row>
    <row r="2588" spans="2:10" x14ac:dyDescent="0.3">
      <c r="B2588" s="10">
        <f t="shared" si="80"/>
        <v>2016</v>
      </c>
      <c r="C2588" s="10">
        <f t="shared" si="81"/>
        <v>6</v>
      </c>
      <c r="D2588" s="3">
        <v>42529</v>
      </c>
      <c r="E2588" s="1">
        <v>52.51</v>
      </c>
      <c r="F2588" s="1">
        <v>51.23</v>
      </c>
      <c r="G2588" s="1">
        <v>1.5705</v>
      </c>
      <c r="H2588" s="1">
        <v>1.6197999999999999</v>
      </c>
      <c r="I2588" s="1">
        <v>2.468</v>
      </c>
      <c r="J2588" s="1">
        <v>3.3614999999999999</v>
      </c>
    </row>
    <row r="2589" spans="2:10" x14ac:dyDescent="0.3">
      <c r="B2589" s="10">
        <f t="shared" si="80"/>
        <v>2016</v>
      </c>
      <c r="C2589" s="10">
        <f t="shared" si="81"/>
        <v>6</v>
      </c>
      <c r="D2589" s="3">
        <v>42528</v>
      </c>
      <c r="E2589" s="1">
        <v>51.44</v>
      </c>
      <c r="F2589" s="1">
        <v>50.36</v>
      </c>
      <c r="G2589" s="1">
        <v>1.5415000000000001</v>
      </c>
      <c r="H2589" s="1">
        <v>1.5871</v>
      </c>
      <c r="I2589" s="1">
        <v>2.4740000000000002</v>
      </c>
      <c r="J2589" s="1">
        <v>3.4409999999999998</v>
      </c>
    </row>
    <row r="2590" spans="2:10" x14ac:dyDescent="0.3">
      <c r="B2590" s="10">
        <f t="shared" si="80"/>
        <v>2016</v>
      </c>
      <c r="C2590" s="10">
        <f t="shared" si="81"/>
        <v>6</v>
      </c>
      <c r="D2590" s="3">
        <v>42527</v>
      </c>
      <c r="E2590" s="1">
        <v>50.55</v>
      </c>
      <c r="F2590" s="1">
        <v>49.69</v>
      </c>
      <c r="G2590" s="1">
        <v>1.5031000000000001</v>
      </c>
      <c r="H2590" s="1">
        <v>1.5887</v>
      </c>
      <c r="I2590" s="1">
        <v>2.4660000000000002</v>
      </c>
      <c r="J2590" s="1">
        <v>3.4885000000000002</v>
      </c>
    </row>
    <row r="2591" spans="2:10" x14ac:dyDescent="0.3">
      <c r="B2591" s="10">
        <f t="shared" si="80"/>
        <v>2016</v>
      </c>
      <c r="C2591" s="10">
        <f t="shared" si="81"/>
        <v>6</v>
      </c>
      <c r="D2591" s="3">
        <v>42524</v>
      </c>
      <c r="E2591" s="1">
        <v>49.64</v>
      </c>
      <c r="F2591" s="1">
        <v>48.62</v>
      </c>
      <c r="G2591" s="1">
        <v>1.4881</v>
      </c>
      <c r="H2591" s="1">
        <v>1.6074999999999999</v>
      </c>
      <c r="I2591" s="1">
        <v>2.3980000000000001</v>
      </c>
      <c r="J2591" s="1">
        <v>3.5236999999999998</v>
      </c>
    </row>
    <row r="2592" spans="2:10" x14ac:dyDescent="0.3">
      <c r="B2592" s="10">
        <f t="shared" si="80"/>
        <v>2016</v>
      </c>
      <c r="C2592" s="10">
        <f t="shared" si="81"/>
        <v>6</v>
      </c>
      <c r="D2592" s="3">
        <v>42523</v>
      </c>
      <c r="E2592" s="1">
        <v>50.04</v>
      </c>
      <c r="F2592" s="1">
        <v>49.17</v>
      </c>
      <c r="G2592" s="1">
        <v>1.5087999999999999</v>
      </c>
      <c r="H2592" s="1">
        <v>1.6346000000000001</v>
      </c>
      <c r="I2592" s="1">
        <v>2.4049999999999998</v>
      </c>
      <c r="J2592" s="1">
        <v>3.5916000000000001</v>
      </c>
    </row>
    <row r="2593" spans="2:10" x14ac:dyDescent="0.3">
      <c r="B2593" s="10">
        <f t="shared" si="80"/>
        <v>2016</v>
      </c>
      <c r="C2593" s="10">
        <f t="shared" si="81"/>
        <v>6</v>
      </c>
      <c r="D2593" s="3">
        <v>42522</v>
      </c>
      <c r="E2593" s="1">
        <v>49.72</v>
      </c>
      <c r="F2593" s="1">
        <v>49.01</v>
      </c>
      <c r="G2593" s="1">
        <v>1.4988999999999999</v>
      </c>
      <c r="H2593" s="1">
        <v>1.6153</v>
      </c>
      <c r="I2593" s="1">
        <v>2.3809999999999998</v>
      </c>
      <c r="J2593" s="1">
        <v>3.5996000000000001</v>
      </c>
    </row>
    <row r="2594" spans="2:10" x14ac:dyDescent="0.3">
      <c r="B2594" s="10">
        <f t="shared" si="80"/>
        <v>2016</v>
      </c>
      <c r="C2594" s="10">
        <f t="shared" si="81"/>
        <v>5</v>
      </c>
      <c r="D2594" s="3">
        <v>42521</v>
      </c>
      <c r="E2594" s="1">
        <v>49.69</v>
      </c>
      <c r="F2594" s="1">
        <v>49.1</v>
      </c>
      <c r="G2594" s="1">
        <v>1.4975000000000001</v>
      </c>
      <c r="H2594" s="1">
        <v>1.6149</v>
      </c>
      <c r="I2594" s="1">
        <v>2.2879999999999998</v>
      </c>
      <c r="J2594" s="1">
        <v>3.6105</v>
      </c>
    </row>
    <row r="2595" spans="2:10" x14ac:dyDescent="0.3">
      <c r="B2595" s="10">
        <f t="shared" si="80"/>
        <v>2016</v>
      </c>
      <c r="C2595" s="10">
        <f t="shared" si="81"/>
        <v>5</v>
      </c>
      <c r="D2595" s="3">
        <v>42520</v>
      </c>
      <c r="E2595" s="1">
        <v>49.76</v>
      </c>
      <c r="J2595" s="1">
        <v>3.57</v>
      </c>
    </row>
    <row r="2596" spans="2:10" x14ac:dyDescent="0.3">
      <c r="B2596" s="10">
        <f t="shared" si="80"/>
        <v>2016</v>
      </c>
      <c r="C2596" s="10">
        <f t="shared" si="81"/>
        <v>5</v>
      </c>
      <c r="D2596" s="3">
        <v>42517</v>
      </c>
      <c r="E2596" s="1">
        <v>49.32</v>
      </c>
      <c r="F2596" s="1">
        <v>49.33</v>
      </c>
      <c r="G2596" s="1">
        <v>1.494</v>
      </c>
      <c r="H2596" s="1">
        <v>1.6318999999999999</v>
      </c>
      <c r="I2596" s="1">
        <v>2.169</v>
      </c>
      <c r="J2596" s="1">
        <v>3.6105</v>
      </c>
    </row>
    <row r="2597" spans="2:10" x14ac:dyDescent="0.3">
      <c r="B2597" s="10">
        <f t="shared" si="80"/>
        <v>2016</v>
      </c>
      <c r="C2597" s="10">
        <f t="shared" si="81"/>
        <v>5</v>
      </c>
      <c r="D2597" s="3">
        <v>42516</v>
      </c>
      <c r="E2597" s="1">
        <v>49.59</v>
      </c>
      <c r="F2597" s="1">
        <v>49.48</v>
      </c>
      <c r="G2597" s="1">
        <v>1.5013000000000001</v>
      </c>
      <c r="H2597" s="1">
        <v>1.6194999999999999</v>
      </c>
      <c r="I2597" s="1">
        <v>1.9630000000000001</v>
      </c>
      <c r="J2597" s="1">
        <v>3.581</v>
      </c>
    </row>
    <row r="2598" spans="2:10" x14ac:dyDescent="0.3">
      <c r="B2598" s="10">
        <f t="shared" si="80"/>
        <v>2016</v>
      </c>
      <c r="C2598" s="10">
        <f t="shared" si="81"/>
        <v>5</v>
      </c>
      <c r="D2598" s="3">
        <v>42515</v>
      </c>
      <c r="E2598" s="1">
        <v>49.74</v>
      </c>
      <c r="F2598" s="1">
        <v>49.56</v>
      </c>
      <c r="G2598" s="1">
        <v>1.5126999999999999</v>
      </c>
      <c r="H2598" s="1">
        <v>1.6415999999999999</v>
      </c>
      <c r="I2598" s="1">
        <v>1.992</v>
      </c>
      <c r="J2598" s="1">
        <v>3.5832999999999999</v>
      </c>
    </row>
    <row r="2599" spans="2:10" x14ac:dyDescent="0.3">
      <c r="B2599" s="10">
        <f t="shared" si="80"/>
        <v>2016</v>
      </c>
      <c r="C2599" s="10">
        <f t="shared" si="81"/>
        <v>5</v>
      </c>
      <c r="D2599" s="3">
        <v>42514</v>
      </c>
      <c r="E2599" s="1">
        <v>48.61</v>
      </c>
      <c r="F2599" s="1">
        <v>48.62</v>
      </c>
      <c r="G2599" s="1">
        <v>1.4886999999999999</v>
      </c>
      <c r="H2599" s="1">
        <v>1.6544000000000001</v>
      </c>
      <c r="I2599" s="1">
        <v>1.98</v>
      </c>
      <c r="J2599" s="1">
        <v>3.5703</v>
      </c>
    </row>
    <row r="2600" spans="2:10" x14ac:dyDescent="0.3">
      <c r="B2600" s="10">
        <f t="shared" si="80"/>
        <v>2016</v>
      </c>
      <c r="C2600" s="10">
        <f t="shared" si="81"/>
        <v>5</v>
      </c>
      <c r="D2600" s="3">
        <v>42513</v>
      </c>
      <c r="E2600" s="1">
        <v>48.35</v>
      </c>
      <c r="F2600" s="1">
        <v>48.08</v>
      </c>
      <c r="G2600" s="1">
        <v>1.4775</v>
      </c>
      <c r="H2600" s="1">
        <v>1.6456</v>
      </c>
      <c r="I2600" s="1">
        <v>2.0550000000000002</v>
      </c>
      <c r="J2600" s="1">
        <v>3.5722</v>
      </c>
    </row>
    <row r="2601" spans="2:10" x14ac:dyDescent="0.3">
      <c r="B2601" s="10">
        <f t="shared" si="80"/>
        <v>2016</v>
      </c>
      <c r="C2601" s="10">
        <f t="shared" si="81"/>
        <v>5</v>
      </c>
      <c r="D2601" s="3">
        <v>42510</v>
      </c>
      <c r="E2601" s="1">
        <v>48.72</v>
      </c>
      <c r="F2601" s="1">
        <v>47.75</v>
      </c>
      <c r="G2601" s="1">
        <v>1.49</v>
      </c>
      <c r="H2601" s="1">
        <v>1.6355999999999999</v>
      </c>
      <c r="I2601" s="1">
        <v>2.0619999999999998</v>
      </c>
      <c r="J2601" s="1">
        <v>3.5194999999999999</v>
      </c>
    </row>
    <row r="2602" spans="2:10" x14ac:dyDescent="0.3">
      <c r="B2602" s="10">
        <f t="shared" si="80"/>
        <v>2016</v>
      </c>
      <c r="C2602" s="10">
        <f t="shared" si="81"/>
        <v>5</v>
      </c>
      <c r="D2602" s="3">
        <v>42509</v>
      </c>
      <c r="E2602" s="1">
        <v>48.81</v>
      </c>
      <c r="F2602" s="1">
        <v>48.16</v>
      </c>
      <c r="G2602" s="1">
        <v>1.4787999999999999</v>
      </c>
      <c r="H2602" s="1">
        <v>1.6338999999999999</v>
      </c>
      <c r="I2602" s="1">
        <v>2.0390000000000001</v>
      </c>
      <c r="J2602" s="1">
        <v>3.5630999999999999</v>
      </c>
    </row>
    <row r="2603" spans="2:10" x14ac:dyDescent="0.3">
      <c r="B2603" s="10">
        <f t="shared" si="80"/>
        <v>2016</v>
      </c>
      <c r="C2603" s="10">
        <f t="shared" si="81"/>
        <v>5</v>
      </c>
      <c r="D2603" s="3">
        <v>42508</v>
      </c>
      <c r="E2603" s="1">
        <v>48.93</v>
      </c>
      <c r="F2603" s="1">
        <v>48.19</v>
      </c>
      <c r="G2603" s="1">
        <v>1.4831000000000001</v>
      </c>
      <c r="H2603" s="1">
        <v>1.6489</v>
      </c>
      <c r="I2603" s="1">
        <v>2.0009999999999999</v>
      </c>
      <c r="J2603" s="1">
        <v>3.5670000000000002</v>
      </c>
    </row>
    <row r="2604" spans="2:10" x14ac:dyDescent="0.3">
      <c r="B2604" s="10">
        <f t="shared" si="80"/>
        <v>2016</v>
      </c>
      <c r="C2604" s="10">
        <f t="shared" si="81"/>
        <v>5</v>
      </c>
      <c r="D2604" s="3">
        <v>42507</v>
      </c>
      <c r="E2604" s="1">
        <v>49.28</v>
      </c>
      <c r="F2604" s="1">
        <v>48.31</v>
      </c>
      <c r="G2604" s="1">
        <v>1.4674</v>
      </c>
      <c r="H2604" s="1">
        <v>1.6341000000000001</v>
      </c>
      <c r="I2604" s="1">
        <v>2.048</v>
      </c>
      <c r="J2604" s="1">
        <v>3.4872999999999998</v>
      </c>
    </row>
    <row r="2605" spans="2:10" x14ac:dyDescent="0.3">
      <c r="B2605" s="10">
        <f t="shared" si="80"/>
        <v>2016</v>
      </c>
      <c r="C2605" s="10">
        <f t="shared" si="81"/>
        <v>5</v>
      </c>
      <c r="D2605" s="3">
        <v>42506</v>
      </c>
      <c r="E2605" s="1">
        <v>48.97</v>
      </c>
      <c r="F2605" s="1">
        <v>47.72</v>
      </c>
      <c r="G2605" s="1">
        <v>1.4400999999999999</v>
      </c>
      <c r="H2605" s="1">
        <v>1.6063000000000001</v>
      </c>
      <c r="I2605" s="1">
        <v>2.0289999999999999</v>
      </c>
      <c r="J2605" s="1">
        <v>3.4988000000000001</v>
      </c>
    </row>
    <row r="2606" spans="2:10" x14ac:dyDescent="0.3">
      <c r="B2606" s="10">
        <f t="shared" si="80"/>
        <v>2016</v>
      </c>
      <c r="C2606" s="10">
        <f t="shared" si="81"/>
        <v>5</v>
      </c>
      <c r="D2606" s="3">
        <v>42503</v>
      </c>
      <c r="E2606" s="1">
        <v>47.83</v>
      </c>
      <c r="F2606" s="1">
        <v>46.21</v>
      </c>
      <c r="G2606" s="1">
        <v>1.4031</v>
      </c>
      <c r="H2606" s="1">
        <v>1.5882000000000001</v>
      </c>
      <c r="I2606" s="1">
        <v>2.0960000000000001</v>
      </c>
      <c r="J2606" s="1">
        <v>3.5325000000000002</v>
      </c>
    </row>
    <row r="2607" spans="2:10" x14ac:dyDescent="0.3">
      <c r="B2607" s="10">
        <f t="shared" si="80"/>
        <v>2016</v>
      </c>
      <c r="C2607" s="10">
        <f t="shared" si="81"/>
        <v>5</v>
      </c>
      <c r="D2607" s="3">
        <v>42502</v>
      </c>
      <c r="E2607" s="1">
        <v>48.08</v>
      </c>
      <c r="F2607" s="1">
        <v>46.7</v>
      </c>
      <c r="G2607" s="1">
        <v>1.3939999999999999</v>
      </c>
      <c r="H2607" s="1">
        <v>1.5832999999999999</v>
      </c>
      <c r="I2607" s="1">
        <v>2.1549999999999998</v>
      </c>
      <c r="J2607" s="1">
        <v>3.4845000000000002</v>
      </c>
    </row>
    <row r="2608" spans="2:10" x14ac:dyDescent="0.3">
      <c r="B2608" s="10">
        <f t="shared" si="80"/>
        <v>2016</v>
      </c>
      <c r="C2608" s="10">
        <f t="shared" si="81"/>
        <v>5</v>
      </c>
      <c r="D2608" s="3">
        <v>42501</v>
      </c>
      <c r="E2608" s="1">
        <v>47.6</v>
      </c>
      <c r="F2608" s="1">
        <v>46.23</v>
      </c>
      <c r="G2608" s="1">
        <v>1.3967000000000001</v>
      </c>
      <c r="H2608" s="1">
        <v>1.5814999999999999</v>
      </c>
      <c r="I2608" s="1">
        <v>2.173</v>
      </c>
      <c r="J2608" s="1">
        <v>3.4512999999999998</v>
      </c>
    </row>
    <row r="2609" spans="2:10" x14ac:dyDescent="0.3">
      <c r="B2609" s="10">
        <f t="shared" si="80"/>
        <v>2016</v>
      </c>
      <c r="C2609" s="10">
        <f t="shared" si="81"/>
        <v>5</v>
      </c>
      <c r="D2609" s="3">
        <v>42500</v>
      </c>
      <c r="E2609" s="1">
        <v>45.52</v>
      </c>
      <c r="F2609" s="1">
        <v>44.66</v>
      </c>
      <c r="G2609" s="1">
        <v>1.3374999999999999</v>
      </c>
      <c r="H2609" s="1">
        <v>1.4857</v>
      </c>
      <c r="I2609" s="1">
        <v>2.1579999999999999</v>
      </c>
      <c r="J2609" s="1">
        <v>3.4752999999999998</v>
      </c>
    </row>
    <row r="2610" spans="2:10" x14ac:dyDescent="0.3">
      <c r="B2610" s="10">
        <f t="shared" si="80"/>
        <v>2016</v>
      </c>
      <c r="C2610" s="10">
        <f t="shared" si="81"/>
        <v>5</v>
      </c>
      <c r="D2610" s="3">
        <v>42499</v>
      </c>
      <c r="E2610" s="1">
        <v>43.63</v>
      </c>
      <c r="F2610" s="1">
        <v>43.44</v>
      </c>
      <c r="G2610" s="1">
        <v>1.2863</v>
      </c>
      <c r="H2610" s="1">
        <v>1.4427000000000001</v>
      </c>
      <c r="I2610" s="1">
        <v>2.0979999999999999</v>
      </c>
      <c r="J2610" s="1">
        <v>3.5152000000000001</v>
      </c>
    </row>
    <row r="2611" spans="2:10" x14ac:dyDescent="0.3">
      <c r="B2611" s="10">
        <f t="shared" si="80"/>
        <v>2016</v>
      </c>
      <c r="C2611" s="10">
        <f t="shared" si="81"/>
        <v>5</v>
      </c>
      <c r="D2611" s="3">
        <v>42496</v>
      </c>
      <c r="E2611" s="1">
        <v>45.37</v>
      </c>
      <c r="F2611" s="1">
        <v>44.66</v>
      </c>
      <c r="G2611" s="1">
        <v>1.3372999999999999</v>
      </c>
      <c r="H2611" s="1">
        <v>1.4962</v>
      </c>
      <c r="I2611" s="1">
        <v>2.101</v>
      </c>
      <c r="J2611" s="1">
        <v>3.5007999999999999</v>
      </c>
    </row>
    <row r="2612" spans="2:10" x14ac:dyDescent="0.3">
      <c r="B2612" s="10">
        <f t="shared" si="80"/>
        <v>2016</v>
      </c>
      <c r="C2612" s="10">
        <f t="shared" si="81"/>
        <v>5</v>
      </c>
      <c r="D2612" s="3">
        <v>42495</v>
      </c>
      <c r="E2612" s="1">
        <v>45.01</v>
      </c>
      <c r="F2612" s="1">
        <v>44.32</v>
      </c>
      <c r="G2612" s="1">
        <v>1.3287</v>
      </c>
      <c r="H2612" s="1">
        <v>1.4914000000000001</v>
      </c>
      <c r="I2612" s="1">
        <v>2.0760000000000001</v>
      </c>
      <c r="J2612" s="1">
        <v>3.5343</v>
      </c>
    </row>
    <row r="2613" spans="2:10" x14ac:dyDescent="0.3">
      <c r="B2613" s="10">
        <f t="shared" si="80"/>
        <v>2016</v>
      </c>
      <c r="C2613" s="10">
        <f t="shared" si="81"/>
        <v>5</v>
      </c>
      <c r="D2613" s="3">
        <v>42494</v>
      </c>
      <c r="E2613" s="1">
        <v>44.62</v>
      </c>
      <c r="F2613" s="1">
        <v>43.78</v>
      </c>
      <c r="G2613" s="1">
        <v>1.3282</v>
      </c>
      <c r="H2613" s="1">
        <v>1.4865999999999999</v>
      </c>
      <c r="I2613" s="1">
        <v>2.141</v>
      </c>
      <c r="J2613" s="1">
        <v>3.5461999999999998</v>
      </c>
    </row>
    <row r="2614" spans="2:10" x14ac:dyDescent="0.3">
      <c r="B2614" s="10">
        <f t="shared" si="80"/>
        <v>2016</v>
      </c>
      <c r="C2614" s="10">
        <f t="shared" si="81"/>
        <v>5</v>
      </c>
      <c r="D2614" s="3">
        <v>42493</v>
      </c>
      <c r="E2614" s="1">
        <v>44.97</v>
      </c>
      <c r="F2614" s="1">
        <v>43.65</v>
      </c>
      <c r="G2614" s="1">
        <v>1.3333999999999999</v>
      </c>
      <c r="H2614" s="1">
        <v>1.51</v>
      </c>
      <c r="I2614" s="1">
        <v>2.0859999999999999</v>
      </c>
      <c r="J2614" s="1">
        <v>3.5583999999999998</v>
      </c>
    </row>
    <row r="2615" spans="2:10" x14ac:dyDescent="0.3">
      <c r="B2615" s="10">
        <f t="shared" si="80"/>
        <v>2016</v>
      </c>
      <c r="C2615" s="10">
        <f t="shared" si="81"/>
        <v>5</v>
      </c>
      <c r="D2615" s="3">
        <v>42492</v>
      </c>
      <c r="E2615" s="1">
        <v>45.83</v>
      </c>
      <c r="F2615" s="1">
        <v>44.78</v>
      </c>
      <c r="G2615" s="1">
        <v>1.3554999999999999</v>
      </c>
      <c r="H2615" s="1">
        <v>1.5628</v>
      </c>
      <c r="I2615" s="1">
        <v>2.0419999999999998</v>
      </c>
      <c r="J2615" s="1">
        <v>3.5005999999999999</v>
      </c>
    </row>
    <row r="2616" spans="2:10" x14ac:dyDescent="0.3">
      <c r="B2616" s="10">
        <f t="shared" si="80"/>
        <v>2016</v>
      </c>
      <c r="C2616" s="10">
        <f t="shared" si="81"/>
        <v>4</v>
      </c>
      <c r="D2616" s="3">
        <v>42489</v>
      </c>
      <c r="E2616" s="1">
        <v>48.13</v>
      </c>
      <c r="F2616" s="1">
        <v>45.92</v>
      </c>
      <c r="G2616" s="1">
        <v>1.3778999999999999</v>
      </c>
      <c r="H2616" s="1">
        <v>1.5848</v>
      </c>
      <c r="I2616" s="1">
        <v>2.1779999999999999</v>
      </c>
      <c r="J2616" s="1">
        <v>3.4352</v>
      </c>
    </row>
    <row r="2617" spans="2:10" x14ac:dyDescent="0.3">
      <c r="B2617" s="10">
        <f t="shared" si="80"/>
        <v>2016</v>
      </c>
      <c r="C2617" s="10">
        <f t="shared" si="81"/>
        <v>4</v>
      </c>
      <c r="D2617" s="3">
        <v>42488</v>
      </c>
      <c r="E2617" s="1">
        <v>48.14</v>
      </c>
      <c r="F2617" s="1">
        <v>46.03</v>
      </c>
      <c r="G2617" s="1">
        <v>1.4046000000000001</v>
      </c>
      <c r="H2617" s="1">
        <v>1.5980000000000001</v>
      </c>
      <c r="I2617" s="1">
        <v>2.0779999999999998</v>
      </c>
      <c r="J2617" s="1">
        <v>3.4874999999999998</v>
      </c>
    </row>
    <row r="2618" spans="2:10" x14ac:dyDescent="0.3">
      <c r="B2618" s="10">
        <f t="shared" si="80"/>
        <v>2016</v>
      </c>
      <c r="C2618" s="10">
        <f t="shared" si="81"/>
        <v>4</v>
      </c>
      <c r="D2618" s="3">
        <v>42487</v>
      </c>
      <c r="E2618" s="1">
        <v>47.18</v>
      </c>
      <c r="F2618" s="1">
        <v>45.33</v>
      </c>
      <c r="G2618" s="1">
        <v>1.3794999999999999</v>
      </c>
      <c r="H2618" s="1">
        <v>1.5808</v>
      </c>
      <c r="I2618" s="1">
        <v>1.9950000000000001</v>
      </c>
      <c r="J2618" s="1">
        <v>3.5261999999999998</v>
      </c>
    </row>
    <row r="2619" spans="2:10" x14ac:dyDescent="0.3">
      <c r="B2619" s="10">
        <f t="shared" si="80"/>
        <v>2016</v>
      </c>
      <c r="C2619" s="10">
        <f t="shared" si="81"/>
        <v>4</v>
      </c>
      <c r="D2619" s="3">
        <v>42486</v>
      </c>
      <c r="E2619" s="1">
        <v>45.74</v>
      </c>
      <c r="F2619" s="1">
        <v>44.04</v>
      </c>
      <c r="G2619" s="1">
        <v>1.3325</v>
      </c>
      <c r="H2619" s="1">
        <v>1.5660000000000001</v>
      </c>
      <c r="I2619" s="1">
        <v>2.032</v>
      </c>
      <c r="J2619" s="1">
        <v>3.5287999999999999</v>
      </c>
    </row>
    <row r="2620" spans="2:10" x14ac:dyDescent="0.3">
      <c r="B2620" s="10">
        <f t="shared" si="80"/>
        <v>2016</v>
      </c>
      <c r="C2620" s="10">
        <f t="shared" si="81"/>
        <v>4</v>
      </c>
      <c r="D2620" s="3">
        <v>42485</v>
      </c>
      <c r="E2620" s="1">
        <v>44.48</v>
      </c>
      <c r="F2620" s="1">
        <v>42.64</v>
      </c>
      <c r="G2620" s="1">
        <v>1.2903</v>
      </c>
      <c r="H2620" s="1">
        <v>1.5130999999999999</v>
      </c>
      <c r="I2620" s="1">
        <v>2.0630000000000002</v>
      </c>
      <c r="J2620" s="1">
        <v>3.5543</v>
      </c>
    </row>
    <row r="2621" spans="2:10" x14ac:dyDescent="0.3">
      <c r="B2621" s="10">
        <f t="shared" si="80"/>
        <v>2016</v>
      </c>
      <c r="C2621" s="10">
        <f t="shared" si="81"/>
        <v>4</v>
      </c>
      <c r="D2621" s="3">
        <v>42482</v>
      </c>
      <c r="E2621" s="1">
        <v>45.11</v>
      </c>
      <c r="F2621" s="1">
        <v>43.73</v>
      </c>
      <c r="G2621" s="1">
        <v>1.3089</v>
      </c>
      <c r="H2621" s="1">
        <v>1.5308999999999999</v>
      </c>
      <c r="I2621" s="1">
        <v>2.14</v>
      </c>
      <c r="J2621" s="1">
        <v>3.5638000000000001</v>
      </c>
    </row>
    <row r="2622" spans="2:10" x14ac:dyDescent="0.3">
      <c r="B2622" s="10">
        <f t="shared" si="80"/>
        <v>2016</v>
      </c>
      <c r="C2622" s="10">
        <f t="shared" si="81"/>
        <v>4</v>
      </c>
      <c r="D2622" s="3">
        <v>42481</v>
      </c>
      <c r="E2622" s="1">
        <v>44.53</v>
      </c>
      <c r="F2622" s="1">
        <v>43.18</v>
      </c>
      <c r="G2622" s="1">
        <v>1.2998000000000001</v>
      </c>
      <c r="H2622" s="1">
        <v>1.5159</v>
      </c>
      <c r="I2622" s="1">
        <v>2.0680000000000001</v>
      </c>
      <c r="J2622" s="1">
        <v>3.5371000000000001</v>
      </c>
    </row>
    <row r="2623" spans="2:10" x14ac:dyDescent="0.3">
      <c r="B2623" s="10">
        <f t="shared" si="80"/>
        <v>2016</v>
      </c>
      <c r="C2623" s="10">
        <f t="shared" si="81"/>
        <v>4</v>
      </c>
      <c r="D2623" s="3">
        <v>42480</v>
      </c>
      <c r="E2623" s="1">
        <v>45.8</v>
      </c>
      <c r="F2623" s="1">
        <v>42.63</v>
      </c>
      <c r="G2623" s="1">
        <v>1.3322000000000001</v>
      </c>
      <c r="H2623" s="1">
        <v>1.5067999999999999</v>
      </c>
      <c r="I2623" s="1">
        <v>2.069</v>
      </c>
      <c r="J2623" s="1">
        <v>3.5284</v>
      </c>
    </row>
    <row r="2624" spans="2:10" x14ac:dyDescent="0.3">
      <c r="B2624" s="10">
        <f t="shared" si="80"/>
        <v>2016</v>
      </c>
      <c r="C2624" s="10">
        <f t="shared" si="81"/>
        <v>4</v>
      </c>
      <c r="D2624" s="3">
        <v>42479</v>
      </c>
      <c r="E2624" s="1">
        <v>44.03</v>
      </c>
      <c r="F2624" s="1">
        <v>41.08</v>
      </c>
      <c r="G2624" s="1">
        <v>1.2632000000000001</v>
      </c>
      <c r="H2624" s="1">
        <v>1.4799</v>
      </c>
      <c r="I2624" s="1">
        <v>2.0880000000000001</v>
      </c>
      <c r="J2624" s="1">
        <v>3.5326</v>
      </c>
    </row>
    <row r="2625" spans="2:10" x14ac:dyDescent="0.3">
      <c r="B2625" s="10">
        <f t="shared" si="80"/>
        <v>2016</v>
      </c>
      <c r="C2625" s="10">
        <f t="shared" si="81"/>
        <v>4</v>
      </c>
      <c r="D2625" s="3">
        <v>42478</v>
      </c>
      <c r="E2625" s="1">
        <v>42.91</v>
      </c>
      <c r="F2625" s="1">
        <v>39.78</v>
      </c>
      <c r="G2625" s="1">
        <v>1.2359</v>
      </c>
      <c r="H2625" s="1">
        <v>1.4365000000000001</v>
      </c>
      <c r="I2625" s="1">
        <v>1.94</v>
      </c>
      <c r="J2625" s="1">
        <v>3.6147</v>
      </c>
    </row>
    <row r="2626" spans="2:10" x14ac:dyDescent="0.3">
      <c r="B2626" s="10">
        <f t="shared" si="80"/>
        <v>2016</v>
      </c>
      <c r="C2626" s="10">
        <f t="shared" si="81"/>
        <v>4</v>
      </c>
      <c r="D2626" s="3">
        <v>42475</v>
      </c>
      <c r="E2626" s="1">
        <v>43.1</v>
      </c>
      <c r="F2626" s="1">
        <v>40.36</v>
      </c>
      <c r="G2626" s="1">
        <v>1.2322</v>
      </c>
      <c r="H2626" s="1">
        <v>1.4612000000000001</v>
      </c>
      <c r="I2626" s="1">
        <v>1.9019999999999999</v>
      </c>
      <c r="J2626" s="1">
        <v>3.5325000000000002</v>
      </c>
    </row>
    <row r="2627" spans="2:10" x14ac:dyDescent="0.3">
      <c r="B2627" s="10">
        <f t="shared" si="80"/>
        <v>2016</v>
      </c>
      <c r="C2627" s="10">
        <f t="shared" si="81"/>
        <v>4</v>
      </c>
      <c r="D2627" s="3">
        <v>42474</v>
      </c>
      <c r="E2627" s="1">
        <v>43.84</v>
      </c>
      <c r="F2627" s="1">
        <v>41.5</v>
      </c>
      <c r="G2627" s="1">
        <v>1.2543</v>
      </c>
      <c r="H2627" s="1">
        <v>1.5056</v>
      </c>
      <c r="I2627" s="1">
        <v>1.97</v>
      </c>
      <c r="J2627" s="1">
        <v>3.4824000000000002</v>
      </c>
    </row>
    <row r="2628" spans="2:10" x14ac:dyDescent="0.3">
      <c r="B2628" s="10">
        <f t="shared" si="80"/>
        <v>2016</v>
      </c>
      <c r="C2628" s="10">
        <f t="shared" si="81"/>
        <v>4</v>
      </c>
      <c r="D2628" s="3">
        <v>42473</v>
      </c>
      <c r="E2628" s="1">
        <v>44.18</v>
      </c>
      <c r="F2628" s="1">
        <v>41.76</v>
      </c>
      <c r="G2628" s="1">
        <v>1.2656000000000001</v>
      </c>
      <c r="H2628" s="1">
        <v>1.5295000000000001</v>
      </c>
      <c r="I2628" s="1">
        <v>2.036</v>
      </c>
      <c r="J2628" s="1">
        <v>3.4973999999999998</v>
      </c>
    </row>
    <row r="2629" spans="2:10" x14ac:dyDescent="0.3">
      <c r="B2629" s="10">
        <f t="shared" si="80"/>
        <v>2016</v>
      </c>
      <c r="C2629" s="10">
        <f t="shared" si="81"/>
        <v>4</v>
      </c>
      <c r="D2629" s="3">
        <v>42472</v>
      </c>
      <c r="E2629" s="1">
        <v>44.69</v>
      </c>
      <c r="F2629" s="1">
        <v>42.17</v>
      </c>
      <c r="G2629" s="1">
        <v>1.2759</v>
      </c>
      <c r="H2629" s="1">
        <v>1.5343</v>
      </c>
      <c r="I2629" s="1">
        <v>2.004</v>
      </c>
      <c r="J2629" s="1">
        <v>3.492</v>
      </c>
    </row>
    <row r="2630" spans="2:10" x14ac:dyDescent="0.3">
      <c r="B2630" s="10">
        <f t="shared" ref="B2630:B2693" si="82">YEAR(D2630)</f>
        <v>2016</v>
      </c>
      <c r="C2630" s="10">
        <f t="shared" ref="C2630:C2693" si="83">MONTH(D2630)</f>
        <v>4</v>
      </c>
      <c r="D2630" s="3">
        <v>42471</v>
      </c>
      <c r="E2630" s="1">
        <v>42.83</v>
      </c>
      <c r="F2630" s="1">
        <v>40.36</v>
      </c>
      <c r="G2630" s="1">
        <v>1.2146999999999999</v>
      </c>
      <c r="H2630" s="1">
        <v>1.5077</v>
      </c>
      <c r="I2630" s="1">
        <v>1.9119999999999999</v>
      </c>
      <c r="J2630" s="1">
        <v>3.4912000000000001</v>
      </c>
    </row>
    <row r="2631" spans="2:10" x14ac:dyDescent="0.3">
      <c r="B2631" s="10">
        <f t="shared" si="82"/>
        <v>2016</v>
      </c>
      <c r="C2631" s="10">
        <f t="shared" si="83"/>
        <v>4</v>
      </c>
      <c r="D2631" s="3">
        <v>42468</v>
      </c>
      <c r="E2631" s="1">
        <v>41.94</v>
      </c>
      <c r="F2631" s="1">
        <v>39.72</v>
      </c>
      <c r="G2631" s="1">
        <v>1.2003999999999999</v>
      </c>
      <c r="H2631" s="1">
        <v>1.4637</v>
      </c>
      <c r="I2631" s="1">
        <v>1.99</v>
      </c>
      <c r="J2631" s="1">
        <v>3.5886</v>
      </c>
    </row>
    <row r="2632" spans="2:10" x14ac:dyDescent="0.3">
      <c r="B2632" s="10">
        <f t="shared" si="82"/>
        <v>2016</v>
      </c>
      <c r="C2632" s="10">
        <f t="shared" si="83"/>
        <v>4</v>
      </c>
      <c r="D2632" s="3">
        <v>42467</v>
      </c>
      <c r="E2632" s="1">
        <v>39.43</v>
      </c>
      <c r="F2632" s="1">
        <v>37.26</v>
      </c>
      <c r="G2632" s="1">
        <v>1.1256999999999999</v>
      </c>
      <c r="H2632" s="1">
        <v>1.3812</v>
      </c>
      <c r="I2632" s="1">
        <v>2.0179999999999998</v>
      </c>
      <c r="J2632" s="1">
        <v>3.6890000000000001</v>
      </c>
    </row>
    <row r="2633" spans="2:10" x14ac:dyDescent="0.3">
      <c r="B2633" s="10">
        <f t="shared" si="82"/>
        <v>2016</v>
      </c>
      <c r="C2633" s="10">
        <f t="shared" si="83"/>
        <v>4</v>
      </c>
      <c r="D2633" s="3">
        <v>42466</v>
      </c>
      <c r="E2633" s="1">
        <v>39.840000000000003</v>
      </c>
      <c r="F2633" s="1">
        <v>37.75</v>
      </c>
      <c r="G2633" s="1">
        <v>1.1403000000000001</v>
      </c>
      <c r="H2633" s="1">
        <v>1.3947000000000001</v>
      </c>
      <c r="I2633" s="1">
        <v>1.911</v>
      </c>
      <c r="J2633" s="1">
        <v>3.6398000000000001</v>
      </c>
    </row>
    <row r="2634" spans="2:10" x14ac:dyDescent="0.3">
      <c r="B2634" s="10">
        <f t="shared" si="82"/>
        <v>2016</v>
      </c>
      <c r="C2634" s="10">
        <f t="shared" si="83"/>
        <v>4</v>
      </c>
      <c r="D2634" s="3">
        <v>42465</v>
      </c>
      <c r="E2634" s="1">
        <v>37.869999999999997</v>
      </c>
      <c r="F2634" s="1">
        <v>35.89</v>
      </c>
      <c r="G2634" s="1">
        <v>1.0746</v>
      </c>
      <c r="H2634" s="1">
        <v>1.3777999999999999</v>
      </c>
      <c r="I2634" s="1">
        <v>1.954</v>
      </c>
      <c r="J2634" s="1">
        <v>3.6795</v>
      </c>
    </row>
    <row r="2635" spans="2:10" x14ac:dyDescent="0.3">
      <c r="B2635" s="10">
        <f t="shared" si="82"/>
        <v>2016</v>
      </c>
      <c r="C2635" s="10">
        <f t="shared" si="83"/>
        <v>4</v>
      </c>
      <c r="D2635" s="3">
        <v>42464</v>
      </c>
      <c r="E2635" s="1">
        <v>37.69</v>
      </c>
      <c r="F2635" s="1">
        <v>35.700000000000003</v>
      </c>
      <c r="G2635" s="1">
        <v>1.0889</v>
      </c>
      <c r="H2635" s="1">
        <v>1.377</v>
      </c>
      <c r="I2635" s="1">
        <v>1.998</v>
      </c>
      <c r="J2635" s="1">
        <v>3.6227999999999998</v>
      </c>
    </row>
    <row r="2636" spans="2:10" x14ac:dyDescent="0.3">
      <c r="B2636" s="10">
        <f t="shared" si="82"/>
        <v>2016</v>
      </c>
      <c r="C2636" s="10">
        <f t="shared" si="83"/>
        <v>4</v>
      </c>
      <c r="D2636" s="3">
        <v>42461</v>
      </c>
      <c r="E2636" s="1">
        <v>38.67</v>
      </c>
      <c r="F2636" s="1">
        <v>36.79</v>
      </c>
      <c r="G2636" s="1">
        <v>1.1316999999999999</v>
      </c>
      <c r="H2636" s="1">
        <v>1.4016</v>
      </c>
      <c r="I2636" s="1">
        <v>1.956</v>
      </c>
      <c r="J2636" s="1">
        <v>3.5525000000000002</v>
      </c>
    </row>
    <row r="2637" spans="2:10" x14ac:dyDescent="0.3">
      <c r="B2637" s="10">
        <f t="shared" si="82"/>
        <v>2016</v>
      </c>
      <c r="C2637" s="10">
        <f t="shared" si="83"/>
        <v>3</v>
      </c>
      <c r="D2637" s="3">
        <v>42460</v>
      </c>
      <c r="E2637" s="1">
        <v>39.6</v>
      </c>
      <c r="F2637" s="1">
        <v>38.340000000000003</v>
      </c>
      <c r="G2637" s="1">
        <v>1.1848000000000001</v>
      </c>
      <c r="H2637" s="1">
        <v>1.4265000000000001</v>
      </c>
      <c r="I2637" s="1">
        <v>1.9590000000000001</v>
      </c>
      <c r="J2637" s="1">
        <v>3.5924999999999998</v>
      </c>
    </row>
    <row r="2638" spans="2:10" x14ac:dyDescent="0.3">
      <c r="B2638" s="10">
        <f t="shared" si="82"/>
        <v>2016</v>
      </c>
      <c r="C2638" s="10">
        <f t="shared" si="83"/>
        <v>3</v>
      </c>
      <c r="D2638" s="3">
        <v>42459</v>
      </c>
      <c r="E2638" s="1">
        <v>39.26</v>
      </c>
      <c r="F2638" s="1">
        <v>38.32</v>
      </c>
      <c r="G2638" s="1">
        <v>1.1597</v>
      </c>
      <c r="H2638" s="1">
        <v>1.4363999999999999</v>
      </c>
      <c r="I2638" s="1">
        <v>1.996</v>
      </c>
      <c r="J2638" s="1">
        <v>3.5988000000000002</v>
      </c>
    </row>
    <row r="2639" spans="2:10" x14ac:dyDescent="0.3">
      <c r="B2639" s="10">
        <f t="shared" si="82"/>
        <v>2016</v>
      </c>
      <c r="C2639" s="10">
        <f t="shared" si="83"/>
        <v>3</v>
      </c>
      <c r="D2639" s="3">
        <v>42458</v>
      </c>
      <c r="E2639" s="1">
        <v>39.14</v>
      </c>
      <c r="F2639" s="1">
        <v>38.28</v>
      </c>
      <c r="G2639" s="1">
        <v>1.1555</v>
      </c>
      <c r="H2639" s="1">
        <v>1.4538</v>
      </c>
      <c r="I2639" s="1">
        <v>1.903</v>
      </c>
      <c r="J2639" s="1">
        <v>3.6379000000000001</v>
      </c>
    </row>
    <row r="2640" spans="2:10" x14ac:dyDescent="0.3">
      <c r="B2640" s="10">
        <f t="shared" si="82"/>
        <v>2016</v>
      </c>
      <c r="C2640" s="10">
        <f t="shared" si="83"/>
        <v>3</v>
      </c>
      <c r="D2640" s="3">
        <v>42457</v>
      </c>
      <c r="E2640" s="1">
        <v>40.270000000000003</v>
      </c>
      <c r="F2640" s="1">
        <v>39.39</v>
      </c>
      <c r="G2640" s="1">
        <v>1.1800999999999999</v>
      </c>
      <c r="H2640" s="1">
        <v>1.468</v>
      </c>
      <c r="I2640" s="1">
        <v>1.8480000000000001</v>
      </c>
      <c r="J2640" s="1">
        <v>3.6269999999999998</v>
      </c>
    </row>
    <row r="2641" spans="2:10" x14ac:dyDescent="0.3">
      <c r="B2641" s="10">
        <f t="shared" si="82"/>
        <v>2016</v>
      </c>
      <c r="C2641" s="10">
        <f t="shared" si="83"/>
        <v>3</v>
      </c>
      <c r="D2641" s="3">
        <v>42454</v>
      </c>
      <c r="J2641" s="1">
        <v>3.6829999999999998</v>
      </c>
    </row>
    <row r="2642" spans="2:10" x14ac:dyDescent="0.3">
      <c r="B2642" s="10">
        <f t="shared" si="82"/>
        <v>2016</v>
      </c>
      <c r="C2642" s="10">
        <f t="shared" si="83"/>
        <v>3</v>
      </c>
      <c r="D2642" s="3">
        <v>42453</v>
      </c>
      <c r="E2642" s="1">
        <v>40.44</v>
      </c>
      <c r="F2642" s="1">
        <v>39.46</v>
      </c>
      <c r="G2642" s="1">
        <v>1.1979</v>
      </c>
      <c r="H2642" s="1">
        <v>1.4659</v>
      </c>
      <c r="I2642" s="1">
        <v>1.806</v>
      </c>
      <c r="J2642" s="1">
        <v>3.6756000000000002</v>
      </c>
    </row>
    <row r="2643" spans="2:10" x14ac:dyDescent="0.3">
      <c r="B2643" s="10">
        <f t="shared" si="82"/>
        <v>2016</v>
      </c>
      <c r="C2643" s="10">
        <f t="shared" si="83"/>
        <v>3</v>
      </c>
      <c r="D2643" s="3">
        <v>42452</v>
      </c>
      <c r="E2643" s="1">
        <v>40.47</v>
      </c>
      <c r="F2643" s="1">
        <v>39.79</v>
      </c>
      <c r="G2643" s="1">
        <v>1.204</v>
      </c>
      <c r="H2643" s="1">
        <v>1.4540999999999999</v>
      </c>
      <c r="I2643" s="1">
        <v>1.794</v>
      </c>
      <c r="J2643" s="1">
        <v>3.6840999999999999</v>
      </c>
    </row>
    <row r="2644" spans="2:10" x14ac:dyDescent="0.3">
      <c r="B2644" s="10">
        <f t="shared" si="82"/>
        <v>2016</v>
      </c>
      <c r="C2644" s="10">
        <f t="shared" si="83"/>
        <v>3</v>
      </c>
      <c r="D2644" s="3">
        <v>42451</v>
      </c>
      <c r="E2644" s="1">
        <v>41.79</v>
      </c>
      <c r="F2644" s="1">
        <v>41.45</v>
      </c>
      <c r="G2644" s="1">
        <v>1.2521</v>
      </c>
      <c r="H2644" s="1">
        <v>1.4971000000000001</v>
      </c>
      <c r="I2644" s="1">
        <v>1.863</v>
      </c>
      <c r="J2644" s="1">
        <v>3.5806</v>
      </c>
    </row>
    <row r="2645" spans="2:10" x14ac:dyDescent="0.3">
      <c r="B2645" s="10">
        <f t="shared" si="82"/>
        <v>2016</v>
      </c>
      <c r="C2645" s="10">
        <f t="shared" si="83"/>
        <v>3</v>
      </c>
      <c r="D2645" s="3">
        <v>42450</v>
      </c>
      <c r="E2645" s="1">
        <v>41.54</v>
      </c>
      <c r="F2645" s="1">
        <v>39.909999999999997</v>
      </c>
      <c r="G2645" s="1">
        <v>1.2374000000000001</v>
      </c>
      <c r="H2645" s="1">
        <v>1.4589000000000001</v>
      </c>
      <c r="I2645" s="1">
        <v>1.8280000000000001</v>
      </c>
      <c r="J2645" s="1">
        <v>3.6164999999999998</v>
      </c>
    </row>
    <row r="2646" spans="2:10" x14ac:dyDescent="0.3">
      <c r="B2646" s="10">
        <f t="shared" si="82"/>
        <v>2016</v>
      </c>
      <c r="C2646" s="10">
        <f t="shared" si="83"/>
        <v>3</v>
      </c>
      <c r="D2646" s="3">
        <v>42447</v>
      </c>
      <c r="E2646" s="1">
        <v>41.2</v>
      </c>
      <c r="F2646" s="1">
        <v>39.44</v>
      </c>
      <c r="G2646" s="1">
        <v>1.2391000000000001</v>
      </c>
      <c r="H2646" s="1">
        <v>1.4273</v>
      </c>
      <c r="I2646" s="1">
        <v>1.907</v>
      </c>
      <c r="J2646" s="1">
        <v>3.6225000000000001</v>
      </c>
    </row>
    <row r="2647" spans="2:10" x14ac:dyDescent="0.3">
      <c r="B2647" s="10">
        <f t="shared" si="82"/>
        <v>2016</v>
      </c>
      <c r="C2647" s="10">
        <f t="shared" si="83"/>
        <v>3</v>
      </c>
      <c r="D2647" s="3">
        <v>42446</v>
      </c>
      <c r="E2647" s="1">
        <v>41.54</v>
      </c>
      <c r="F2647" s="1">
        <v>40.200000000000003</v>
      </c>
      <c r="G2647" s="1">
        <v>1.2544999999999999</v>
      </c>
      <c r="H2647" s="1">
        <v>1.4382999999999999</v>
      </c>
      <c r="I2647" s="1">
        <v>1.9359999999999999</v>
      </c>
      <c r="J2647" s="1">
        <v>3.6257999999999999</v>
      </c>
    </row>
    <row r="2648" spans="2:10" x14ac:dyDescent="0.3">
      <c r="B2648" s="10">
        <f t="shared" si="82"/>
        <v>2016</v>
      </c>
      <c r="C2648" s="10">
        <f t="shared" si="83"/>
        <v>3</v>
      </c>
      <c r="D2648" s="3">
        <v>42445</v>
      </c>
      <c r="E2648" s="1">
        <v>40.33</v>
      </c>
      <c r="F2648" s="1">
        <v>38.46</v>
      </c>
      <c r="G2648" s="1">
        <v>1.2312000000000001</v>
      </c>
      <c r="H2648" s="1">
        <v>1.4182999999999999</v>
      </c>
      <c r="I2648" s="1">
        <v>1.8680000000000001</v>
      </c>
      <c r="J2648" s="1">
        <v>3.7414000000000001</v>
      </c>
    </row>
    <row r="2649" spans="2:10" x14ac:dyDescent="0.3">
      <c r="B2649" s="10">
        <f t="shared" si="82"/>
        <v>2016</v>
      </c>
      <c r="C2649" s="10">
        <f t="shared" si="83"/>
        <v>3</v>
      </c>
      <c r="D2649" s="3">
        <v>42444</v>
      </c>
      <c r="E2649" s="1">
        <v>38.74</v>
      </c>
      <c r="F2649" s="1">
        <v>36.340000000000003</v>
      </c>
      <c r="G2649" s="1">
        <v>1.1777</v>
      </c>
      <c r="H2649" s="1">
        <v>1.4081999999999999</v>
      </c>
      <c r="I2649" s="1">
        <v>1.851</v>
      </c>
      <c r="J2649" s="1">
        <v>3.7641</v>
      </c>
    </row>
    <row r="2650" spans="2:10" x14ac:dyDescent="0.3">
      <c r="B2650" s="10">
        <f t="shared" si="82"/>
        <v>2016</v>
      </c>
      <c r="C2650" s="10">
        <f t="shared" si="83"/>
        <v>3</v>
      </c>
      <c r="D2650" s="3">
        <v>42443</v>
      </c>
      <c r="E2650" s="1">
        <v>39.53</v>
      </c>
      <c r="F2650" s="1">
        <v>37.18</v>
      </c>
      <c r="G2650" s="1">
        <v>1.1964999999999999</v>
      </c>
      <c r="H2650" s="1">
        <v>1.4226000000000001</v>
      </c>
      <c r="I2650" s="1">
        <v>1.819</v>
      </c>
      <c r="J2650" s="1">
        <v>3.6604999999999999</v>
      </c>
    </row>
    <row r="2651" spans="2:10" x14ac:dyDescent="0.3">
      <c r="B2651" s="10">
        <f t="shared" si="82"/>
        <v>2016</v>
      </c>
      <c r="C2651" s="10">
        <f t="shared" si="83"/>
        <v>3</v>
      </c>
      <c r="D2651" s="3">
        <v>42440</v>
      </c>
      <c r="E2651" s="1">
        <v>40.39</v>
      </c>
      <c r="F2651" s="1">
        <v>38.5</v>
      </c>
      <c r="G2651" s="1">
        <v>1.218</v>
      </c>
      <c r="H2651" s="1">
        <v>1.4442999999999999</v>
      </c>
      <c r="I2651" s="1">
        <v>1.8220000000000001</v>
      </c>
      <c r="J2651" s="1">
        <v>3.5811000000000002</v>
      </c>
    </row>
    <row r="2652" spans="2:10" x14ac:dyDescent="0.3">
      <c r="B2652" s="10">
        <f t="shared" si="82"/>
        <v>2016</v>
      </c>
      <c r="C2652" s="10">
        <f t="shared" si="83"/>
        <v>3</v>
      </c>
      <c r="D2652" s="3">
        <v>42439</v>
      </c>
      <c r="E2652" s="1">
        <v>40.049999999999997</v>
      </c>
      <c r="F2652" s="1">
        <v>37.840000000000003</v>
      </c>
      <c r="G2652" s="1">
        <v>1.2161</v>
      </c>
      <c r="H2652" s="1">
        <v>1.4390000000000001</v>
      </c>
      <c r="I2652" s="1">
        <v>1.788</v>
      </c>
      <c r="J2652" s="1">
        <v>3.62</v>
      </c>
    </row>
    <row r="2653" spans="2:10" x14ac:dyDescent="0.3">
      <c r="B2653" s="10">
        <f t="shared" si="82"/>
        <v>2016</v>
      </c>
      <c r="C2653" s="10">
        <f t="shared" si="83"/>
        <v>3</v>
      </c>
      <c r="D2653" s="3">
        <v>42438</v>
      </c>
      <c r="E2653" s="1">
        <v>41.07</v>
      </c>
      <c r="F2653" s="1">
        <v>38.29</v>
      </c>
      <c r="G2653" s="1">
        <v>1.2326999999999999</v>
      </c>
      <c r="H2653" s="1">
        <v>1.4704999999999999</v>
      </c>
      <c r="I2653" s="1">
        <v>1.752</v>
      </c>
      <c r="J2653" s="1">
        <v>3.6833999999999998</v>
      </c>
    </row>
    <row r="2654" spans="2:10" x14ac:dyDescent="0.3">
      <c r="B2654" s="10">
        <f t="shared" si="82"/>
        <v>2016</v>
      </c>
      <c r="C2654" s="10">
        <f t="shared" si="83"/>
        <v>3</v>
      </c>
      <c r="D2654" s="3">
        <v>42437</v>
      </c>
      <c r="E2654" s="1">
        <v>39.65</v>
      </c>
      <c r="F2654" s="1">
        <v>36.5</v>
      </c>
      <c r="G2654" s="1">
        <v>1.2</v>
      </c>
      <c r="H2654" s="1">
        <v>1.3877999999999999</v>
      </c>
      <c r="I2654" s="1">
        <v>1.712</v>
      </c>
      <c r="J2654" s="1">
        <v>3.7541000000000002</v>
      </c>
    </row>
    <row r="2655" spans="2:10" x14ac:dyDescent="0.3">
      <c r="B2655" s="10">
        <f t="shared" si="82"/>
        <v>2016</v>
      </c>
      <c r="C2655" s="10">
        <f t="shared" si="83"/>
        <v>3</v>
      </c>
      <c r="D2655" s="3">
        <v>42436</v>
      </c>
      <c r="E2655" s="1">
        <v>40.840000000000003</v>
      </c>
      <c r="F2655" s="1">
        <v>37.9</v>
      </c>
      <c r="G2655" s="1">
        <v>1.2224999999999999</v>
      </c>
      <c r="H2655" s="1">
        <v>1.3927</v>
      </c>
      <c r="I2655" s="1">
        <v>1.69</v>
      </c>
      <c r="J2655" s="1">
        <v>3.7814999999999999</v>
      </c>
    </row>
    <row r="2656" spans="2:10" x14ac:dyDescent="0.3">
      <c r="B2656" s="10">
        <f t="shared" si="82"/>
        <v>2016</v>
      </c>
      <c r="C2656" s="10">
        <f t="shared" si="83"/>
        <v>3</v>
      </c>
      <c r="D2656" s="3">
        <v>42433</v>
      </c>
      <c r="E2656" s="1">
        <v>38.72</v>
      </c>
      <c r="F2656" s="1">
        <v>35.92</v>
      </c>
      <c r="G2656" s="1">
        <v>1.1613</v>
      </c>
      <c r="H2656" s="1">
        <v>1.3321000000000001</v>
      </c>
      <c r="I2656" s="1">
        <v>1.6659999999999999</v>
      </c>
      <c r="J2656" s="1">
        <v>3.7585999999999999</v>
      </c>
    </row>
    <row r="2657" spans="2:10" x14ac:dyDescent="0.3">
      <c r="B2657" s="10">
        <f t="shared" si="82"/>
        <v>2016</v>
      </c>
      <c r="C2657" s="10">
        <f t="shared" si="83"/>
        <v>3</v>
      </c>
      <c r="D2657" s="3">
        <v>42432</v>
      </c>
      <c r="E2657" s="1">
        <v>37.07</v>
      </c>
      <c r="F2657" s="1">
        <v>34.57</v>
      </c>
      <c r="G2657" s="1">
        <v>1.1202000000000001</v>
      </c>
      <c r="H2657" s="1">
        <v>1.2988</v>
      </c>
      <c r="I2657" s="1">
        <v>1.639</v>
      </c>
      <c r="J2657" s="1">
        <v>3.7976000000000001</v>
      </c>
    </row>
    <row r="2658" spans="2:10" x14ac:dyDescent="0.3">
      <c r="B2658" s="10">
        <f t="shared" si="82"/>
        <v>2016</v>
      </c>
      <c r="C2658" s="10">
        <f t="shared" si="83"/>
        <v>3</v>
      </c>
      <c r="D2658" s="3">
        <v>42431</v>
      </c>
      <c r="E2658" s="1">
        <v>36.93</v>
      </c>
      <c r="F2658" s="1">
        <v>34.659999999999997</v>
      </c>
      <c r="G2658" s="1">
        <v>1.1065</v>
      </c>
      <c r="H2658" s="1">
        <v>1.3107</v>
      </c>
      <c r="I2658" s="1">
        <v>1.6779999999999999</v>
      </c>
      <c r="J2658" s="1">
        <v>3.8917000000000002</v>
      </c>
    </row>
    <row r="2659" spans="2:10" x14ac:dyDescent="0.3">
      <c r="B2659" s="10">
        <f t="shared" si="82"/>
        <v>2016</v>
      </c>
      <c r="C2659" s="10">
        <f t="shared" si="83"/>
        <v>3</v>
      </c>
      <c r="D2659" s="3">
        <v>42430</v>
      </c>
      <c r="E2659" s="1">
        <v>36.81</v>
      </c>
      <c r="F2659" s="1">
        <v>34.4</v>
      </c>
      <c r="G2659" s="1">
        <v>1.0994999999999999</v>
      </c>
      <c r="H2659" s="1">
        <v>1.3035000000000001</v>
      </c>
      <c r="I2659" s="1">
        <v>1.742</v>
      </c>
      <c r="J2659" s="1">
        <v>3.9260000000000002</v>
      </c>
    </row>
    <row r="2660" spans="2:10" x14ac:dyDescent="0.3">
      <c r="B2660" s="10">
        <f t="shared" si="82"/>
        <v>2016</v>
      </c>
      <c r="C2660" s="10">
        <f t="shared" si="83"/>
        <v>2</v>
      </c>
      <c r="D2660" s="3">
        <v>42429</v>
      </c>
      <c r="E2660" s="1">
        <v>35.97</v>
      </c>
      <c r="F2660" s="1">
        <v>33.75</v>
      </c>
      <c r="G2660" s="1">
        <v>1.0760000000000001</v>
      </c>
      <c r="H2660" s="1">
        <v>1.0497000000000001</v>
      </c>
      <c r="I2660" s="1">
        <v>1.7110000000000001</v>
      </c>
      <c r="J2660" s="1">
        <v>4.0156000000000001</v>
      </c>
    </row>
    <row r="2661" spans="2:10" x14ac:dyDescent="0.3">
      <c r="B2661" s="10">
        <f t="shared" si="82"/>
        <v>2016</v>
      </c>
      <c r="C2661" s="10">
        <f t="shared" si="83"/>
        <v>2</v>
      </c>
      <c r="D2661" s="3">
        <v>42426</v>
      </c>
      <c r="E2661" s="1">
        <v>35.1</v>
      </c>
      <c r="F2661" s="1">
        <v>32.78</v>
      </c>
      <c r="G2661" s="1">
        <v>1.0511999999999999</v>
      </c>
      <c r="H2661" s="1">
        <v>1.0165999999999999</v>
      </c>
      <c r="I2661" s="1">
        <v>1.7909999999999999</v>
      </c>
      <c r="J2661" s="1">
        <v>3.9925000000000002</v>
      </c>
    </row>
    <row r="2662" spans="2:10" x14ac:dyDescent="0.3">
      <c r="B2662" s="10">
        <f t="shared" si="82"/>
        <v>2016</v>
      </c>
      <c r="C2662" s="10">
        <f t="shared" si="83"/>
        <v>2</v>
      </c>
      <c r="D2662" s="3">
        <v>42425</v>
      </c>
      <c r="E2662" s="1">
        <v>35.29</v>
      </c>
      <c r="F2662" s="1">
        <v>33.07</v>
      </c>
      <c r="G2662" s="1">
        <v>1.07</v>
      </c>
      <c r="H2662" s="1">
        <v>1.056</v>
      </c>
      <c r="I2662" s="1">
        <v>1.7110000000000001</v>
      </c>
      <c r="J2662" s="1">
        <v>3.9544999999999999</v>
      </c>
    </row>
    <row r="2663" spans="2:10" x14ac:dyDescent="0.3">
      <c r="B2663" s="10">
        <f t="shared" si="82"/>
        <v>2016</v>
      </c>
      <c r="C2663" s="10">
        <f t="shared" si="83"/>
        <v>2</v>
      </c>
      <c r="D2663" s="3">
        <v>42424</v>
      </c>
      <c r="E2663" s="1">
        <v>34.409999999999997</v>
      </c>
      <c r="F2663" s="1">
        <v>32.15</v>
      </c>
      <c r="G2663" s="1">
        <v>1.0593999999999999</v>
      </c>
      <c r="H2663" s="1">
        <v>1.0104</v>
      </c>
      <c r="I2663" s="1">
        <v>1.778</v>
      </c>
      <c r="J2663" s="1">
        <v>3.9575999999999998</v>
      </c>
    </row>
    <row r="2664" spans="2:10" x14ac:dyDescent="0.3">
      <c r="B2664" s="10">
        <f t="shared" si="82"/>
        <v>2016</v>
      </c>
      <c r="C2664" s="10">
        <f t="shared" si="83"/>
        <v>2</v>
      </c>
      <c r="D2664" s="3">
        <v>42423</v>
      </c>
      <c r="E2664" s="1">
        <v>33.270000000000003</v>
      </c>
      <c r="F2664" s="1">
        <v>31.87</v>
      </c>
      <c r="G2664" s="1">
        <v>1.0221</v>
      </c>
      <c r="H2664" s="1">
        <v>0.96630000000000005</v>
      </c>
      <c r="I2664" s="1">
        <v>1.782</v>
      </c>
      <c r="J2664" s="1">
        <v>3.9554</v>
      </c>
    </row>
    <row r="2665" spans="2:10" x14ac:dyDescent="0.3">
      <c r="B2665" s="10">
        <f t="shared" si="82"/>
        <v>2016</v>
      </c>
      <c r="C2665" s="10">
        <f t="shared" si="83"/>
        <v>2</v>
      </c>
      <c r="D2665" s="3">
        <v>42422</v>
      </c>
      <c r="E2665" s="1">
        <v>34.69</v>
      </c>
      <c r="F2665" s="1">
        <v>31.48</v>
      </c>
      <c r="G2665" s="1">
        <v>1.0550999999999999</v>
      </c>
      <c r="H2665" s="1">
        <v>1.0005999999999999</v>
      </c>
      <c r="I2665" s="1">
        <v>1.821</v>
      </c>
      <c r="J2665" s="1">
        <v>3.9458000000000002</v>
      </c>
    </row>
    <row r="2666" spans="2:10" x14ac:dyDescent="0.3">
      <c r="B2666" s="10">
        <f t="shared" si="82"/>
        <v>2016</v>
      </c>
      <c r="C2666" s="10">
        <f t="shared" si="83"/>
        <v>2</v>
      </c>
      <c r="D2666" s="3">
        <v>42419</v>
      </c>
      <c r="E2666" s="1">
        <v>33.01</v>
      </c>
      <c r="F2666" s="1">
        <v>29.64</v>
      </c>
      <c r="G2666" s="1">
        <v>1.0255000000000001</v>
      </c>
      <c r="H2666" s="1">
        <v>0.95940000000000003</v>
      </c>
      <c r="I2666" s="1">
        <v>1.804</v>
      </c>
      <c r="J2666" s="1">
        <v>4.0198999999999998</v>
      </c>
    </row>
    <row r="2667" spans="2:10" x14ac:dyDescent="0.3">
      <c r="B2667" s="10">
        <f t="shared" si="82"/>
        <v>2016</v>
      </c>
      <c r="C2667" s="10">
        <f t="shared" si="83"/>
        <v>2</v>
      </c>
      <c r="D2667" s="3">
        <v>42418</v>
      </c>
      <c r="E2667" s="1">
        <v>34.28</v>
      </c>
      <c r="F2667" s="1">
        <v>30.77</v>
      </c>
      <c r="G2667" s="1">
        <v>1.0791999999999999</v>
      </c>
      <c r="H2667" s="1">
        <v>0.97240000000000004</v>
      </c>
      <c r="I2667" s="1">
        <v>1.8520000000000001</v>
      </c>
      <c r="J2667" s="1">
        <v>4.0269000000000004</v>
      </c>
    </row>
    <row r="2668" spans="2:10" x14ac:dyDescent="0.3">
      <c r="B2668" s="10">
        <f t="shared" si="82"/>
        <v>2016</v>
      </c>
      <c r="C2668" s="10">
        <f t="shared" si="83"/>
        <v>2</v>
      </c>
      <c r="D2668" s="3">
        <v>42417</v>
      </c>
      <c r="E2668" s="1">
        <v>34.5</v>
      </c>
      <c r="F2668" s="1">
        <v>30.66</v>
      </c>
      <c r="G2668" s="1">
        <v>1.0879000000000001</v>
      </c>
      <c r="H2668" s="1">
        <v>1.0034000000000001</v>
      </c>
      <c r="I2668" s="1">
        <v>1.9419999999999999</v>
      </c>
      <c r="J2668" s="1">
        <v>3.9836</v>
      </c>
    </row>
    <row r="2669" spans="2:10" x14ac:dyDescent="0.3">
      <c r="B2669" s="10">
        <f t="shared" si="82"/>
        <v>2016</v>
      </c>
      <c r="C2669" s="10">
        <f t="shared" si="83"/>
        <v>2</v>
      </c>
      <c r="D2669" s="3">
        <v>42416</v>
      </c>
      <c r="E2669" s="1">
        <v>32.18</v>
      </c>
      <c r="F2669" s="1">
        <v>29.04</v>
      </c>
      <c r="G2669" s="1">
        <v>1.0269999999999999</v>
      </c>
      <c r="H2669" s="1">
        <v>0.97089999999999999</v>
      </c>
      <c r="I2669" s="1">
        <v>1.903</v>
      </c>
      <c r="J2669" s="1">
        <v>4.0708000000000002</v>
      </c>
    </row>
    <row r="2670" spans="2:10" x14ac:dyDescent="0.3">
      <c r="B2670" s="10">
        <f t="shared" si="82"/>
        <v>2016</v>
      </c>
      <c r="C2670" s="10">
        <f t="shared" si="83"/>
        <v>2</v>
      </c>
      <c r="D2670" s="3">
        <v>42415</v>
      </c>
      <c r="E2670" s="1">
        <v>33.39</v>
      </c>
      <c r="J2670" s="1">
        <v>4.0045000000000002</v>
      </c>
    </row>
    <row r="2671" spans="2:10" x14ac:dyDescent="0.3">
      <c r="B2671" s="10">
        <f t="shared" si="82"/>
        <v>2016</v>
      </c>
      <c r="C2671" s="10">
        <f t="shared" si="83"/>
        <v>2</v>
      </c>
      <c r="D2671" s="3">
        <v>42412</v>
      </c>
      <c r="E2671" s="1">
        <v>33.36</v>
      </c>
      <c r="F2671" s="1">
        <v>29.44</v>
      </c>
      <c r="G2671" s="1">
        <v>1.0692999999999999</v>
      </c>
      <c r="H2671" s="1">
        <v>1.0431999999999999</v>
      </c>
      <c r="I2671" s="1">
        <v>1.966</v>
      </c>
      <c r="J2671" s="1">
        <v>4.0011999999999999</v>
      </c>
    </row>
    <row r="2672" spans="2:10" x14ac:dyDescent="0.3">
      <c r="B2672" s="10">
        <f t="shared" si="82"/>
        <v>2016</v>
      </c>
      <c r="C2672" s="10">
        <f t="shared" si="83"/>
        <v>2</v>
      </c>
      <c r="D2672" s="3">
        <v>42411</v>
      </c>
      <c r="E2672" s="1">
        <v>30.06</v>
      </c>
      <c r="F2672" s="1">
        <v>26.21</v>
      </c>
      <c r="G2672" s="1">
        <v>0.97909999999999997</v>
      </c>
      <c r="H2672" s="1">
        <v>0.94169999999999998</v>
      </c>
      <c r="I2672" s="1">
        <v>1.994</v>
      </c>
      <c r="J2672" s="1">
        <v>3.9931000000000001</v>
      </c>
    </row>
    <row r="2673" spans="2:10" x14ac:dyDescent="0.3">
      <c r="B2673" s="10">
        <f t="shared" si="82"/>
        <v>2016</v>
      </c>
      <c r="C2673" s="10">
        <f t="shared" si="83"/>
        <v>2</v>
      </c>
      <c r="D2673" s="3">
        <v>42410</v>
      </c>
      <c r="E2673" s="1">
        <v>30.84</v>
      </c>
      <c r="F2673" s="1">
        <v>27.45</v>
      </c>
      <c r="G2673" s="1">
        <v>0.97489999999999999</v>
      </c>
      <c r="H2673" s="1">
        <v>0.9425</v>
      </c>
      <c r="I2673" s="1">
        <v>2.0459999999999998</v>
      </c>
      <c r="J2673" s="1">
        <v>3.927</v>
      </c>
    </row>
    <row r="2674" spans="2:10" x14ac:dyDescent="0.3">
      <c r="B2674" s="10">
        <f t="shared" si="82"/>
        <v>2016</v>
      </c>
      <c r="C2674" s="10">
        <f t="shared" si="83"/>
        <v>2</v>
      </c>
      <c r="D2674" s="3">
        <v>42409</v>
      </c>
      <c r="E2674" s="1">
        <v>30.32</v>
      </c>
      <c r="F2674" s="1">
        <v>27.94</v>
      </c>
      <c r="G2674" s="1">
        <v>0.97489999999999999</v>
      </c>
      <c r="H2674" s="1">
        <v>0.89890000000000003</v>
      </c>
      <c r="I2674" s="1">
        <v>2.0979999999999999</v>
      </c>
      <c r="J2674" s="1">
        <v>3.8841000000000001</v>
      </c>
    </row>
    <row r="2675" spans="2:10" x14ac:dyDescent="0.3">
      <c r="B2675" s="10">
        <f t="shared" si="82"/>
        <v>2016</v>
      </c>
      <c r="C2675" s="10">
        <f t="shared" si="83"/>
        <v>2</v>
      </c>
      <c r="D2675" s="3">
        <v>42408</v>
      </c>
      <c r="E2675" s="1">
        <v>32.880000000000003</v>
      </c>
      <c r="F2675" s="1">
        <v>29.69</v>
      </c>
      <c r="G2675" s="1">
        <v>1.0464</v>
      </c>
      <c r="H2675" s="1">
        <v>0.95609999999999995</v>
      </c>
      <c r="I2675" s="1">
        <v>2.14</v>
      </c>
      <c r="J2675" s="1">
        <v>3.8938999999999999</v>
      </c>
    </row>
    <row r="2676" spans="2:10" x14ac:dyDescent="0.3">
      <c r="B2676" s="10">
        <f t="shared" si="82"/>
        <v>2016</v>
      </c>
      <c r="C2676" s="10">
        <f t="shared" si="83"/>
        <v>2</v>
      </c>
      <c r="D2676" s="3">
        <v>42405</v>
      </c>
      <c r="E2676" s="1">
        <v>34.06</v>
      </c>
      <c r="F2676" s="1">
        <v>30.89</v>
      </c>
      <c r="G2676" s="1">
        <v>1.0589999999999999</v>
      </c>
      <c r="H2676" s="1">
        <v>0.99270000000000003</v>
      </c>
      <c r="I2676" s="1">
        <v>2.0630000000000002</v>
      </c>
      <c r="J2676" s="1">
        <v>3.9020000000000001</v>
      </c>
    </row>
    <row r="2677" spans="2:10" x14ac:dyDescent="0.3">
      <c r="B2677" s="10">
        <f t="shared" si="82"/>
        <v>2016</v>
      </c>
      <c r="C2677" s="10">
        <f t="shared" si="83"/>
        <v>2</v>
      </c>
      <c r="D2677" s="3">
        <v>42404</v>
      </c>
      <c r="E2677" s="1">
        <v>34.46</v>
      </c>
      <c r="F2677" s="1">
        <v>31.72</v>
      </c>
      <c r="G2677" s="1">
        <v>1.0805</v>
      </c>
      <c r="H2677" s="1">
        <v>1.0284</v>
      </c>
      <c r="I2677" s="1">
        <v>1.972</v>
      </c>
      <c r="J2677" s="1">
        <v>3.8881999999999999</v>
      </c>
    </row>
    <row r="2678" spans="2:10" x14ac:dyDescent="0.3">
      <c r="B2678" s="10">
        <f t="shared" si="82"/>
        <v>2016</v>
      </c>
      <c r="C2678" s="10">
        <f t="shared" si="83"/>
        <v>2</v>
      </c>
      <c r="D2678" s="3">
        <v>42403</v>
      </c>
      <c r="E2678" s="1">
        <v>35.04</v>
      </c>
      <c r="F2678" s="1">
        <v>32.28</v>
      </c>
      <c r="G2678" s="1">
        <v>1.0786</v>
      </c>
      <c r="H2678" s="1">
        <v>1.0137</v>
      </c>
      <c r="I2678" s="1">
        <v>2.0379999999999998</v>
      </c>
      <c r="J2678" s="1">
        <v>3.8938999999999999</v>
      </c>
    </row>
    <row r="2679" spans="2:10" x14ac:dyDescent="0.3">
      <c r="B2679" s="10">
        <f t="shared" si="82"/>
        <v>2016</v>
      </c>
      <c r="C2679" s="10">
        <f t="shared" si="83"/>
        <v>2</v>
      </c>
      <c r="D2679" s="3">
        <v>42402</v>
      </c>
      <c r="E2679" s="1">
        <v>32.72</v>
      </c>
      <c r="F2679" s="1">
        <v>29.88</v>
      </c>
      <c r="G2679" s="1">
        <v>1.0108999999999999</v>
      </c>
      <c r="H2679" s="1">
        <v>1.0007999999999999</v>
      </c>
      <c r="I2679" s="1">
        <v>2.0249999999999999</v>
      </c>
      <c r="J2679" s="1">
        <v>3.988</v>
      </c>
    </row>
    <row r="2680" spans="2:10" x14ac:dyDescent="0.3">
      <c r="B2680" s="10">
        <f t="shared" si="82"/>
        <v>2016</v>
      </c>
      <c r="C2680" s="10">
        <f t="shared" si="83"/>
        <v>2</v>
      </c>
      <c r="D2680" s="3">
        <v>42401</v>
      </c>
      <c r="E2680" s="1">
        <v>34.24</v>
      </c>
      <c r="F2680" s="1">
        <v>31.62</v>
      </c>
      <c r="G2680" s="1">
        <v>1.0365</v>
      </c>
      <c r="H2680" s="1">
        <v>1.083</v>
      </c>
      <c r="I2680" s="1">
        <v>2.1520000000000001</v>
      </c>
      <c r="J2680" s="1">
        <v>3.9613999999999998</v>
      </c>
    </row>
    <row r="2681" spans="2:10" x14ac:dyDescent="0.3">
      <c r="B2681" s="10">
        <f t="shared" si="82"/>
        <v>2016</v>
      </c>
      <c r="C2681" s="10">
        <f t="shared" si="83"/>
        <v>1</v>
      </c>
      <c r="D2681" s="3">
        <v>42398</v>
      </c>
      <c r="E2681" s="1">
        <v>34.74</v>
      </c>
      <c r="F2681" s="1">
        <v>33.619999999999997</v>
      </c>
      <c r="G2681" s="1">
        <v>1.0550999999999999</v>
      </c>
      <c r="H2681" s="1">
        <v>1.1031</v>
      </c>
      <c r="I2681" s="1">
        <v>2.298</v>
      </c>
      <c r="J2681" s="1">
        <v>3.9973000000000001</v>
      </c>
    </row>
    <row r="2682" spans="2:10" x14ac:dyDescent="0.3">
      <c r="B2682" s="10">
        <f t="shared" si="82"/>
        <v>2016</v>
      </c>
      <c r="C2682" s="10">
        <f t="shared" si="83"/>
        <v>1</v>
      </c>
      <c r="D2682" s="3">
        <v>42397</v>
      </c>
      <c r="E2682" s="1">
        <v>33.89</v>
      </c>
      <c r="F2682" s="1">
        <v>33.22</v>
      </c>
      <c r="G2682" s="1">
        <v>1.0308999999999999</v>
      </c>
      <c r="H2682" s="1">
        <v>1.079</v>
      </c>
      <c r="I2682" s="1">
        <v>2.1819999999999999</v>
      </c>
      <c r="J2682" s="1">
        <v>4.0683999999999996</v>
      </c>
    </row>
    <row r="2683" spans="2:10" x14ac:dyDescent="0.3">
      <c r="B2683" s="10">
        <f t="shared" si="82"/>
        <v>2016</v>
      </c>
      <c r="C2683" s="10">
        <f t="shared" si="83"/>
        <v>1</v>
      </c>
      <c r="D2683" s="3">
        <v>42396</v>
      </c>
      <c r="E2683" s="1">
        <v>33.1</v>
      </c>
      <c r="F2683" s="1">
        <v>32.299999999999997</v>
      </c>
      <c r="G2683" s="1">
        <v>1.0251999999999999</v>
      </c>
      <c r="H2683" s="1">
        <v>1.0457000000000001</v>
      </c>
      <c r="I2683" s="1">
        <v>2.1890000000000001</v>
      </c>
      <c r="J2683" s="1">
        <v>4.1062000000000003</v>
      </c>
    </row>
    <row r="2684" spans="2:10" x14ac:dyDescent="0.3">
      <c r="B2684" s="10">
        <f t="shared" si="82"/>
        <v>2016</v>
      </c>
      <c r="C2684" s="10">
        <f t="shared" si="83"/>
        <v>1</v>
      </c>
      <c r="D2684" s="3">
        <v>42395</v>
      </c>
      <c r="E2684" s="1">
        <v>31.8</v>
      </c>
      <c r="F2684" s="1">
        <v>31.45</v>
      </c>
      <c r="G2684" s="1">
        <v>0.9677</v>
      </c>
      <c r="H2684" s="1">
        <v>1.0471999999999999</v>
      </c>
      <c r="I2684" s="1">
        <v>2.1800000000000002</v>
      </c>
      <c r="J2684" s="1">
        <v>4.0521000000000003</v>
      </c>
    </row>
    <row r="2685" spans="2:10" x14ac:dyDescent="0.3">
      <c r="B2685" s="10">
        <f t="shared" si="82"/>
        <v>2016</v>
      </c>
      <c r="C2685" s="10">
        <f t="shared" si="83"/>
        <v>1</v>
      </c>
      <c r="D2685" s="3">
        <v>42394</v>
      </c>
      <c r="E2685" s="1">
        <v>30.5</v>
      </c>
      <c r="F2685" s="1">
        <v>30.34</v>
      </c>
      <c r="G2685" s="1">
        <v>0.93530000000000002</v>
      </c>
      <c r="H2685" s="1">
        <v>1.03</v>
      </c>
      <c r="I2685" s="1">
        <v>2.1579999999999999</v>
      </c>
      <c r="J2685" s="1">
        <v>4.0888</v>
      </c>
    </row>
    <row r="2686" spans="2:10" x14ac:dyDescent="0.3">
      <c r="B2686" s="10">
        <f t="shared" si="82"/>
        <v>2016</v>
      </c>
      <c r="C2686" s="10">
        <f t="shared" si="83"/>
        <v>1</v>
      </c>
      <c r="D2686" s="3">
        <v>42391</v>
      </c>
      <c r="E2686" s="1">
        <v>32.18</v>
      </c>
      <c r="F2686" s="1">
        <v>32.19</v>
      </c>
      <c r="G2686" s="1">
        <v>0.99570000000000003</v>
      </c>
      <c r="H2686" s="1">
        <v>1.0838000000000001</v>
      </c>
      <c r="I2686" s="1">
        <v>2.1389999999999998</v>
      </c>
      <c r="J2686" s="1">
        <v>4.093</v>
      </c>
    </row>
    <row r="2687" spans="2:10" x14ac:dyDescent="0.3">
      <c r="B2687" s="10">
        <f t="shared" si="82"/>
        <v>2016</v>
      </c>
      <c r="C2687" s="10">
        <f t="shared" si="83"/>
        <v>1</v>
      </c>
      <c r="D2687" s="3">
        <v>42390</v>
      </c>
      <c r="E2687" s="1">
        <v>29.25</v>
      </c>
      <c r="F2687" s="1">
        <v>29.53</v>
      </c>
      <c r="G2687" s="1">
        <v>0.89749999999999996</v>
      </c>
      <c r="H2687" s="1">
        <v>1.0311999999999999</v>
      </c>
      <c r="I2687" s="1">
        <v>2.1379999999999999</v>
      </c>
      <c r="J2687" s="1">
        <v>4.1559999999999997</v>
      </c>
    </row>
    <row r="2688" spans="2:10" x14ac:dyDescent="0.3">
      <c r="B2688" s="10">
        <f t="shared" si="82"/>
        <v>2016</v>
      </c>
      <c r="C2688" s="10">
        <f t="shared" si="83"/>
        <v>1</v>
      </c>
      <c r="D2688" s="3">
        <v>42389</v>
      </c>
      <c r="E2688" s="1">
        <v>27.88</v>
      </c>
      <c r="F2688" s="1">
        <v>26.55</v>
      </c>
      <c r="G2688" s="1">
        <v>0.86570000000000003</v>
      </c>
      <c r="H2688" s="1">
        <v>1.0177</v>
      </c>
      <c r="I2688" s="1">
        <v>2.1179999999999999</v>
      </c>
      <c r="J2688" s="1">
        <v>4.0956000000000001</v>
      </c>
    </row>
    <row r="2689" spans="2:10" x14ac:dyDescent="0.3">
      <c r="B2689" s="10">
        <f t="shared" si="82"/>
        <v>2016</v>
      </c>
      <c r="C2689" s="10">
        <f t="shared" si="83"/>
        <v>1</v>
      </c>
      <c r="D2689" s="3">
        <v>42388</v>
      </c>
      <c r="E2689" s="1">
        <v>28.76</v>
      </c>
      <c r="F2689" s="1">
        <v>28.46</v>
      </c>
      <c r="G2689" s="1">
        <v>0.90869999999999995</v>
      </c>
      <c r="H2689" s="1">
        <v>1.0262</v>
      </c>
      <c r="I2689" s="1">
        <v>2.0910000000000002</v>
      </c>
      <c r="J2689" s="1">
        <v>4.0610999999999997</v>
      </c>
    </row>
    <row r="2690" spans="2:10" x14ac:dyDescent="0.3">
      <c r="B2690" s="10">
        <f t="shared" si="82"/>
        <v>2016</v>
      </c>
      <c r="C2690" s="10">
        <f t="shared" si="83"/>
        <v>1</v>
      </c>
      <c r="D2690" s="3">
        <v>42387</v>
      </c>
      <c r="E2690" s="1">
        <v>28.55</v>
      </c>
      <c r="J2690" s="1">
        <v>4.0541999999999998</v>
      </c>
    </row>
    <row r="2691" spans="2:10" x14ac:dyDescent="0.3">
      <c r="B2691" s="10">
        <f t="shared" si="82"/>
        <v>2016</v>
      </c>
      <c r="C2691" s="10">
        <f t="shared" si="83"/>
        <v>1</v>
      </c>
      <c r="D2691" s="3">
        <v>42384</v>
      </c>
      <c r="E2691" s="1">
        <v>28.94</v>
      </c>
      <c r="F2691" s="1">
        <v>29.42</v>
      </c>
      <c r="G2691" s="1">
        <v>0.93430000000000002</v>
      </c>
      <c r="H2691" s="1">
        <v>1.0212000000000001</v>
      </c>
      <c r="I2691" s="1">
        <v>2.1</v>
      </c>
      <c r="J2691" s="1">
        <v>4.0464000000000002</v>
      </c>
    </row>
    <row r="2692" spans="2:10" x14ac:dyDescent="0.3">
      <c r="B2692" s="10">
        <f t="shared" si="82"/>
        <v>2016</v>
      </c>
      <c r="C2692" s="10">
        <f t="shared" si="83"/>
        <v>1</v>
      </c>
      <c r="D2692" s="3">
        <v>42383</v>
      </c>
      <c r="E2692" s="1">
        <v>31.03</v>
      </c>
      <c r="F2692" s="1">
        <v>31.2</v>
      </c>
      <c r="G2692" s="1">
        <v>0.98080000000000001</v>
      </c>
      <c r="H2692" s="1">
        <v>1.0684</v>
      </c>
      <c r="I2692" s="1">
        <v>2.1389999999999998</v>
      </c>
      <c r="J2692" s="1">
        <v>3.9981</v>
      </c>
    </row>
    <row r="2693" spans="2:10" x14ac:dyDescent="0.3">
      <c r="B2693" s="10">
        <f t="shared" si="82"/>
        <v>2016</v>
      </c>
      <c r="C2693" s="10">
        <f t="shared" si="83"/>
        <v>1</v>
      </c>
      <c r="D2693" s="3">
        <v>42382</v>
      </c>
      <c r="E2693" s="1">
        <v>30.31</v>
      </c>
      <c r="F2693" s="1">
        <v>30.48</v>
      </c>
      <c r="G2693" s="1">
        <v>0.96940000000000004</v>
      </c>
      <c r="H2693" s="1">
        <v>1.0528</v>
      </c>
      <c r="I2693" s="1">
        <v>2.2690000000000001</v>
      </c>
      <c r="J2693" s="1">
        <v>4.0143000000000004</v>
      </c>
    </row>
    <row r="2694" spans="2:10" x14ac:dyDescent="0.3">
      <c r="B2694" s="10">
        <f t="shared" ref="B2694:B2757" si="84">YEAR(D2694)</f>
        <v>2016</v>
      </c>
      <c r="C2694" s="10">
        <f t="shared" ref="C2694:C2757" si="85">MONTH(D2694)</f>
        <v>1</v>
      </c>
      <c r="D2694" s="3">
        <v>42381</v>
      </c>
      <c r="E2694" s="1">
        <v>30.86</v>
      </c>
      <c r="F2694" s="1">
        <v>30.44</v>
      </c>
      <c r="G2694" s="1">
        <v>0.99009999999999998</v>
      </c>
      <c r="H2694" s="1">
        <v>1.0848</v>
      </c>
      <c r="I2694" s="1">
        <v>2.2570000000000001</v>
      </c>
      <c r="J2694" s="1">
        <v>4.0274999999999999</v>
      </c>
    </row>
    <row r="2695" spans="2:10" x14ac:dyDescent="0.3">
      <c r="B2695" s="10">
        <f t="shared" si="84"/>
        <v>2016</v>
      </c>
      <c r="C2695" s="10">
        <f t="shared" si="85"/>
        <v>1</v>
      </c>
      <c r="D2695" s="3">
        <v>42380</v>
      </c>
      <c r="E2695" s="1">
        <v>31.55</v>
      </c>
      <c r="F2695" s="1">
        <v>31.41</v>
      </c>
      <c r="G2695" s="1">
        <v>1.0148999999999999</v>
      </c>
      <c r="H2695" s="1">
        <v>1.113</v>
      </c>
      <c r="I2695" s="1">
        <v>2.3959999999999999</v>
      </c>
      <c r="J2695" s="1">
        <v>4.0522</v>
      </c>
    </row>
    <row r="2696" spans="2:10" x14ac:dyDescent="0.3">
      <c r="B2696" s="10">
        <f t="shared" si="84"/>
        <v>2016</v>
      </c>
      <c r="C2696" s="10">
        <f t="shared" si="85"/>
        <v>1</v>
      </c>
      <c r="D2696" s="3">
        <v>42377</v>
      </c>
      <c r="E2696" s="1">
        <v>33.549999999999997</v>
      </c>
      <c r="F2696" s="1">
        <v>33.159999999999997</v>
      </c>
      <c r="G2696" s="1">
        <v>1.0521</v>
      </c>
      <c r="H2696" s="1">
        <v>1.1276999999999999</v>
      </c>
      <c r="I2696" s="1">
        <v>2.472</v>
      </c>
      <c r="J2696" s="1">
        <v>4.0229999999999997</v>
      </c>
    </row>
    <row r="2697" spans="2:10" x14ac:dyDescent="0.3">
      <c r="B2697" s="10">
        <f t="shared" si="84"/>
        <v>2016</v>
      </c>
      <c r="C2697" s="10">
        <f t="shared" si="85"/>
        <v>1</v>
      </c>
      <c r="D2697" s="3">
        <v>42376</v>
      </c>
      <c r="E2697" s="1">
        <v>33.75</v>
      </c>
      <c r="F2697" s="1">
        <v>33.270000000000003</v>
      </c>
      <c r="G2697" s="1">
        <v>1.0656000000000001</v>
      </c>
      <c r="H2697" s="1">
        <v>1.1459999999999999</v>
      </c>
      <c r="I2697" s="1">
        <v>2.3820000000000001</v>
      </c>
      <c r="J2697" s="1">
        <v>4.0433000000000003</v>
      </c>
    </row>
    <row r="2698" spans="2:10" x14ac:dyDescent="0.3">
      <c r="B2698" s="10">
        <f t="shared" si="84"/>
        <v>2016</v>
      </c>
      <c r="C2698" s="10">
        <f t="shared" si="85"/>
        <v>1</v>
      </c>
      <c r="D2698" s="3">
        <v>42375</v>
      </c>
      <c r="E2698" s="1">
        <v>34.229999999999997</v>
      </c>
      <c r="F2698" s="1">
        <v>33.97</v>
      </c>
      <c r="G2698" s="1">
        <v>1.0807</v>
      </c>
      <c r="H2698" s="1">
        <v>1.1617999999999999</v>
      </c>
      <c r="I2698" s="1">
        <v>2.2669999999999999</v>
      </c>
      <c r="J2698" s="1">
        <v>4.0228999999999999</v>
      </c>
    </row>
    <row r="2699" spans="2:10" x14ac:dyDescent="0.3">
      <c r="B2699" s="10">
        <f t="shared" si="84"/>
        <v>2016</v>
      </c>
      <c r="C2699" s="10">
        <f t="shared" si="85"/>
        <v>1</v>
      </c>
      <c r="D2699" s="3">
        <v>42374</v>
      </c>
      <c r="E2699" s="1">
        <v>36.42</v>
      </c>
      <c r="F2699" s="1">
        <v>35.97</v>
      </c>
      <c r="G2699" s="1">
        <v>1.1253</v>
      </c>
      <c r="H2699" s="1">
        <v>1.2566999999999999</v>
      </c>
      <c r="I2699" s="1">
        <v>2.3250000000000002</v>
      </c>
      <c r="J2699" s="1">
        <v>4.0061999999999998</v>
      </c>
    </row>
    <row r="2700" spans="2:10" x14ac:dyDescent="0.3">
      <c r="B2700" s="10">
        <f t="shared" si="84"/>
        <v>2016</v>
      </c>
      <c r="C2700" s="10">
        <f t="shared" si="85"/>
        <v>1</v>
      </c>
      <c r="D2700" s="3">
        <v>42373</v>
      </c>
      <c r="E2700" s="1">
        <v>37.22</v>
      </c>
      <c r="F2700" s="1">
        <v>36.76</v>
      </c>
      <c r="G2700" s="1">
        <v>1.1264000000000001</v>
      </c>
      <c r="H2700" s="1">
        <v>1.2907</v>
      </c>
      <c r="I2700" s="1">
        <v>2.3340000000000001</v>
      </c>
      <c r="J2700" s="1">
        <v>4.0387000000000004</v>
      </c>
    </row>
    <row r="2701" spans="2:10" x14ac:dyDescent="0.3">
      <c r="B2701" s="10">
        <f t="shared" si="84"/>
        <v>2016</v>
      </c>
      <c r="C2701" s="10">
        <f t="shared" si="85"/>
        <v>1</v>
      </c>
      <c r="D2701" s="3">
        <v>42370</v>
      </c>
      <c r="J2701" s="1">
        <v>3.9592999999999998</v>
      </c>
    </row>
    <row r="2702" spans="2:10" x14ac:dyDescent="0.3">
      <c r="B2702" s="10">
        <f t="shared" si="84"/>
        <v>2015</v>
      </c>
      <c r="C2702" s="10">
        <f t="shared" si="85"/>
        <v>12</v>
      </c>
      <c r="D2702" s="3">
        <v>42369</v>
      </c>
      <c r="E2702" s="1">
        <v>37.28</v>
      </c>
      <c r="F2702" s="1">
        <v>37.04</v>
      </c>
      <c r="G2702" s="1">
        <v>1.1007</v>
      </c>
      <c r="H2702" s="1">
        <v>1.2670999999999999</v>
      </c>
      <c r="I2702" s="1">
        <v>2.3370000000000002</v>
      </c>
      <c r="J2702" s="1">
        <v>3.9592999999999998</v>
      </c>
    </row>
    <row r="2703" spans="2:10" x14ac:dyDescent="0.3">
      <c r="B2703" s="10">
        <f t="shared" si="84"/>
        <v>2015</v>
      </c>
      <c r="C2703" s="10">
        <f t="shared" si="85"/>
        <v>12</v>
      </c>
      <c r="D2703" s="3">
        <v>42368</v>
      </c>
      <c r="E2703" s="1">
        <v>36.46</v>
      </c>
      <c r="F2703" s="1">
        <v>36.6</v>
      </c>
      <c r="G2703" s="1">
        <v>1.0790999999999999</v>
      </c>
      <c r="H2703" s="1">
        <v>1.23</v>
      </c>
      <c r="I2703" s="1">
        <v>2.214</v>
      </c>
      <c r="J2703" s="1">
        <v>3.9592999999999998</v>
      </c>
    </row>
    <row r="2704" spans="2:10" x14ac:dyDescent="0.3">
      <c r="B2704" s="10">
        <f t="shared" si="84"/>
        <v>2015</v>
      </c>
      <c r="C2704" s="10">
        <f t="shared" si="85"/>
        <v>12</v>
      </c>
      <c r="D2704" s="3">
        <v>42367</v>
      </c>
      <c r="E2704" s="1">
        <v>37.79</v>
      </c>
      <c r="F2704" s="1">
        <v>37.869999999999997</v>
      </c>
      <c r="G2704" s="1">
        <v>1.1294999999999999</v>
      </c>
      <c r="H2704" s="1">
        <v>1.276</v>
      </c>
      <c r="I2704" s="1">
        <v>2.3719999999999999</v>
      </c>
      <c r="J2704" s="1">
        <v>3.8639999999999999</v>
      </c>
    </row>
    <row r="2705" spans="2:10" x14ac:dyDescent="0.3">
      <c r="B2705" s="10">
        <f t="shared" si="84"/>
        <v>2015</v>
      </c>
      <c r="C2705" s="10">
        <f t="shared" si="85"/>
        <v>12</v>
      </c>
      <c r="D2705" s="3">
        <v>42366</v>
      </c>
      <c r="E2705" s="1">
        <v>36.619999999999997</v>
      </c>
      <c r="F2705" s="1">
        <v>36.81</v>
      </c>
      <c r="G2705" s="1">
        <v>1.0904</v>
      </c>
      <c r="H2705" s="1">
        <v>1.2325999999999999</v>
      </c>
      <c r="I2705" s="1">
        <v>2.2280000000000002</v>
      </c>
      <c r="J2705" s="1">
        <v>3.8571</v>
      </c>
    </row>
    <row r="2706" spans="2:10" x14ac:dyDescent="0.3">
      <c r="B2706" s="10">
        <f t="shared" si="84"/>
        <v>2015</v>
      </c>
      <c r="C2706" s="10">
        <f t="shared" si="85"/>
        <v>12</v>
      </c>
      <c r="D2706" s="3">
        <v>42363</v>
      </c>
      <c r="J2706" s="1">
        <v>3.9447999999999999</v>
      </c>
    </row>
    <row r="2707" spans="2:10" x14ac:dyDescent="0.3">
      <c r="B2707" s="10">
        <f t="shared" si="84"/>
        <v>2015</v>
      </c>
      <c r="C2707" s="10">
        <f t="shared" si="85"/>
        <v>12</v>
      </c>
      <c r="D2707" s="3">
        <v>42362</v>
      </c>
      <c r="E2707" s="1">
        <v>37.89</v>
      </c>
      <c r="F2707" s="1">
        <v>38.1</v>
      </c>
      <c r="G2707" s="1">
        <v>1.1009</v>
      </c>
      <c r="H2707" s="1">
        <v>1.2643</v>
      </c>
      <c r="I2707" s="1">
        <v>2.0289999999999999</v>
      </c>
      <c r="J2707" s="1">
        <v>3.9514999999999998</v>
      </c>
    </row>
    <row r="2708" spans="2:10" x14ac:dyDescent="0.3">
      <c r="B2708" s="10">
        <f t="shared" si="84"/>
        <v>2015</v>
      </c>
      <c r="C2708" s="10">
        <f t="shared" si="85"/>
        <v>12</v>
      </c>
      <c r="D2708" s="3">
        <v>42361</v>
      </c>
      <c r="E2708" s="1">
        <v>37.36</v>
      </c>
      <c r="F2708" s="1">
        <v>37.5</v>
      </c>
      <c r="G2708" s="1">
        <v>1.1192</v>
      </c>
      <c r="H2708" s="1">
        <v>1.2414000000000001</v>
      </c>
      <c r="I2708" s="1">
        <v>1.9830000000000001</v>
      </c>
      <c r="J2708" s="1">
        <v>3.9403999999999999</v>
      </c>
    </row>
    <row r="2709" spans="2:10" x14ac:dyDescent="0.3">
      <c r="B2709" s="10">
        <f t="shared" si="84"/>
        <v>2015</v>
      </c>
      <c r="C2709" s="10">
        <f t="shared" si="85"/>
        <v>12</v>
      </c>
      <c r="D2709" s="3">
        <v>42360</v>
      </c>
      <c r="E2709" s="1">
        <v>36.11</v>
      </c>
      <c r="F2709" s="1">
        <v>36.14</v>
      </c>
      <c r="G2709" s="1">
        <v>1.0875999999999999</v>
      </c>
      <c r="H2709" s="1">
        <v>1.1749000000000001</v>
      </c>
      <c r="I2709" s="1">
        <v>1.8879999999999999</v>
      </c>
      <c r="J2709" s="1">
        <v>3.9883999999999999</v>
      </c>
    </row>
    <row r="2710" spans="2:10" x14ac:dyDescent="0.3">
      <c r="B2710" s="10">
        <f t="shared" si="84"/>
        <v>2015</v>
      </c>
      <c r="C2710" s="10">
        <f t="shared" si="85"/>
        <v>12</v>
      </c>
      <c r="D2710" s="3">
        <v>42359</v>
      </c>
      <c r="E2710" s="1">
        <v>36.35</v>
      </c>
      <c r="F2710" s="1">
        <v>34.74</v>
      </c>
      <c r="G2710" s="1">
        <v>1.1004</v>
      </c>
      <c r="H2710" s="1">
        <v>1.2094</v>
      </c>
      <c r="I2710" s="1">
        <v>1.911</v>
      </c>
      <c r="J2710" s="1">
        <v>4.0118999999999998</v>
      </c>
    </row>
    <row r="2711" spans="2:10" x14ac:dyDescent="0.3">
      <c r="B2711" s="10">
        <f t="shared" si="84"/>
        <v>2015</v>
      </c>
      <c r="C2711" s="10">
        <f t="shared" si="85"/>
        <v>12</v>
      </c>
      <c r="D2711" s="3">
        <v>42356</v>
      </c>
      <c r="E2711" s="1">
        <v>36.880000000000003</v>
      </c>
      <c r="F2711" s="1">
        <v>34.729999999999997</v>
      </c>
      <c r="G2711" s="1">
        <v>1.1071</v>
      </c>
      <c r="H2711" s="1">
        <v>1.2746</v>
      </c>
      <c r="I2711" s="1">
        <v>1.7669999999999999</v>
      </c>
      <c r="J2711" s="1">
        <v>3.9809000000000001</v>
      </c>
    </row>
    <row r="2712" spans="2:10" x14ac:dyDescent="0.3">
      <c r="B2712" s="10">
        <f t="shared" si="84"/>
        <v>2015</v>
      </c>
      <c r="C2712" s="10">
        <f t="shared" si="85"/>
        <v>12</v>
      </c>
      <c r="D2712" s="3">
        <v>42355</v>
      </c>
      <c r="E2712" s="1">
        <v>37.06</v>
      </c>
      <c r="F2712" s="1">
        <v>34.950000000000003</v>
      </c>
      <c r="G2712" s="1">
        <v>1.1052999999999999</v>
      </c>
      <c r="H2712" s="1">
        <v>1.2616000000000001</v>
      </c>
      <c r="I2712" s="1">
        <v>1.7549999999999999</v>
      </c>
      <c r="J2712" s="1">
        <v>3.8780999999999999</v>
      </c>
    </row>
    <row r="2713" spans="2:10" x14ac:dyDescent="0.3">
      <c r="B2713" s="10">
        <f t="shared" si="84"/>
        <v>2015</v>
      </c>
      <c r="C2713" s="10">
        <f t="shared" si="85"/>
        <v>12</v>
      </c>
      <c r="D2713" s="3">
        <v>42354</v>
      </c>
      <c r="E2713" s="1">
        <v>37.19</v>
      </c>
      <c r="F2713" s="1">
        <v>35.520000000000003</v>
      </c>
      <c r="G2713" s="1">
        <v>1.1122000000000001</v>
      </c>
      <c r="H2713" s="1">
        <v>1.2327999999999999</v>
      </c>
      <c r="I2713" s="1">
        <v>1.79</v>
      </c>
      <c r="J2713" s="1">
        <v>3.8833000000000002</v>
      </c>
    </row>
    <row r="2714" spans="2:10" x14ac:dyDescent="0.3">
      <c r="B2714" s="10">
        <f t="shared" si="84"/>
        <v>2015</v>
      </c>
      <c r="C2714" s="10">
        <f t="shared" si="85"/>
        <v>12</v>
      </c>
      <c r="D2714" s="3">
        <v>42353</v>
      </c>
      <c r="E2714" s="1">
        <v>38.450000000000003</v>
      </c>
      <c r="F2714" s="1">
        <v>37.35</v>
      </c>
      <c r="G2714" s="1">
        <v>1.1467000000000001</v>
      </c>
      <c r="H2714" s="1">
        <v>1.2444</v>
      </c>
      <c r="I2714" s="1">
        <v>1.8220000000000001</v>
      </c>
      <c r="J2714" s="1">
        <v>3.8715000000000002</v>
      </c>
    </row>
    <row r="2715" spans="2:10" x14ac:dyDescent="0.3">
      <c r="B2715" s="10">
        <f t="shared" si="84"/>
        <v>2015</v>
      </c>
      <c r="C2715" s="10">
        <f t="shared" si="85"/>
        <v>12</v>
      </c>
      <c r="D2715" s="3">
        <v>42352</v>
      </c>
      <c r="E2715" s="1">
        <v>37.92</v>
      </c>
      <c r="F2715" s="1">
        <v>36.31</v>
      </c>
      <c r="G2715" s="1">
        <v>1.1276999999999999</v>
      </c>
      <c r="H2715" s="1">
        <v>1.2558</v>
      </c>
      <c r="I2715" s="1">
        <v>1.8939999999999999</v>
      </c>
      <c r="J2715" s="1">
        <v>3.8763999999999998</v>
      </c>
    </row>
    <row r="2716" spans="2:10" x14ac:dyDescent="0.3">
      <c r="B2716" s="10">
        <f t="shared" si="84"/>
        <v>2015</v>
      </c>
      <c r="C2716" s="10">
        <f t="shared" si="85"/>
        <v>12</v>
      </c>
      <c r="D2716" s="3">
        <v>42349</v>
      </c>
      <c r="E2716" s="1">
        <v>37.93</v>
      </c>
      <c r="F2716" s="1">
        <v>35.619999999999997</v>
      </c>
      <c r="G2716" s="1">
        <v>1.1456</v>
      </c>
      <c r="H2716" s="1">
        <v>1.2815000000000001</v>
      </c>
      <c r="I2716" s="1">
        <v>1.99</v>
      </c>
      <c r="J2716" s="1">
        <v>3.8715000000000002</v>
      </c>
    </row>
    <row r="2717" spans="2:10" x14ac:dyDescent="0.3">
      <c r="B2717" s="10">
        <f t="shared" si="84"/>
        <v>2015</v>
      </c>
      <c r="C2717" s="10">
        <f t="shared" si="85"/>
        <v>12</v>
      </c>
      <c r="D2717" s="3">
        <v>42348</v>
      </c>
      <c r="E2717" s="1">
        <v>39.729999999999997</v>
      </c>
      <c r="F2717" s="1">
        <v>36.76</v>
      </c>
      <c r="G2717" s="1">
        <v>1.2251000000000001</v>
      </c>
      <c r="H2717" s="1">
        <v>1.2802</v>
      </c>
      <c r="I2717" s="1">
        <v>2.0150000000000001</v>
      </c>
      <c r="J2717" s="1">
        <v>3.8111000000000002</v>
      </c>
    </row>
    <row r="2718" spans="2:10" x14ac:dyDescent="0.3">
      <c r="B2718" s="10">
        <f t="shared" si="84"/>
        <v>2015</v>
      </c>
      <c r="C2718" s="10">
        <f t="shared" si="85"/>
        <v>12</v>
      </c>
      <c r="D2718" s="3">
        <v>42347</v>
      </c>
      <c r="E2718" s="1">
        <v>40.11</v>
      </c>
      <c r="F2718" s="1">
        <v>37.159999999999997</v>
      </c>
      <c r="G2718" s="1">
        <v>1.2388999999999999</v>
      </c>
      <c r="H2718" s="1">
        <v>1.2317</v>
      </c>
      <c r="I2718" s="1">
        <v>2.0619999999999998</v>
      </c>
      <c r="J2718" s="1">
        <v>3.7486999999999999</v>
      </c>
    </row>
    <row r="2719" spans="2:10" x14ac:dyDescent="0.3">
      <c r="B2719" s="10">
        <f t="shared" si="84"/>
        <v>2015</v>
      </c>
      <c r="C2719" s="10">
        <f t="shared" si="85"/>
        <v>12</v>
      </c>
      <c r="D2719" s="3">
        <v>42346</v>
      </c>
      <c r="E2719" s="1">
        <v>40.26</v>
      </c>
      <c r="F2719" s="1">
        <v>37.51</v>
      </c>
      <c r="G2719" s="1">
        <v>1.2592000000000001</v>
      </c>
      <c r="H2719" s="1">
        <v>1.2036</v>
      </c>
      <c r="I2719" s="1">
        <v>2.0699999999999998</v>
      </c>
      <c r="J2719" s="1">
        <v>3.7947000000000002</v>
      </c>
    </row>
    <row r="2720" spans="2:10" x14ac:dyDescent="0.3">
      <c r="B2720" s="10">
        <f t="shared" si="84"/>
        <v>2015</v>
      </c>
      <c r="C2720" s="10">
        <f t="shared" si="85"/>
        <v>12</v>
      </c>
      <c r="D2720" s="3">
        <v>42345</v>
      </c>
      <c r="E2720" s="1">
        <v>40.729999999999997</v>
      </c>
      <c r="F2720" s="1">
        <v>37.65</v>
      </c>
      <c r="G2720" s="1">
        <v>1.2796000000000001</v>
      </c>
      <c r="H2720" s="1">
        <v>1.2094</v>
      </c>
      <c r="I2720" s="1">
        <v>2.0670000000000002</v>
      </c>
      <c r="J2720" s="1">
        <v>3.7665999999999999</v>
      </c>
    </row>
    <row r="2721" spans="2:10" x14ac:dyDescent="0.3">
      <c r="B2721" s="10">
        <f t="shared" si="84"/>
        <v>2015</v>
      </c>
      <c r="C2721" s="10">
        <f t="shared" si="85"/>
        <v>12</v>
      </c>
      <c r="D2721" s="3">
        <v>42342</v>
      </c>
      <c r="E2721" s="1">
        <v>43</v>
      </c>
      <c r="F2721" s="1">
        <v>39.97</v>
      </c>
      <c r="G2721" s="1">
        <v>1.3424</v>
      </c>
      <c r="H2721" s="1">
        <v>1.2702</v>
      </c>
      <c r="I2721" s="1">
        <v>2.1859999999999999</v>
      </c>
      <c r="J2721" s="1">
        <v>3.7505999999999999</v>
      </c>
    </row>
    <row r="2722" spans="2:10" x14ac:dyDescent="0.3">
      <c r="B2722" s="10">
        <f t="shared" si="84"/>
        <v>2015</v>
      </c>
      <c r="C2722" s="10">
        <f t="shared" si="85"/>
        <v>12</v>
      </c>
      <c r="D2722" s="3">
        <v>42341</v>
      </c>
      <c r="E2722" s="1">
        <v>43.84</v>
      </c>
      <c r="F2722" s="1">
        <v>41.08</v>
      </c>
      <c r="G2722" s="1">
        <v>1.3586</v>
      </c>
      <c r="H2722" s="1">
        <v>1.2963</v>
      </c>
      <c r="I2722" s="1">
        <v>2.181</v>
      </c>
      <c r="J2722" s="1">
        <v>3.7581000000000002</v>
      </c>
    </row>
    <row r="2723" spans="2:10" x14ac:dyDescent="0.3">
      <c r="B2723" s="10">
        <f t="shared" si="84"/>
        <v>2015</v>
      </c>
      <c r="C2723" s="10">
        <f t="shared" si="85"/>
        <v>12</v>
      </c>
      <c r="D2723" s="3">
        <v>42340</v>
      </c>
      <c r="E2723" s="1">
        <v>42.49</v>
      </c>
      <c r="F2723" s="1">
        <v>39.94</v>
      </c>
      <c r="G2723" s="1">
        <v>1.3048999999999999</v>
      </c>
      <c r="H2723" s="1">
        <v>1.2930999999999999</v>
      </c>
      <c r="I2723" s="1">
        <v>2.165</v>
      </c>
      <c r="J2723" s="1">
        <v>3.8336999999999999</v>
      </c>
    </row>
    <row r="2724" spans="2:10" x14ac:dyDescent="0.3">
      <c r="B2724" s="10">
        <f t="shared" si="84"/>
        <v>2015</v>
      </c>
      <c r="C2724" s="10">
        <f t="shared" si="85"/>
        <v>12</v>
      </c>
      <c r="D2724" s="3">
        <v>42339</v>
      </c>
      <c r="E2724" s="1">
        <v>44.44</v>
      </c>
      <c r="F2724" s="1">
        <v>41.85</v>
      </c>
      <c r="G2724" s="1">
        <v>1.369</v>
      </c>
      <c r="H2724" s="1">
        <v>1.363</v>
      </c>
      <c r="I2724" s="1">
        <v>2.2309999999999999</v>
      </c>
      <c r="J2724" s="1">
        <v>3.8559999999999999</v>
      </c>
    </row>
    <row r="2725" spans="2:10" x14ac:dyDescent="0.3">
      <c r="B2725" s="10">
        <f t="shared" si="84"/>
        <v>2015</v>
      </c>
      <c r="C2725" s="10">
        <f t="shared" si="85"/>
        <v>11</v>
      </c>
      <c r="D2725" s="3">
        <v>42338</v>
      </c>
      <c r="E2725" s="1">
        <v>44.61</v>
      </c>
      <c r="F2725" s="1">
        <v>41.65</v>
      </c>
      <c r="G2725" s="1">
        <v>1.3369</v>
      </c>
      <c r="H2725" s="1">
        <v>1.3587</v>
      </c>
      <c r="I2725" s="1">
        <v>2.2349999999999999</v>
      </c>
      <c r="J2725" s="1">
        <v>3.8675000000000002</v>
      </c>
    </row>
    <row r="2726" spans="2:10" x14ac:dyDescent="0.3">
      <c r="B2726" s="10">
        <f t="shared" si="84"/>
        <v>2015</v>
      </c>
      <c r="C2726" s="10">
        <f t="shared" si="85"/>
        <v>11</v>
      </c>
      <c r="D2726" s="3">
        <v>42335</v>
      </c>
      <c r="E2726" s="1">
        <v>44.86</v>
      </c>
      <c r="F2726" s="1">
        <v>41.71</v>
      </c>
      <c r="G2726" s="1">
        <v>1.3524</v>
      </c>
      <c r="H2726" s="1">
        <v>1.3905000000000001</v>
      </c>
      <c r="I2726" s="1">
        <v>2.2120000000000002</v>
      </c>
      <c r="J2726" s="1">
        <v>3.8449</v>
      </c>
    </row>
    <row r="2727" spans="2:10" x14ac:dyDescent="0.3">
      <c r="B2727" s="10">
        <f t="shared" si="84"/>
        <v>2015</v>
      </c>
      <c r="C2727" s="10">
        <f t="shared" si="85"/>
        <v>11</v>
      </c>
      <c r="D2727" s="3">
        <v>42334</v>
      </c>
      <c r="E2727" s="1">
        <v>45.46</v>
      </c>
      <c r="J2727" s="1">
        <v>3.7418999999999998</v>
      </c>
    </row>
    <row r="2728" spans="2:10" x14ac:dyDescent="0.3">
      <c r="B2728" s="10">
        <f t="shared" si="84"/>
        <v>2015</v>
      </c>
      <c r="C2728" s="10">
        <f t="shared" si="85"/>
        <v>11</v>
      </c>
      <c r="D2728" s="3">
        <v>42333</v>
      </c>
      <c r="E2728" s="1">
        <v>46.17</v>
      </c>
      <c r="F2728" s="1">
        <v>43.04</v>
      </c>
      <c r="G2728" s="1">
        <v>1.4027000000000001</v>
      </c>
      <c r="H2728" s="1">
        <v>1.3960999999999999</v>
      </c>
      <c r="I2728" s="1">
        <v>2.206</v>
      </c>
      <c r="J2728" s="1">
        <v>3.7410000000000001</v>
      </c>
    </row>
    <row r="2729" spans="2:10" x14ac:dyDescent="0.3">
      <c r="B2729" s="10">
        <f t="shared" si="84"/>
        <v>2015</v>
      </c>
      <c r="C2729" s="10">
        <f t="shared" si="85"/>
        <v>11</v>
      </c>
      <c r="D2729" s="3">
        <v>42332</v>
      </c>
      <c r="E2729" s="1">
        <v>46.12</v>
      </c>
      <c r="F2729" s="1">
        <v>42.87</v>
      </c>
      <c r="G2729" s="1">
        <v>1.3996999999999999</v>
      </c>
      <c r="H2729" s="1">
        <v>1.3902000000000001</v>
      </c>
      <c r="I2729" s="1">
        <v>2.2000000000000002</v>
      </c>
      <c r="J2729" s="1">
        <v>3.6985000000000001</v>
      </c>
    </row>
    <row r="2730" spans="2:10" x14ac:dyDescent="0.3">
      <c r="B2730" s="10">
        <f t="shared" si="84"/>
        <v>2015</v>
      </c>
      <c r="C2730" s="10">
        <f t="shared" si="85"/>
        <v>11</v>
      </c>
      <c r="D2730" s="3">
        <v>42331</v>
      </c>
      <c r="E2730" s="1">
        <v>44.83</v>
      </c>
      <c r="F2730" s="1">
        <v>41.75</v>
      </c>
      <c r="G2730" s="1">
        <v>1.3743000000000001</v>
      </c>
      <c r="H2730" s="1">
        <v>1.3133999999999999</v>
      </c>
      <c r="I2730" s="1">
        <v>2.21</v>
      </c>
      <c r="J2730" s="1">
        <v>3.7315</v>
      </c>
    </row>
    <row r="2731" spans="2:10" x14ac:dyDescent="0.3">
      <c r="B2731" s="10">
        <f t="shared" si="84"/>
        <v>2015</v>
      </c>
      <c r="C2731" s="10">
        <f t="shared" si="85"/>
        <v>11</v>
      </c>
      <c r="D2731" s="3">
        <v>42328</v>
      </c>
      <c r="E2731" s="1">
        <v>44.66</v>
      </c>
      <c r="F2731" s="1">
        <v>40.39</v>
      </c>
      <c r="G2731" s="1">
        <v>1.3713</v>
      </c>
      <c r="H2731" s="1">
        <v>1.2903</v>
      </c>
      <c r="I2731" s="1">
        <v>2.145</v>
      </c>
      <c r="J2731" s="1">
        <v>3.7037</v>
      </c>
    </row>
    <row r="2732" spans="2:10" x14ac:dyDescent="0.3">
      <c r="B2732" s="10">
        <f t="shared" si="84"/>
        <v>2015</v>
      </c>
      <c r="C2732" s="10">
        <f t="shared" si="85"/>
        <v>11</v>
      </c>
      <c r="D2732" s="3">
        <v>42327</v>
      </c>
      <c r="E2732" s="1">
        <v>44.18</v>
      </c>
      <c r="F2732" s="1">
        <v>40.54</v>
      </c>
      <c r="G2732" s="1">
        <v>1.3717999999999999</v>
      </c>
      <c r="H2732" s="1">
        <v>1.2879</v>
      </c>
      <c r="I2732" s="1">
        <v>2.2759999999999998</v>
      </c>
      <c r="J2732" s="1">
        <v>3.7166000000000001</v>
      </c>
    </row>
    <row r="2733" spans="2:10" x14ac:dyDescent="0.3">
      <c r="B2733" s="10">
        <f t="shared" si="84"/>
        <v>2015</v>
      </c>
      <c r="C2733" s="10">
        <f t="shared" si="85"/>
        <v>11</v>
      </c>
      <c r="D2733" s="3">
        <v>42326</v>
      </c>
      <c r="E2733" s="1">
        <v>44.14</v>
      </c>
      <c r="F2733" s="1">
        <v>40.75</v>
      </c>
      <c r="G2733" s="1">
        <v>1.3804000000000001</v>
      </c>
      <c r="H2733" s="1">
        <v>1.2661</v>
      </c>
      <c r="I2733" s="1">
        <v>2.347</v>
      </c>
      <c r="J2733" s="1">
        <v>3.7652999999999999</v>
      </c>
    </row>
    <row r="2734" spans="2:10" x14ac:dyDescent="0.3">
      <c r="B2734" s="10">
        <f t="shared" si="84"/>
        <v>2015</v>
      </c>
      <c r="C2734" s="10">
        <f t="shared" si="85"/>
        <v>11</v>
      </c>
      <c r="D2734" s="3">
        <v>42325</v>
      </c>
      <c r="E2734" s="1">
        <v>43.57</v>
      </c>
      <c r="F2734" s="1">
        <v>40.67</v>
      </c>
      <c r="G2734" s="1">
        <v>1.3681000000000001</v>
      </c>
      <c r="H2734" s="1">
        <v>1.238</v>
      </c>
      <c r="I2734" s="1">
        <v>2.371</v>
      </c>
      <c r="J2734" s="1">
        <v>3.8090000000000002</v>
      </c>
    </row>
    <row r="2735" spans="2:10" x14ac:dyDescent="0.3">
      <c r="B2735" s="10">
        <f t="shared" si="84"/>
        <v>2015</v>
      </c>
      <c r="C2735" s="10">
        <f t="shared" si="85"/>
        <v>11</v>
      </c>
      <c r="D2735" s="3">
        <v>42324</v>
      </c>
      <c r="E2735" s="1">
        <v>44.56</v>
      </c>
      <c r="F2735" s="1">
        <v>41.74</v>
      </c>
      <c r="G2735" s="1">
        <v>1.3851</v>
      </c>
      <c r="H2735" s="1">
        <v>1.2385999999999999</v>
      </c>
      <c r="I2735" s="1">
        <v>2.3849999999999998</v>
      </c>
      <c r="J2735" s="1">
        <v>3.8191999999999999</v>
      </c>
    </row>
    <row r="2736" spans="2:10" x14ac:dyDescent="0.3">
      <c r="B2736" s="10">
        <f t="shared" si="84"/>
        <v>2015</v>
      </c>
      <c r="C2736" s="10">
        <f t="shared" si="85"/>
        <v>11</v>
      </c>
      <c r="D2736" s="3">
        <v>42321</v>
      </c>
      <c r="E2736" s="1">
        <v>43.61</v>
      </c>
      <c r="F2736" s="1">
        <v>40.74</v>
      </c>
      <c r="G2736" s="1">
        <v>1.3813</v>
      </c>
      <c r="H2736" s="1">
        <v>1.2388999999999999</v>
      </c>
      <c r="I2736" s="1">
        <v>2.3610000000000002</v>
      </c>
      <c r="J2736" s="1">
        <v>3.8441000000000001</v>
      </c>
    </row>
    <row r="2737" spans="2:10" x14ac:dyDescent="0.3">
      <c r="B2737" s="10">
        <f t="shared" si="84"/>
        <v>2015</v>
      </c>
      <c r="C2737" s="10">
        <f t="shared" si="85"/>
        <v>11</v>
      </c>
      <c r="D2737" s="3">
        <v>42320</v>
      </c>
      <c r="E2737" s="1">
        <v>44.06</v>
      </c>
      <c r="F2737" s="1">
        <v>41.75</v>
      </c>
      <c r="G2737" s="1">
        <v>1.4066000000000001</v>
      </c>
      <c r="H2737" s="1">
        <v>1.2730999999999999</v>
      </c>
      <c r="I2737" s="1">
        <v>2.2599999999999998</v>
      </c>
      <c r="J2737" s="1">
        <v>3.7707000000000002</v>
      </c>
    </row>
    <row r="2738" spans="2:10" x14ac:dyDescent="0.3">
      <c r="B2738" s="10">
        <f t="shared" si="84"/>
        <v>2015</v>
      </c>
      <c r="C2738" s="10">
        <f t="shared" si="85"/>
        <v>11</v>
      </c>
      <c r="D2738" s="3">
        <v>42319</v>
      </c>
      <c r="E2738" s="1">
        <v>45.81</v>
      </c>
      <c r="F2738" s="1">
        <v>42.93</v>
      </c>
      <c r="G2738" s="1">
        <v>1.4477</v>
      </c>
      <c r="H2738" s="1">
        <v>1.3293999999999999</v>
      </c>
      <c r="I2738" s="1">
        <v>2.2629999999999999</v>
      </c>
      <c r="J2738" s="1">
        <v>3.7624</v>
      </c>
    </row>
    <row r="2739" spans="2:10" x14ac:dyDescent="0.3">
      <c r="B2739" s="10">
        <f t="shared" si="84"/>
        <v>2015</v>
      </c>
      <c r="C2739" s="10">
        <f t="shared" si="85"/>
        <v>11</v>
      </c>
      <c r="D2739" s="3">
        <v>42318</v>
      </c>
      <c r="E2739" s="1">
        <v>47.44</v>
      </c>
      <c r="F2739" s="1">
        <v>44.21</v>
      </c>
      <c r="G2739" s="1">
        <v>1.4864999999999999</v>
      </c>
      <c r="H2739" s="1">
        <v>1.3617999999999999</v>
      </c>
      <c r="I2739" s="1">
        <v>2.3199999999999998</v>
      </c>
      <c r="J2739" s="1">
        <v>3.7507000000000001</v>
      </c>
    </row>
    <row r="2740" spans="2:10" x14ac:dyDescent="0.3">
      <c r="B2740" s="10">
        <f t="shared" si="84"/>
        <v>2015</v>
      </c>
      <c r="C2740" s="10">
        <f t="shared" si="85"/>
        <v>11</v>
      </c>
      <c r="D2740" s="3">
        <v>42317</v>
      </c>
      <c r="E2740" s="1">
        <v>47.19</v>
      </c>
      <c r="F2740" s="1">
        <v>43.87</v>
      </c>
      <c r="G2740" s="1">
        <v>1.4774</v>
      </c>
      <c r="H2740" s="1">
        <v>1.3705000000000001</v>
      </c>
      <c r="I2740" s="1">
        <v>2.2999999999999998</v>
      </c>
      <c r="J2740" s="1">
        <v>3.7988</v>
      </c>
    </row>
    <row r="2741" spans="2:10" x14ac:dyDescent="0.3">
      <c r="B2741" s="10">
        <f t="shared" si="84"/>
        <v>2015</v>
      </c>
      <c r="C2741" s="10">
        <f t="shared" si="85"/>
        <v>11</v>
      </c>
      <c r="D2741" s="3">
        <v>42314</v>
      </c>
      <c r="E2741" s="1">
        <v>47.42</v>
      </c>
      <c r="F2741" s="1">
        <v>44.29</v>
      </c>
      <c r="G2741" s="1">
        <v>1.4896</v>
      </c>
      <c r="H2741" s="1">
        <v>1.3694999999999999</v>
      </c>
      <c r="I2741" s="1">
        <v>2.371</v>
      </c>
      <c r="J2741" s="1">
        <v>3.7698</v>
      </c>
    </row>
    <row r="2742" spans="2:10" x14ac:dyDescent="0.3">
      <c r="B2742" s="10">
        <f t="shared" si="84"/>
        <v>2015</v>
      </c>
      <c r="C2742" s="10">
        <f t="shared" si="85"/>
        <v>11</v>
      </c>
      <c r="D2742" s="3">
        <v>42313</v>
      </c>
      <c r="E2742" s="1">
        <v>47.98</v>
      </c>
      <c r="F2742" s="1">
        <v>45.2</v>
      </c>
      <c r="G2742" s="1">
        <v>1.4872000000000001</v>
      </c>
      <c r="H2742" s="1">
        <v>1.361</v>
      </c>
      <c r="I2742" s="1">
        <v>2.3639999999999999</v>
      </c>
      <c r="J2742" s="1">
        <v>3.7797999999999998</v>
      </c>
    </row>
    <row r="2743" spans="2:10" x14ac:dyDescent="0.3">
      <c r="B2743" s="10">
        <f t="shared" si="84"/>
        <v>2015</v>
      </c>
      <c r="C2743" s="10">
        <f t="shared" si="85"/>
        <v>11</v>
      </c>
      <c r="D2743" s="3">
        <v>42312</v>
      </c>
      <c r="E2743" s="1">
        <v>48.58</v>
      </c>
      <c r="F2743" s="1">
        <v>46.32</v>
      </c>
      <c r="G2743" s="1">
        <v>1.5035000000000001</v>
      </c>
      <c r="H2743" s="1">
        <v>1.3918999999999999</v>
      </c>
      <c r="I2743" s="1">
        <v>2.262</v>
      </c>
      <c r="J2743" s="1">
        <v>3.8001</v>
      </c>
    </row>
    <row r="2744" spans="2:10" x14ac:dyDescent="0.3">
      <c r="B2744" s="10">
        <f t="shared" si="84"/>
        <v>2015</v>
      </c>
      <c r="C2744" s="10">
        <f t="shared" si="85"/>
        <v>11</v>
      </c>
      <c r="D2744" s="3">
        <v>42311</v>
      </c>
      <c r="E2744" s="1">
        <v>50.54</v>
      </c>
      <c r="F2744" s="1">
        <v>47.9</v>
      </c>
      <c r="G2744" s="1">
        <v>1.5660000000000001</v>
      </c>
      <c r="H2744" s="1">
        <v>1.4455</v>
      </c>
      <c r="I2744" s="1">
        <v>2.2530000000000001</v>
      </c>
      <c r="J2744" s="1">
        <v>3.7696999999999998</v>
      </c>
    </row>
    <row r="2745" spans="2:10" x14ac:dyDescent="0.3">
      <c r="B2745" s="10">
        <f t="shared" si="84"/>
        <v>2015</v>
      </c>
      <c r="C2745" s="10">
        <f t="shared" si="85"/>
        <v>11</v>
      </c>
      <c r="D2745" s="3">
        <v>42310</v>
      </c>
      <c r="E2745" s="1">
        <v>48.79</v>
      </c>
      <c r="F2745" s="1">
        <v>46.14</v>
      </c>
      <c r="G2745" s="1">
        <v>1.5068999999999999</v>
      </c>
      <c r="H2745" s="1">
        <v>1.3753</v>
      </c>
      <c r="I2745" s="1">
        <v>2.2559999999999998</v>
      </c>
      <c r="J2745" s="1">
        <v>3.8492000000000002</v>
      </c>
    </row>
    <row r="2746" spans="2:10" x14ac:dyDescent="0.3">
      <c r="B2746" s="10">
        <f t="shared" si="84"/>
        <v>2015</v>
      </c>
      <c r="C2746" s="10">
        <f t="shared" si="85"/>
        <v>10</v>
      </c>
      <c r="D2746" s="3">
        <v>42307</v>
      </c>
      <c r="E2746" s="1">
        <v>49.56</v>
      </c>
      <c r="F2746" s="1">
        <v>46.59</v>
      </c>
      <c r="G2746" s="1">
        <v>1.4994000000000001</v>
      </c>
      <c r="H2746" s="1">
        <v>1.405</v>
      </c>
      <c r="I2746" s="1">
        <v>2.3210000000000002</v>
      </c>
      <c r="J2746" s="1">
        <v>3.8561999999999999</v>
      </c>
    </row>
    <row r="2747" spans="2:10" x14ac:dyDescent="0.3">
      <c r="B2747" s="10">
        <f t="shared" si="84"/>
        <v>2015</v>
      </c>
      <c r="C2747" s="10">
        <f t="shared" si="85"/>
        <v>10</v>
      </c>
      <c r="D2747" s="3">
        <v>42306</v>
      </c>
      <c r="E2747" s="1">
        <v>48.8</v>
      </c>
      <c r="F2747" s="1">
        <v>46.06</v>
      </c>
      <c r="G2747" s="1">
        <v>1.4748000000000001</v>
      </c>
      <c r="H2747" s="1">
        <v>1.3495999999999999</v>
      </c>
      <c r="I2747" s="1">
        <v>2.2570000000000001</v>
      </c>
      <c r="J2747" s="1">
        <v>3.8494000000000002</v>
      </c>
    </row>
    <row r="2748" spans="2:10" x14ac:dyDescent="0.3">
      <c r="B2748" s="10">
        <f t="shared" si="84"/>
        <v>2015</v>
      </c>
      <c r="C2748" s="10">
        <f t="shared" si="85"/>
        <v>10</v>
      </c>
      <c r="D2748" s="3">
        <v>42305</v>
      </c>
      <c r="E2748" s="1">
        <v>49.05</v>
      </c>
      <c r="F2748" s="1">
        <v>45.94</v>
      </c>
      <c r="G2748" s="1">
        <v>1.4839</v>
      </c>
      <c r="H2748" s="1">
        <v>1.3501000000000001</v>
      </c>
      <c r="I2748" s="1">
        <v>2.0329999999999999</v>
      </c>
      <c r="J2748" s="1">
        <v>3.9079000000000002</v>
      </c>
    </row>
    <row r="2749" spans="2:10" x14ac:dyDescent="0.3">
      <c r="B2749" s="10">
        <f t="shared" si="84"/>
        <v>2015</v>
      </c>
      <c r="C2749" s="10">
        <f t="shared" si="85"/>
        <v>10</v>
      </c>
      <c r="D2749" s="3">
        <v>42304</v>
      </c>
      <c r="E2749" s="1">
        <v>46.81</v>
      </c>
      <c r="F2749" s="1">
        <v>43.2</v>
      </c>
      <c r="G2749" s="1">
        <v>1.4244000000000001</v>
      </c>
      <c r="H2749" s="1">
        <v>1.2871999999999999</v>
      </c>
      <c r="I2749" s="1">
        <v>2.0920000000000001</v>
      </c>
      <c r="J2749" s="1">
        <v>3.8868</v>
      </c>
    </row>
    <row r="2750" spans="2:10" x14ac:dyDescent="0.3">
      <c r="B2750" s="10">
        <f t="shared" si="84"/>
        <v>2015</v>
      </c>
      <c r="C2750" s="10">
        <f t="shared" si="85"/>
        <v>10</v>
      </c>
      <c r="D2750" s="3">
        <v>42303</v>
      </c>
      <c r="E2750" s="1">
        <v>47.54</v>
      </c>
      <c r="F2750" s="1">
        <v>43.98</v>
      </c>
      <c r="G2750" s="1">
        <v>1.4258999999999999</v>
      </c>
      <c r="H2750" s="1">
        <v>1.2879</v>
      </c>
      <c r="I2750" s="1">
        <v>2.0619999999999998</v>
      </c>
      <c r="J2750" s="1">
        <v>3.9045000000000001</v>
      </c>
    </row>
    <row r="2751" spans="2:10" x14ac:dyDescent="0.3">
      <c r="B2751" s="10">
        <f t="shared" si="84"/>
        <v>2015</v>
      </c>
      <c r="C2751" s="10">
        <f t="shared" si="85"/>
        <v>10</v>
      </c>
      <c r="D2751" s="3">
        <v>42300</v>
      </c>
      <c r="E2751" s="1">
        <v>47.99</v>
      </c>
      <c r="F2751" s="1">
        <v>44.6</v>
      </c>
      <c r="G2751" s="1">
        <v>1.4543999999999999</v>
      </c>
      <c r="H2751" s="1">
        <v>1.3036000000000001</v>
      </c>
      <c r="I2751" s="1">
        <v>2.286</v>
      </c>
      <c r="J2751" s="1">
        <v>3.8792</v>
      </c>
    </row>
    <row r="2752" spans="2:10" x14ac:dyDescent="0.3">
      <c r="B2752" s="10">
        <f t="shared" si="84"/>
        <v>2015</v>
      </c>
      <c r="C2752" s="10">
        <f t="shared" si="85"/>
        <v>10</v>
      </c>
      <c r="D2752" s="3">
        <v>42299</v>
      </c>
      <c r="E2752" s="1">
        <v>48.08</v>
      </c>
      <c r="F2752" s="1">
        <v>45.38</v>
      </c>
      <c r="G2752" s="1">
        <v>1.4650000000000001</v>
      </c>
      <c r="H2752" s="1">
        <v>1.3067</v>
      </c>
      <c r="I2752" s="1">
        <v>2.3860000000000001</v>
      </c>
      <c r="J2752" s="1">
        <v>3.9073000000000002</v>
      </c>
    </row>
    <row r="2753" spans="2:10" x14ac:dyDescent="0.3">
      <c r="B2753" s="10">
        <f t="shared" si="84"/>
        <v>2015</v>
      </c>
      <c r="C2753" s="10">
        <f t="shared" si="85"/>
        <v>10</v>
      </c>
      <c r="D2753" s="3">
        <v>42298</v>
      </c>
      <c r="E2753" s="1">
        <v>47.85</v>
      </c>
      <c r="F2753" s="1">
        <v>45.2</v>
      </c>
      <c r="G2753" s="1">
        <v>1.45</v>
      </c>
      <c r="H2753" s="1">
        <v>1.2807999999999999</v>
      </c>
      <c r="I2753" s="1">
        <v>2.4039999999999999</v>
      </c>
      <c r="J2753" s="1">
        <v>3.9399000000000002</v>
      </c>
    </row>
    <row r="2754" spans="2:10" x14ac:dyDescent="0.3">
      <c r="B2754" s="10">
        <f t="shared" si="84"/>
        <v>2015</v>
      </c>
      <c r="C2754" s="10">
        <f t="shared" si="85"/>
        <v>10</v>
      </c>
      <c r="D2754" s="3">
        <v>42297</v>
      </c>
      <c r="E2754" s="1">
        <v>48.71</v>
      </c>
      <c r="F2754" s="1">
        <v>45.55</v>
      </c>
      <c r="G2754" s="1">
        <v>1.4487000000000001</v>
      </c>
      <c r="H2754" s="1">
        <v>1.2783</v>
      </c>
      <c r="I2754" s="1">
        <v>2.476</v>
      </c>
      <c r="J2754" s="1">
        <v>3.9058000000000002</v>
      </c>
    </row>
    <row r="2755" spans="2:10" x14ac:dyDescent="0.3">
      <c r="B2755" s="10">
        <f t="shared" si="84"/>
        <v>2015</v>
      </c>
      <c r="C2755" s="10">
        <f t="shared" si="85"/>
        <v>10</v>
      </c>
      <c r="D2755" s="3">
        <v>42296</v>
      </c>
      <c r="E2755" s="1">
        <v>48.61</v>
      </c>
      <c r="F2755" s="1">
        <v>45.89</v>
      </c>
      <c r="G2755" s="1">
        <v>1.4491000000000001</v>
      </c>
      <c r="H2755" s="1">
        <v>1.2514000000000001</v>
      </c>
      <c r="I2755" s="1">
        <v>2.4420000000000002</v>
      </c>
      <c r="J2755" s="1">
        <v>3.8841999999999999</v>
      </c>
    </row>
    <row r="2756" spans="2:10" x14ac:dyDescent="0.3">
      <c r="B2756" s="10">
        <f t="shared" si="84"/>
        <v>2015</v>
      </c>
      <c r="C2756" s="10">
        <f t="shared" si="85"/>
        <v>10</v>
      </c>
      <c r="D2756" s="3">
        <v>42293</v>
      </c>
      <c r="E2756" s="1">
        <v>50.46</v>
      </c>
      <c r="F2756" s="1">
        <v>47.26</v>
      </c>
      <c r="G2756" s="1">
        <v>1.4965999999999999</v>
      </c>
      <c r="H2756" s="1">
        <v>1.3280000000000001</v>
      </c>
      <c r="I2756" s="1">
        <v>2.4300000000000002</v>
      </c>
      <c r="J2756" s="1">
        <v>3.9237000000000002</v>
      </c>
    </row>
    <row r="2757" spans="2:10" x14ac:dyDescent="0.3">
      <c r="B2757" s="10">
        <f t="shared" si="84"/>
        <v>2015</v>
      </c>
      <c r="C2757" s="10">
        <f t="shared" si="85"/>
        <v>10</v>
      </c>
      <c r="D2757" s="3">
        <v>42292</v>
      </c>
      <c r="E2757" s="1">
        <v>48.71</v>
      </c>
      <c r="F2757" s="1">
        <v>46.38</v>
      </c>
      <c r="G2757" s="1">
        <v>1.4863</v>
      </c>
      <c r="H2757" s="1">
        <v>1.3071999999999999</v>
      </c>
      <c r="I2757" s="1">
        <v>2.4529999999999998</v>
      </c>
      <c r="J2757" s="1">
        <v>3.8028</v>
      </c>
    </row>
    <row r="2758" spans="2:10" x14ac:dyDescent="0.3">
      <c r="B2758" s="10">
        <f t="shared" ref="B2758:B2821" si="86">YEAR(D2758)</f>
        <v>2015</v>
      </c>
      <c r="C2758" s="10">
        <f t="shared" ref="C2758:C2821" si="87">MONTH(D2758)</f>
        <v>10</v>
      </c>
      <c r="D2758" s="3">
        <v>42291</v>
      </c>
      <c r="E2758" s="1">
        <v>49.15</v>
      </c>
      <c r="F2758" s="1">
        <v>46.64</v>
      </c>
      <c r="G2758" s="1">
        <v>1.4833000000000001</v>
      </c>
      <c r="H2758" s="1">
        <v>1.3083</v>
      </c>
      <c r="I2758" s="1">
        <v>2.5179999999999998</v>
      </c>
      <c r="J2758" s="1">
        <v>3.8104</v>
      </c>
    </row>
    <row r="2759" spans="2:10" x14ac:dyDescent="0.3">
      <c r="B2759" s="10">
        <f t="shared" si="86"/>
        <v>2015</v>
      </c>
      <c r="C2759" s="10">
        <f t="shared" si="87"/>
        <v>10</v>
      </c>
      <c r="D2759" s="3">
        <v>42290</v>
      </c>
      <c r="E2759" s="1">
        <v>49.24</v>
      </c>
      <c r="F2759" s="1">
        <v>46.66</v>
      </c>
      <c r="G2759" s="1">
        <v>1.4708000000000001</v>
      </c>
      <c r="H2759" s="1">
        <v>1.3140000000000001</v>
      </c>
      <c r="I2759" s="1">
        <v>2.4980000000000002</v>
      </c>
      <c r="J2759" s="1">
        <v>3.8921999999999999</v>
      </c>
    </row>
    <row r="2760" spans="2:10" x14ac:dyDescent="0.3">
      <c r="B2760" s="10">
        <f t="shared" si="86"/>
        <v>2015</v>
      </c>
      <c r="C2760" s="10">
        <f t="shared" si="87"/>
        <v>10</v>
      </c>
      <c r="D2760" s="3">
        <v>42289</v>
      </c>
      <c r="E2760" s="1">
        <v>49.86</v>
      </c>
      <c r="F2760" s="1">
        <v>47.1</v>
      </c>
      <c r="G2760" s="1">
        <v>1.5024</v>
      </c>
      <c r="H2760" s="1">
        <v>1.3411</v>
      </c>
      <c r="I2760" s="1">
        <v>2.5350000000000001</v>
      </c>
      <c r="J2760" s="1">
        <v>3.7624</v>
      </c>
    </row>
    <row r="2761" spans="2:10" x14ac:dyDescent="0.3">
      <c r="B2761" s="10">
        <f t="shared" si="86"/>
        <v>2015</v>
      </c>
      <c r="C2761" s="10">
        <f t="shared" si="87"/>
        <v>10</v>
      </c>
      <c r="D2761" s="3">
        <v>42286</v>
      </c>
      <c r="E2761" s="1">
        <v>52.65</v>
      </c>
      <c r="F2761" s="1">
        <v>49.63</v>
      </c>
      <c r="G2761" s="1">
        <v>1.5909</v>
      </c>
      <c r="H2761" s="1">
        <v>1.4167000000000001</v>
      </c>
      <c r="I2761" s="1">
        <v>2.5019999999999998</v>
      </c>
      <c r="J2761" s="1">
        <v>3.7650999999999999</v>
      </c>
    </row>
    <row r="2762" spans="2:10" x14ac:dyDescent="0.3">
      <c r="B2762" s="10">
        <f t="shared" si="86"/>
        <v>2015</v>
      </c>
      <c r="C2762" s="10">
        <f t="shared" si="87"/>
        <v>10</v>
      </c>
      <c r="D2762" s="3">
        <v>42285</v>
      </c>
      <c r="E2762" s="1">
        <v>53.05</v>
      </c>
      <c r="F2762" s="1">
        <v>49.43</v>
      </c>
      <c r="G2762" s="1">
        <v>1.6017999999999999</v>
      </c>
      <c r="H2762" s="1">
        <v>1.4077999999999999</v>
      </c>
      <c r="I2762" s="1">
        <v>2.4980000000000002</v>
      </c>
      <c r="J2762" s="1">
        <v>3.7831999999999999</v>
      </c>
    </row>
    <row r="2763" spans="2:10" x14ac:dyDescent="0.3">
      <c r="B2763" s="10">
        <f t="shared" si="86"/>
        <v>2015</v>
      </c>
      <c r="C2763" s="10">
        <f t="shared" si="87"/>
        <v>10</v>
      </c>
      <c r="D2763" s="3">
        <v>42284</v>
      </c>
      <c r="E2763" s="1">
        <v>51.33</v>
      </c>
      <c r="F2763" s="1">
        <v>47.81</v>
      </c>
      <c r="G2763" s="1">
        <v>1.5795999999999999</v>
      </c>
      <c r="H2763" s="1">
        <v>1.39</v>
      </c>
      <c r="I2763" s="1">
        <v>2.4740000000000002</v>
      </c>
      <c r="J2763" s="1">
        <v>3.8826000000000001</v>
      </c>
    </row>
    <row r="2764" spans="2:10" x14ac:dyDescent="0.3">
      <c r="B2764" s="10">
        <f t="shared" si="86"/>
        <v>2015</v>
      </c>
      <c r="C2764" s="10">
        <f t="shared" si="87"/>
        <v>10</v>
      </c>
      <c r="D2764" s="3">
        <v>42283</v>
      </c>
      <c r="E2764" s="1">
        <v>51.92</v>
      </c>
      <c r="F2764" s="1">
        <v>48.53</v>
      </c>
      <c r="G2764" s="1">
        <v>1.6114999999999999</v>
      </c>
      <c r="H2764" s="1">
        <v>1.4361999999999999</v>
      </c>
      <c r="I2764" s="1">
        <v>2.4700000000000002</v>
      </c>
      <c r="J2764" s="1">
        <v>3.8534000000000002</v>
      </c>
    </row>
    <row r="2765" spans="2:10" x14ac:dyDescent="0.3">
      <c r="B2765" s="10">
        <f t="shared" si="86"/>
        <v>2015</v>
      </c>
      <c r="C2765" s="10">
        <f t="shared" si="87"/>
        <v>10</v>
      </c>
      <c r="D2765" s="3">
        <v>42282</v>
      </c>
      <c r="E2765" s="1">
        <v>49.25</v>
      </c>
      <c r="F2765" s="1">
        <v>46.26</v>
      </c>
      <c r="G2765" s="1">
        <v>1.5483</v>
      </c>
      <c r="H2765" s="1">
        <v>1.3853</v>
      </c>
      <c r="I2765" s="1">
        <v>2.4500000000000002</v>
      </c>
      <c r="J2765" s="1">
        <v>3.9117999999999999</v>
      </c>
    </row>
    <row r="2766" spans="2:10" x14ac:dyDescent="0.3">
      <c r="B2766" s="10">
        <f t="shared" si="86"/>
        <v>2015</v>
      </c>
      <c r="C2766" s="10">
        <f t="shared" si="87"/>
        <v>10</v>
      </c>
      <c r="D2766" s="3">
        <v>42279</v>
      </c>
      <c r="E2766" s="1">
        <v>48.13</v>
      </c>
      <c r="F2766" s="1">
        <v>45.54</v>
      </c>
      <c r="G2766" s="1">
        <v>1.5199</v>
      </c>
      <c r="H2766" s="1">
        <v>1.3413999999999999</v>
      </c>
      <c r="I2766" s="1">
        <v>2.4510000000000001</v>
      </c>
      <c r="J2766" s="1">
        <v>3.9316</v>
      </c>
    </row>
    <row r="2767" spans="2:10" x14ac:dyDescent="0.3">
      <c r="B2767" s="10">
        <f t="shared" si="86"/>
        <v>2015</v>
      </c>
      <c r="C2767" s="10">
        <f t="shared" si="87"/>
        <v>10</v>
      </c>
      <c r="D2767" s="3">
        <v>42278</v>
      </c>
      <c r="E2767" s="1">
        <v>47.69</v>
      </c>
      <c r="F2767" s="1">
        <v>44.74</v>
      </c>
      <c r="G2767" s="1">
        <v>1.5198</v>
      </c>
      <c r="H2767" s="1">
        <v>1.3668</v>
      </c>
      <c r="I2767" s="1">
        <v>2.4329999999999998</v>
      </c>
      <c r="J2767" s="1">
        <v>4.0091999999999999</v>
      </c>
    </row>
    <row r="2768" spans="2:10" x14ac:dyDescent="0.3">
      <c r="B2768" s="10">
        <f t="shared" si="86"/>
        <v>2015</v>
      </c>
      <c r="C2768" s="10">
        <f t="shared" si="87"/>
        <v>9</v>
      </c>
      <c r="D2768" s="3">
        <v>42277</v>
      </c>
      <c r="E2768" s="1">
        <v>48.37</v>
      </c>
      <c r="F2768" s="1">
        <v>45.09</v>
      </c>
      <c r="G2768" s="1">
        <v>1.5125999999999999</v>
      </c>
      <c r="H2768" s="1">
        <v>1.3894</v>
      </c>
      <c r="I2768" s="1">
        <v>2.524</v>
      </c>
      <c r="J2768" s="1">
        <v>3.9478</v>
      </c>
    </row>
    <row r="2769" spans="2:10" x14ac:dyDescent="0.3">
      <c r="B2769" s="10">
        <f t="shared" si="86"/>
        <v>2015</v>
      </c>
      <c r="C2769" s="10">
        <f t="shared" si="87"/>
        <v>9</v>
      </c>
      <c r="D2769" s="3">
        <v>42276</v>
      </c>
      <c r="E2769" s="1">
        <v>48.23</v>
      </c>
      <c r="F2769" s="1">
        <v>45.23</v>
      </c>
      <c r="G2769" s="1">
        <v>1.4976</v>
      </c>
      <c r="H2769" s="1">
        <v>1.3632</v>
      </c>
      <c r="I2769" s="1">
        <v>2.5859999999999999</v>
      </c>
      <c r="J2769" s="1">
        <v>4.0618999999999996</v>
      </c>
    </row>
    <row r="2770" spans="2:10" x14ac:dyDescent="0.3">
      <c r="B2770" s="10">
        <f t="shared" si="86"/>
        <v>2015</v>
      </c>
      <c r="C2770" s="10">
        <f t="shared" si="87"/>
        <v>9</v>
      </c>
      <c r="D2770" s="3">
        <v>42275</v>
      </c>
      <c r="E2770" s="1">
        <v>47.34</v>
      </c>
      <c r="F2770" s="1">
        <v>44.43</v>
      </c>
      <c r="G2770" s="1">
        <v>1.4772000000000001</v>
      </c>
      <c r="H2770" s="1">
        <v>1.3488</v>
      </c>
      <c r="I2770" s="1">
        <v>2.5630000000000002</v>
      </c>
      <c r="J2770" s="1">
        <v>4.1067999999999998</v>
      </c>
    </row>
    <row r="2771" spans="2:10" x14ac:dyDescent="0.3">
      <c r="B2771" s="10">
        <f t="shared" si="86"/>
        <v>2015</v>
      </c>
      <c r="C2771" s="10">
        <f t="shared" si="87"/>
        <v>9</v>
      </c>
      <c r="D2771" s="3">
        <v>42272</v>
      </c>
      <c r="E2771" s="1">
        <v>48.6</v>
      </c>
      <c r="F2771" s="1">
        <v>45.7</v>
      </c>
      <c r="G2771" s="1">
        <v>1.5225</v>
      </c>
      <c r="H2771" s="1">
        <v>1.3958999999999999</v>
      </c>
      <c r="I2771" s="1">
        <v>2.5640000000000001</v>
      </c>
      <c r="J2771" s="1">
        <v>3.9767999999999999</v>
      </c>
    </row>
    <row r="2772" spans="2:10" x14ac:dyDescent="0.3">
      <c r="B2772" s="10">
        <f t="shared" si="86"/>
        <v>2015</v>
      </c>
      <c r="C2772" s="10">
        <f t="shared" si="87"/>
        <v>9</v>
      </c>
      <c r="D2772" s="3">
        <v>42271</v>
      </c>
      <c r="E2772" s="1">
        <v>48.17</v>
      </c>
      <c r="F2772" s="1">
        <v>44.91</v>
      </c>
      <c r="G2772" s="1">
        <v>1.5237000000000001</v>
      </c>
      <c r="H2772" s="1">
        <v>1.3652</v>
      </c>
      <c r="I2772" s="1">
        <v>2.5910000000000002</v>
      </c>
      <c r="J2772" s="1">
        <v>3.9363000000000001</v>
      </c>
    </row>
    <row r="2773" spans="2:10" x14ac:dyDescent="0.3">
      <c r="B2773" s="10">
        <f t="shared" si="86"/>
        <v>2015</v>
      </c>
      <c r="C2773" s="10">
        <f t="shared" si="87"/>
        <v>9</v>
      </c>
      <c r="D2773" s="3">
        <v>42270</v>
      </c>
      <c r="E2773" s="1">
        <v>47.75</v>
      </c>
      <c r="F2773" s="1">
        <v>44.48</v>
      </c>
      <c r="G2773" s="1">
        <v>1.5056</v>
      </c>
      <c r="H2773" s="1">
        <v>1.3815999999999999</v>
      </c>
      <c r="I2773" s="1">
        <v>2.569</v>
      </c>
      <c r="J2773" s="1">
        <v>4.1775000000000002</v>
      </c>
    </row>
    <row r="2774" spans="2:10" x14ac:dyDescent="0.3">
      <c r="B2774" s="10">
        <f t="shared" si="86"/>
        <v>2015</v>
      </c>
      <c r="C2774" s="10">
        <f t="shared" si="87"/>
        <v>9</v>
      </c>
      <c r="D2774" s="3">
        <v>42269</v>
      </c>
      <c r="E2774" s="1">
        <v>49.08</v>
      </c>
      <c r="F2774" s="1">
        <v>45.83</v>
      </c>
      <c r="G2774" s="1">
        <v>1.532</v>
      </c>
      <c r="H2774" s="1">
        <v>1.4164000000000001</v>
      </c>
      <c r="I2774" s="1">
        <v>2.577</v>
      </c>
      <c r="J2774" s="1">
        <v>4.0487000000000002</v>
      </c>
    </row>
    <row r="2775" spans="2:10" x14ac:dyDescent="0.3">
      <c r="B2775" s="10">
        <f t="shared" si="86"/>
        <v>2015</v>
      </c>
      <c r="C2775" s="10">
        <f t="shared" si="87"/>
        <v>9</v>
      </c>
      <c r="D2775" s="3">
        <v>42268</v>
      </c>
      <c r="E2775" s="1">
        <v>48.92</v>
      </c>
      <c r="F2775" s="1">
        <v>46.68</v>
      </c>
      <c r="G2775" s="1">
        <v>1.514</v>
      </c>
      <c r="H2775" s="1">
        <v>1.4031</v>
      </c>
      <c r="I2775" s="1">
        <v>2.573</v>
      </c>
      <c r="J2775" s="1">
        <v>3.9853999999999998</v>
      </c>
    </row>
    <row r="2776" spans="2:10" x14ac:dyDescent="0.3">
      <c r="B2776" s="10">
        <f t="shared" si="86"/>
        <v>2015</v>
      </c>
      <c r="C2776" s="10">
        <f t="shared" si="87"/>
        <v>9</v>
      </c>
      <c r="D2776" s="3">
        <v>42265</v>
      </c>
      <c r="E2776" s="1">
        <v>47.47</v>
      </c>
      <c r="F2776" s="1">
        <v>44.68</v>
      </c>
      <c r="G2776" s="1">
        <v>1.4906999999999999</v>
      </c>
      <c r="H2776" s="1">
        <v>1.3562000000000001</v>
      </c>
      <c r="I2776" s="1">
        <v>2.605</v>
      </c>
      <c r="J2776" s="1">
        <v>3.9445000000000001</v>
      </c>
    </row>
    <row r="2777" spans="2:10" x14ac:dyDescent="0.3">
      <c r="B2777" s="10">
        <f t="shared" si="86"/>
        <v>2015</v>
      </c>
      <c r="C2777" s="10">
        <f t="shared" si="87"/>
        <v>9</v>
      </c>
      <c r="D2777" s="3">
        <v>42264</v>
      </c>
      <c r="E2777" s="1">
        <v>49.08</v>
      </c>
      <c r="F2777" s="1">
        <v>46.9</v>
      </c>
      <c r="G2777" s="1">
        <v>1.5297000000000001</v>
      </c>
      <c r="H2777" s="1">
        <v>1.3759999999999999</v>
      </c>
      <c r="I2777" s="1">
        <v>2.6520000000000001</v>
      </c>
      <c r="J2777" s="1">
        <v>3.8976000000000002</v>
      </c>
    </row>
    <row r="2778" spans="2:10" x14ac:dyDescent="0.3">
      <c r="B2778" s="10">
        <f t="shared" si="86"/>
        <v>2015</v>
      </c>
      <c r="C2778" s="10">
        <f t="shared" si="87"/>
        <v>9</v>
      </c>
      <c r="D2778" s="3">
        <v>42263</v>
      </c>
      <c r="E2778" s="1">
        <v>49.75</v>
      </c>
      <c r="F2778" s="1">
        <v>47.15</v>
      </c>
      <c r="G2778" s="1">
        <v>1.5414000000000001</v>
      </c>
      <c r="H2778" s="1">
        <v>1.3821000000000001</v>
      </c>
      <c r="I2778" s="1">
        <v>2.66</v>
      </c>
      <c r="J2778" s="1">
        <v>3.8277000000000001</v>
      </c>
    </row>
    <row r="2779" spans="2:10" x14ac:dyDescent="0.3">
      <c r="B2779" s="10">
        <f t="shared" si="86"/>
        <v>2015</v>
      </c>
      <c r="C2779" s="10">
        <f t="shared" si="87"/>
        <v>9</v>
      </c>
      <c r="D2779" s="3">
        <v>42262</v>
      </c>
      <c r="E2779" s="1">
        <v>46.63</v>
      </c>
      <c r="F2779" s="1">
        <v>44.59</v>
      </c>
      <c r="G2779" s="1">
        <v>1.5</v>
      </c>
      <c r="H2779" s="1">
        <v>1.3329</v>
      </c>
      <c r="I2779" s="1">
        <v>2.7280000000000002</v>
      </c>
      <c r="J2779" s="1">
        <v>3.863</v>
      </c>
    </row>
    <row r="2780" spans="2:10" x14ac:dyDescent="0.3">
      <c r="B2780" s="10">
        <f t="shared" si="86"/>
        <v>2015</v>
      </c>
      <c r="C2780" s="10">
        <f t="shared" si="87"/>
        <v>9</v>
      </c>
      <c r="D2780" s="3">
        <v>42261</v>
      </c>
      <c r="E2780" s="1">
        <v>46.37</v>
      </c>
      <c r="F2780" s="1">
        <v>44</v>
      </c>
      <c r="G2780" s="1">
        <v>1.5035000000000001</v>
      </c>
      <c r="H2780" s="1">
        <v>1.3043</v>
      </c>
      <c r="I2780" s="1">
        <v>2.758</v>
      </c>
      <c r="J2780" s="1">
        <v>3.8138999999999998</v>
      </c>
    </row>
    <row r="2781" spans="2:10" x14ac:dyDescent="0.3">
      <c r="B2781" s="10">
        <f t="shared" si="86"/>
        <v>2015</v>
      </c>
      <c r="C2781" s="10">
        <f t="shared" si="87"/>
        <v>9</v>
      </c>
      <c r="D2781" s="3">
        <v>42258</v>
      </c>
      <c r="E2781" s="1">
        <v>48.14</v>
      </c>
      <c r="F2781" s="1">
        <v>44.63</v>
      </c>
      <c r="G2781" s="1">
        <v>1.55</v>
      </c>
      <c r="H2781" s="1">
        <v>1.3698999999999999</v>
      </c>
      <c r="I2781" s="1">
        <v>2.6930000000000001</v>
      </c>
      <c r="J2781" s="1">
        <v>3.87</v>
      </c>
    </row>
    <row r="2782" spans="2:10" x14ac:dyDescent="0.3">
      <c r="B2782" s="10">
        <f t="shared" si="86"/>
        <v>2015</v>
      </c>
      <c r="C2782" s="10">
        <f t="shared" si="87"/>
        <v>9</v>
      </c>
      <c r="D2782" s="3">
        <v>42257</v>
      </c>
      <c r="E2782" s="1">
        <v>48.89</v>
      </c>
      <c r="F2782" s="1">
        <v>45.92</v>
      </c>
      <c r="G2782" s="1">
        <v>1.5747</v>
      </c>
      <c r="H2782" s="1">
        <v>1.3935999999999999</v>
      </c>
      <c r="I2782" s="1">
        <v>2.6829999999999998</v>
      </c>
      <c r="J2782" s="1">
        <v>3.8491</v>
      </c>
    </row>
    <row r="2783" spans="2:10" x14ac:dyDescent="0.3">
      <c r="B2783" s="10">
        <f t="shared" si="86"/>
        <v>2015</v>
      </c>
      <c r="C2783" s="10">
        <f t="shared" si="87"/>
        <v>9</v>
      </c>
      <c r="D2783" s="3">
        <v>42256</v>
      </c>
      <c r="E2783" s="1">
        <v>47.58</v>
      </c>
      <c r="F2783" s="1">
        <v>44.15</v>
      </c>
      <c r="G2783" s="1">
        <v>1.5386</v>
      </c>
      <c r="H2783" s="1">
        <v>1.3596999999999999</v>
      </c>
      <c r="I2783" s="1">
        <v>2.6509999999999998</v>
      </c>
      <c r="J2783" s="1">
        <v>3.7778</v>
      </c>
    </row>
    <row r="2784" spans="2:10" x14ac:dyDescent="0.3">
      <c r="B2784" s="10">
        <f t="shared" si="86"/>
        <v>2015</v>
      </c>
      <c r="C2784" s="10">
        <f t="shared" si="87"/>
        <v>9</v>
      </c>
      <c r="D2784" s="3">
        <v>42255</v>
      </c>
      <c r="E2784" s="1">
        <v>49.52</v>
      </c>
      <c r="F2784" s="1">
        <v>45.94</v>
      </c>
      <c r="G2784" s="1">
        <v>1.5938000000000001</v>
      </c>
      <c r="H2784" s="1">
        <v>1.4020999999999999</v>
      </c>
      <c r="I2784" s="1">
        <v>2.71</v>
      </c>
      <c r="J2784" s="1">
        <v>3.8184999999999998</v>
      </c>
    </row>
    <row r="2785" spans="2:10" x14ac:dyDescent="0.3">
      <c r="B2785" s="10">
        <f t="shared" si="86"/>
        <v>2015</v>
      </c>
      <c r="C2785" s="10">
        <f t="shared" si="87"/>
        <v>9</v>
      </c>
      <c r="D2785" s="3">
        <v>42254</v>
      </c>
      <c r="E2785" s="1">
        <v>47.63</v>
      </c>
      <c r="J2785" s="1">
        <v>3.8372000000000002</v>
      </c>
    </row>
    <row r="2786" spans="2:10" x14ac:dyDescent="0.3">
      <c r="B2786" s="10">
        <f t="shared" si="86"/>
        <v>2015</v>
      </c>
      <c r="C2786" s="10">
        <f t="shared" si="87"/>
        <v>9</v>
      </c>
      <c r="D2786" s="3">
        <v>42251</v>
      </c>
      <c r="E2786" s="1">
        <v>49.61</v>
      </c>
      <c r="F2786" s="1">
        <v>46.05</v>
      </c>
      <c r="G2786" s="1">
        <v>1.5960000000000001</v>
      </c>
      <c r="H2786" s="1">
        <v>1.4181999999999999</v>
      </c>
      <c r="I2786" s="1">
        <v>2.6549999999999998</v>
      </c>
      <c r="J2786" s="1">
        <v>3.8439000000000001</v>
      </c>
    </row>
    <row r="2787" spans="2:10" x14ac:dyDescent="0.3">
      <c r="B2787" s="10">
        <f t="shared" si="86"/>
        <v>2015</v>
      </c>
      <c r="C2787" s="10">
        <f t="shared" si="87"/>
        <v>9</v>
      </c>
      <c r="D2787" s="3">
        <v>42250</v>
      </c>
      <c r="E2787" s="1">
        <v>50.68</v>
      </c>
      <c r="F2787" s="1">
        <v>46.75</v>
      </c>
      <c r="G2787" s="1">
        <v>1.6188</v>
      </c>
      <c r="H2787" s="1">
        <v>1.4371</v>
      </c>
      <c r="I2787" s="1">
        <v>2.7250000000000001</v>
      </c>
      <c r="J2787" s="1">
        <v>3.7376999999999998</v>
      </c>
    </row>
    <row r="2788" spans="2:10" x14ac:dyDescent="0.3">
      <c r="B2788" s="10">
        <f t="shared" si="86"/>
        <v>2015</v>
      </c>
      <c r="C2788" s="10">
        <f t="shared" si="87"/>
        <v>9</v>
      </c>
      <c r="D2788" s="3">
        <v>42249</v>
      </c>
      <c r="E2788" s="1">
        <v>50.5</v>
      </c>
      <c r="F2788" s="1">
        <v>46.25</v>
      </c>
      <c r="G2788" s="1">
        <v>1.6092</v>
      </c>
      <c r="H2788" s="1">
        <v>1.4252</v>
      </c>
      <c r="I2788" s="1">
        <v>2.6480000000000001</v>
      </c>
      <c r="J2788" s="1">
        <v>3.7587999999999999</v>
      </c>
    </row>
    <row r="2789" spans="2:10" x14ac:dyDescent="0.3">
      <c r="B2789" s="10">
        <f t="shared" si="86"/>
        <v>2015</v>
      </c>
      <c r="C2789" s="10">
        <f t="shared" si="87"/>
        <v>9</v>
      </c>
      <c r="D2789" s="3">
        <v>42248</v>
      </c>
      <c r="E2789" s="1">
        <v>49.56</v>
      </c>
      <c r="F2789" s="1">
        <v>45.41</v>
      </c>
      <c r="G2789" s="1">
        <v>1.5779000000000001</v>
      </c>
      <c r="H2789" s="1">
        <v>1.3956</v>
      </c>
      <c r="I2789" s="1">
        <v>2.702</v>
      </c>
      <c r="J2789" s="1">
        <v>3.7016</v>
      </c>
    </row>
    <row r="2790" spans="2:10" x14ac:dyDescent="0.3">
      <c r="B2790" s="10">
        <f t="shared" si="86"/>
        <v>2015</v>
      </c>
      <c r="C2790" s="10">
        <f t="shared" si="87"/>
        <v>8</v>
      </c>
      <c r="D2790" s="3">
        <v>42247</v>
      </c>
      <c r="E2790" s="1">
        <v>54.15</v>
      </c>
      <c r="F2790" s="1">
        <v>49.2</v>
      </c>
      <c r="G2790" s="1">
        <v>1.6736</v>
      </c>
      <c r="H2790" s="1">
        <v>1.6404000000000001</v>
      </c>
      <c r="I2790" s="1">
        <v>2.6890000000000001</v>
      </c>
      <c r="J2790" s="1">
        <v>3.6187</v>
      </c>
    </row>
    <row r="2791" spans="2:10" x14ac:dyDescent="0.3">
      <c r="B2791" s="10">
        <f t="shared" si="86"/>
        <v>2015</v>
      </c>
      <c r="C2791" s="10">
        <f t="shared" si="87"/>
        <v>8</v>
      </c>
      <c r="D2791" s="3">
        <v>42244</v>
      </c>
      <c r="E2791" s="1">
        <v>50.05</v>
      </c>
      <c r="F2791" s="1">
        <v>45.22</v>
      </c>
      <c r="G2791" s="1">
        <v>1.5764</v>
      </c>
      <c r="H2791" s="1">
        <v>1.5218</v>
      </c>
      <c r="I2791" s="1">
        <v>2.7149999999999999</v>
      </c>
      <c r="J2791" s="1">
        <v>3.5808</v>
      </c>
    </row>
    <row r="2792" spans="2:10" x14ac:dyDescent="0.3">
      <c r="B2792" s="10">
        <f t="shared" si="86"/>
        <v>2015</v>
      </c>
      <c r="C2792" s="10">
        <f t="shared" si="87"/>
        <v>8</v>
      </c>
      <c r="D2792" s="3">
        <v>42243</v>
      </c>
      <c r="E2792" s="1">
        <v>47.56</v>
      </c>
      <c r="F2792" s="1">
        <v>42.56</v>
      </c>
      <c r="G2792" s="1">
        <v>1.496</v>
      </c>
      <c r="H2792" s="1">
        <v>1.4568000000000001</v>
      </c>
      <c r="I2792" s="1">
        <v>2.6379999999999999</v>
      </c>
      <c r="J2792" s="1">
        <v>3.5506000000000002</v>
      </c>
    </row>
    <row r="2793" spans="2:10" x14ac:dyDescent="0.3">
      <c r="B2793" s="10">
        <f t="shared" si="86"/>
        <v>2015</v>
      </c>
      <c r="C2793" s="10">
        <f t="shared" si="87"/>
        <v>8</v>
      </c>
      <c r="D2793" s="3">
        <v>42242</v>
      </c>
      <c r="E2793" s="1">
        <v>43.14</v>
      </c>
      <c r="F2793" s="1">
        <v>38.6</v>
      </c>
      <c r="G2793" s="1">
        <v>1.3809</v>
      </c>
      <c r="H2793" s="1">
        <v>1.3549</v>
      </c>
      <c r="I2793" s="1">
        <v>2.6930000000000001</v>
      </c>
      <c r="J2793" s="1">
        <v>3.5952000000000002</v>
      </c>
    </row>
    <row r="2794" spans="2:10" x14ac:dyDescent="0.3">
      <c r="B2794" s="10">
        <f t="shared" si="86"/>
        <v>2015</v>
      </c>
      <c r="C2794" s="10">
        <f t="shared" si="87"/>
        <v>8</v>
      </c>
      <c r="D2794" s="3">
        <v>42241</v>
      </c>
      <c r="E2794" s="1">
        <v>43.21</v>
      </c>
      <c r="F2794" s="1">
        <v>39.31</v>
      </c>
      <c r="G2794" s="1">
        <v>1.3952</v>
      </c>
      <c r="H2794" s="1">
        <v>1.4386000000000001</v>
      </c>
      <c r="I2794" s="1">
        <v>2.6850000000000001</v>
      </c>
      <c r="J2794" s="1">
        <v>3.6172</v>
      </c>
    </row>
    <row r="2795" spans="2:10" x14ac:dyDescent="0.3">
      <c r="B2795" s="10">
        <f t="shared" si="86"/>
        <v>2015</v>
      </c>
      <c r="C2795" s="10">
        <f t="shared" si="87"/>
        <v>8</v>
      </c>
      <c r="D2795" s="3">
        <v>42240</v>
      </c>
      <c r="E2795" s="1">
        <v>42.69</v>
      </c>
      <c r="F2795" s="1">
        <v>38.24</v>
      </c>
      <c r="G2795" s="1">
        <v>1.3929</v>
      </c>
      <c r="H2795" s="1">
        <v>1.4710000000000001</v>
      </c>
      <c r="I2795" s="1">
        <v>2.65</v>
      </c>
      <c r="J2795" s="1">
        <v>3.5531000000000001</v>
      </c>
    </row>
    <row r="2796" spans="2:10" x14ac:dyDescent="0.3">
      <c r="B2796" s="10">
        <f t="shared" si="86"/>
        <v>2015</v>
      </c>
      <c r="C2796" s="10">
        <f t="shared" si="87"/>
        <v>8</v>
      </c>
      <c r="D2796" s="3">
        <v>42237</v>
      </c>
      <c r="E2796" s="1">
        <v>45.46</v>
      </c>
      <c r="F2796" s="1">
        <v>40.450000000000003</v>
      </c>
      <c r="G2796" s="1">
        <v>1.4623999999999999</v>
      </c>
      <c r="H2796" s="1">
        <v>1.5448999999999999</v>
      </c>
      <c r="I2796" s="1">
        <v>2.6760000000000002</v>
      </c>
      <c r="J2796" s="1">
        <v>3.4992999999999999</v>
      </c>
    </row>
    <row r="2797" spans="2:10" x14ac:dyDescent="0.3">
      <c r="B2797" s="10">
        <f t="shared" si="86"/>
        <v>2015</v>
      </c>
      <c r="C2797" s="10">
        <f t="shared" si="87"/>
        <v>8</v>
      </c>
      <c r="D2797" s="3">
        <v>42236</v>
      </c>
      <c r="E2797" s="1">
        <v>46.62</v>
      </c>
      <c r="F2797" s="1">
        <v>41.14</v>
      </c>
      <c r="G2797" s="1">
        <v>1.4956</v>
      </c>
      <c r="H2797" s="1">
        <v>1.5346</v>
      </c>
      <c r="I2797" s="1">
        <v>2.7549999999999999</v>
      </c>
      <c r="J2797" s="1">
        <v>3.4559000000000002</v>
      </c>
    </row>
    <row r="2798" spans="2:10" x14ac:dyDescent="0.3">
      <c r="B2798" s="10">
        <f t="shared" si="86"/>
        <v>2015</v>
      </c>
      <c r="C2798" s="10">
        <f t="shared" si="87"/>
        <v>8</v>
      </c>
      <c r="D2798" s="3">
        <v>42235</v>
      </c>
      <c r="E2798" s="1">
        <v>47.16</v>
      </c>
      <c r="F2798" s="1">
        <v>40.799999999999997</v>
      </c>
      <c r="G2798" s="1">
        <v>1.518</v>
      </c>
      <c r="H2798" s="1">
        <v>1.5591999999999999</v>
      </c>
      <c r="I2798" s="1">
        <v>2.7160000000000002</v>
      </c>
      <c r="J2798" s="1">
        <v>3.4923999999999999</v>
      </c>
    </row>
    <row r="2799" spans="2:10" x14ac:dyDescent="0.3">
      <c r="B2799" s="10">
        <f t="shared" si="86"/>
        <v>2015</v>
      </c>
      <c r="C2799" s="10">
        <f t="shared" si="87"/>
        <v>8</v>
      </c>
      <c r="D2799" s="3">
        <v>42234</v>
      </c>
      <c r="E2799" s="1">
        <v>48.81</v>
      </c>
      <c r="F2799" s="1">
        <v>42.62</v>
      </c>
      <c r="G2799" s="1">
        <v>1.5586</v>
      </c>
      <c r="H2799" s="1">
        <v>1.6468</v>
      </c>
      <c r="I2799" s="1">
        <v>2.7040000000000002</v>
      </c>
      <c r="J2799" s="1">
        <v>3.4678</v>
      </c>
    </row>
    <row r="2800" spans="2:10" x14ac:dyDescent="0.3">
      <c r="B2800" s="10">
        <f t="shared" si="86"/>
        <v>2015</v>
      </c>
      <c r="C2800" s="10">
        <f t="shared" si="87"/>
        <v>8</v>
      </c>
      <c r="D2800" s="3">
        <v>42233</v>
      </c>
      <c r="E2800" s="1">
        <v>48.74</v>
      </c>
      <c r="F2800" s="1">
        <v>41.87</v>
      </c>
      <c r="G2800" s="1">
        <v>1.5548</v>
      </c>
      <c r="H2800" s="1">
        <v>1.6541999999999999</v>
      </c>
      <c r="I2800" s="1">
        <v>2.7280000000000002</v>
      </c>
      <c r="J2800" s="1">
        <v>3.4796999999999998</v>
      </c>
    </row>
    <row r="2801" spans="2:10" x14ac:dyDescent="0.3">
      <c r="B2801" s="10">
        <f t="shared" si="86"/>
        <v>2015</v>
      </c>
      <c r="C2801" s="10">
        <f t="shared" si="87"/>
        <v>8</v>
      </c>
      <c r="D2801" s="3">
        <v>42230</v>
      </c>
      <c r="E2801" s="1">
        <v>49.03</v>
      </c>
      <c r="F2801" s="1">
        <v>42.5</v>
      </c>
      <c r="G2801" s="1">
        <v>1.5579000000000001</v>
      </c>
      <c r="H2801" s="1">
        <v>1.6869000000000001</v>
      </c>
      <c r="I2801" s="1">
        <v>2.8010000000000002</v>
      </c>
      <c r="J2801" s="1">
        <v>3.4834000000000001</v>
      </c>
    </row>
    <row r="2802" spans="2:10" x14ac:dyDescent="0.3">
      <c r="B2802" s="10">
        <f t="shared" si="86"/>
        <v>2015</v>
      </c>
      <c r="C2802" s="10">
        <f t="shared" si="87"/>
        <v>8</v>
      </c>
      <c r="D2802" s="3">
        <v>42229</v>
      </c>
      <c r="E2802" s="1">
        <v>49.22</v>
      </c>
      <c r="F2802" s="1">
        <v>42.23</v>
      </c>
      <c r="G2802" s="1">
        <v>1.5687</v>
      </c>
      <c r="H2802" s="1">
        <v>1.7141</v>
      </c>
      <c r="I2802" s="1">
        <v>2.7869999999999999</v>
      </c>
      <c r="J2802" s="1">
        <v>3.5181</v>
      </c>
    </row>
    <row r="2803" spans="2:10" x14ac:dyDescent="0.3">
      <c r="B2803" s="10">
        <f t="shared" si="86"/>
        <v>2015</v>
      </c>
      <c r="C2803" s="10">
        <f t="shared" si="87"/>
        <v>8</v>
      </c>
      <c r="D2803" s="3">
        <v>42228</v>
      </c>
      <c r="E2803" s="1">
        <v>49.66</v>
      </c>
      <c r="F2803" s="1">
        <v>43.3</v>
      </c>
      <c r="G2803" s="1">
        <v>1.5869</v>
      </c>
      <c r="H2803" s="1">
        <v>1.7635000000000001</v>
      </c>
      <c r="I2803" s="1">
        <v>2.931</v>
      </c>
      <c r="J2803" s="1">
        <v>3.4803999999999999</v>
      </c>
    </row>
    <row r="2804" spans="2:10" x14ac:dyDescent="0.3">
      <c r="B2804" s="10">
        <f t="shared" si="86"/>
        <v>2015</v>
      </c>
      <c r="C2804" s="10">
        <f t="shared" si="87"/>
        <v>8</v>
      </c>
      <c r="D2804" s="3">
        <v>42227</v>
      </c>
      <c r="E2804" s="1">
        <v>49.18</v>
      </c>
      <c r="F2804" s="1">
        <v>43.08</v>
      </c>
      <c r="G2804" s="1">
        <v>1.5629</v>
      </c>
      <c r="H2804" s="1">
        <v>1.6937</v>
      </c>
      <c r="I2804" s="1">
        <v>2.8439999999999999</v>
      </c>
      <c r="J2804" s="1">
        <v>3.4744000000000002</v>
      </c>
    </row>
    <row r="2805" spans="2:10" x14ac:dyDescent="0.3">
      <c r="B2805" s="10">
        <f t="shared" si="86"/>
        <v>2015</v>
      </c>
      <c r="C2805" s="10">
        <f t="shared" si="87"/>
        <v>8</v>
      </c>
      <c r="D2805" s="3">
        <v>42226</v>
      </c>
      <c r="E2805" s="1">
        <v>50.41</v>
      </c>
      <c r="F2805" s="1">
        <v>44.96</v>
      </c>
      <c r="G2805" s="1">
        <v>1.5921000000000001</v>
      </c>
      <c r="H2805" s="1">
        <v>1.694</v>
      </c>
      <c r="I2805" s="1">
        <v>2.8420000000000001</v>
      </c>
      <c r="J2805" s="1">
        <v>3.4340999999999999</v>
      </c>
    </row>
    <row r="2806" spans="2:10" x14ac:dyDescent="0.3">
      <c r="B2806" s="10">
        <f t="shared" si="86"/>
        <v>2015</v>
      </c>
      <c r="C2806" s="10">
        <f t="shared" si="87"/>
        <v>8</v>
      </c>
      <c r="D2806" s="3">
        <v>42223</v>
      </c>
      <c r="E2806" s="1">
        <v>48.61</v>
      </c>
      <c r="F2806" s="1">
        <v>43.87</v>
      </c>
      <c r="G2806" s="1">
        <v>1.5436000000000001</v>
      </c>
      <c r="H2806" s="1">
        <v>1.623</v>
      </c>
      <c r="I2806" s="1">
        <v>2.798</v>
      </c>
      <c r="J2806" s="1">
        <v>3.5057</v>
      </c>
    </row>
    <row r="2807" spans="2:10" x14ac:dyDescent="0.3">
      <c r="B2807" s="10">
        <f t="shared" si="86"/>
        <v>2015</v>
      </c>
      <c r="C2807" s="10">
        <f t="shared" si="87"/>
        <v>8</v>
      </c>
      <c r="D2807" s="3">
        <v>42222</v>
      </c>
      <c r="E2807" s="1">
        <v>49.52</v>
      </c>
      <c r="F2807" s="1">
        <v>44.66</v>
      </c>
      <c r="G2807" s="1">
        <v>1.5499000000000001</v>
      </c>
      <c r="H2807" s="1">
        <v>1.6477999999999999</v>
      </c>
      <c r="I2807" s="1">
        <v>2.8130000000000002</v>
      </c>
      <c r="J2807" s="1">
        <v>3.5347</v>
      </c>
    </row>
    <row r="2808" spans="2:10" x14ac:dyDescent="0.3">
      <c r="B2808" s="10">
        <f t="shared" si="86"/>
        <v>2015</v>
      </c>
      <c r="C2808" s="10">
        <f t="shared" si="87"/>
        <v>8</v>
      </c>
      <c r="D2808" s="3">
        <v>42221</v>
      </c>
      <c r="E2808" s="1">
        <v>49.59</v>
      </c>
      <c r="F2808" s="1">
        <v>45.15</v>
      </c>
      <c r="G2808" s="1">
        <v>1.5385</v>
      </c>
      <c r="H2808" s="1">
        <v>1.6705000000000001</v>
      </c>
      <c r="I2808" s="1">
        <v>2.798</v>
      </c>
      <c r="J2808" s="1">
        <v>3.4855</v>
      </c>
    </row>
    <row r="2809" spans="2:10" x14ac:dyDescent="0.3">
      <c r="B2809" s="10">
        <f t="shared" si="86"/>
        <v>2015</v>
      </c>
      <c r="C2809" s="10">
        <f t="shared" si="87"/>
        <v>8</v>
      </c>
      <c r="D2809" s="3">
        <v>42220</v>
      </c>
      <c r="E2809" s="1">
        <v>49.99</v>
      </c>
      <c r="F2809" s="1">
        <v>45.74</v>
      </c>
      <c r="G2809" s="1">
        <v>1.5475000000000001</v>
      </c>
      <c r="H2809" s="1">
        <v>1.6852</v>
      </c>
      <c r="I2809" s="1">
        <v>2.8119999999999998</v>
      </c>
      <c r="J2809" s="1">
        <v>3.4702000000000002</v>
      </c>
    </row>
    <row r="2810" spans="2:10" x14ac:dyDescent="0.3">
      <c r="B2810" s="10">
        <f t="shared" si="86"/>
        <v>2015</v>
      </c>
      <c r="C2810" s="10">
        <f t="shared" si="87"/>
        <v>8</v>
      </c>
      <c r="D2810" s="3">
        <v>42219</v>
      </c>
      <c r="E2810" s="1">
        <v>49.52</v>
      </c>
      <c r="F2810" s="1">
        <v>45.17</v>
      </c>
      <c r="G2810" s="1">
        <v>1.5305</v>
      </c>
      <c r="H2810" s="1">
        <v>1.6745000000000001</v>
      </c>
      <c r="I2810" s="1">
        <v>2.7480000000000002</v>
      </c>
      <c r="J2810" s="1">
        <v>3.4510999999999998</v>
      </c>
    </row>
    <row r="2811" spans="2:10" x14ac:dyDescent="0.3">
      <c r="B2811" s="10">
        <f t="shared" si="86"/>
        <v>2015</v>
      </c>
      <c r="C2811" s="10">
        <f t="shared" si="87"/>
        <v>7</v>
      </c>
      <c r="D2811" s="3">
        <v>42216</v>
      </c>
      <c r="E2811" s="1">
        <v>52.21</v>
      </c>
      <c r="F2811" s="1">
        <v>47.12</v>
      </c>
      <c r="G2811" s="1">
        <v>1.5840000000000001</v>
      </c>
      <c r="H2811" s="1">
        <v>1.841</v>
      </c>
      <c r="I2811" s="1">
        <v>2.7160000000000002</v>
      </c>
      <c r="J2811" s="1">
        <v>3.4203999999999999</v>
      </c>
    </row>
    <row r="2812" spans="2:10" x14ac:dyDescent="0.3">
      <c r="B2812" s="10">
        <f t="shared" si="86"/>
        <v>2015</v>
      </c>
      <c r="C2812" s="10">
        <f t="shared" si="87"/>
        <v>7</v>
      </c>
      <c r="D2812" s="3">
        <v>42215</v>
      </c>
      <c r="E2812" s="1">
        <v>53.31</v>
      </c>
      <c r="F2812" s="1">
        <v>48.52</v>
      </c>
      <c r="G2812" s="1">
        <v>1.5982000000000001</v>
      </c>
      <c r="H2812" s="1">
        <v>1.8279000000000001</v>
      </c>
      <c r="I2812" s="1">
        <v>2.7679999999999998</v>
      </c>
      <c r="J2812" s="1">
        <v>3.3704999999999998</v>
      </c>
    </row>
    <row r="2813" spans="2:10" x14ac:dyDescent="0.3">
      <c r="B2813" s="10">
        <f t="shared" si="86"/>
        <v>2015</v>
      </c>
      <c r="C2813" s="10">
        <f t="shared" si="87"/>
        <v>7</v>
      </c>
      <c r="D2813" s="3">
        <v>42214</v>
      </c>
      <c r="E2813" s="1">
        <v>53.38</v>
      </c>
      <c r="F2813" s="1">
        <v>48.79</v>
      </c>
      <c r="G2813" s="1">
        <v>1.5983000000000001</v>
      </c>
      <c r="H2813" s="1">
        <v>1.8224</v>
      </c>
      <c r="I2813" s="1">
        <v>2.8860000000000001</v>
      </c>
      <c r="J2813" s="1">
        <v>3.3298000000000001</v>
      </c>
    </row>
    <row r="2814" spans="2:10" x14ac:dyDescent="0.3">
      <c r="B2814" s="10">
        <f t="shared" si="86"/>
        <v>2015</v>
      </c>
      <c r="C2814" s="10">
        <f t="shared" si="87"/>
        <v>7</v>
      </c>
      <c r="D2814" s="3">
        <v>42213</v>
      </c>
      <c r="E2814" s="1">
        <v>53.3</v>
      </c>
      <c r="F2814" s="1">
        <v>47.98</v>
      </c>
      <c r="G2814" s="1">
        <v>1.6044</v>
      </c>
      <c r="H2814" s="1">
        <v>1.8031999999999999</v>
      </c>
      <c r="I2814" s="1">
        <v>2.8210000000000002</v>
      </c>
      <c r="J2814" s="1">
        <v>3.3573</v>
      </c>
    </row>
    <row r="2815" spans="2:10" x14ac:dyDescent="0.3">
      <c r="B2815" s="10">
        <f t="shared" si="86"/>
        <v>2015</v>
      </c>
      <c r="C2815" s="10">
        <f t="shared" si="87"/>
        <v>7</v>
      </c>
      <c r="D2815" s="3">
        <v>42212</v>
      </c>
      <c r="E2815" s="1">
        <v>53.47</v>
      </c>
      <c r="F2815" s="1">
        <v>47.39</v>
      </c>
      <c r="G2815" s="1">
        <v>1.5955999999999999</v>
      </c>
      <c r="H2815" s="1">
        <v>1.8204</v>
      </c>
      <c r="I2815" s="1">
        <v>2.7890000000000001</v>
      </c>
      <c r="J2815" s="1">
        <v>3.3635000000000002</v>
      </c>
    </row>
    <row r="2816" spans="2:10" x14ac:dyDescent="0.3">
      <c r="B2816" s="10">
        <f t="shared" si="86"/>
        <v>2015</v>
      </c>
      <c r="C2816" s="10">
        <f t="shared" si="87"/>
        <v>7</v>
      </c>
      <c r="D2816" s="3">
        <v>42209</v>
      </c>
      <c r="E2816" s="1">
        <v>54.62</v>
      </c>
      <c r="F2816" s="1">
        <v>48.14</v>
      </c>
      <c r="G2816" s="1">
        <v>1.6302000000000001</v>
      </c>
      <c r="H2816" s="1">
        <v>1.8282</v>
      </c>
      <c r="I2816" s="1">
        <v>2.7759999999999998</v>
      </c>
      <c r="J2816" s="1">
        <v>3.3544</v>
      </c>
    </row>
    <row r="2817" spans="2:10" x14ac:dyDescent="0.3">
      <c r="B2817" s="10">
        <f t="shared" si="86"/>
        <v>2015</v>
      </c>
      <c r="C2817" s="10">
        <f t="shared" si="87"/>
        <v>7</v>
      </c>
      <c r="D2817" s="3">
        <v>42208</v>
      </c>
      <c r="E2817" s="1">
        <v>55.27</v>
      </c>
      <c r="F2817" s="1">
        <v>48.45</v>
      </c>
      <c r="G2817" s="1">
        <v>1.6546000000000001</v>
      </c>
      <c r="H2817" s="1">
        <v>1.8521000000000001</v>
      </c>
      <c r="I2817" s="1">
        <v>2.8159999999999998</v>
      </c>
      <c r="J2817" s="1">
        <v>3.2848999999999999</v>
      </c>
    </row>
    <row r="2818" spans="2:10" x14ac:dyDescent="0.3">
      <c r="B2818" s="10">
        <f t="shared" si="86"/>
        <v>2015</v>
      </c>
      <c r="C2818" s="10">
        <f t="shared" si="87"/>
        <v>7</v>
      </c>
      <c r="D2818" s="3">
        <v>42207</v>
      </c>
      <c r="E2818" s="1">
        <v>56.13</v>
      </c>
      <c r="F2818" s="1">
        <v>49.19</v>
      </c>
      <c r="G2818" s="1">
        <v>1.6717</v>
      </c>
      <c r="H2818" s="1">
        <v>1.8675999999999999</v>
      </c>
      <c r="I2818" s="1">
        <v>2.8969999999999998</v>
      </c>
      <c r="J2818" s="1">
        <v>3.2227999999999999</v>
      </c>
    </row>
    <row r="2819" spans="2:10" x14ac:dyDescent="0.3">
      <c r="B2819" s="10">
        <f t="shared" si="86"/>
        <v>2015</v>
      </c>
      <c r="C2819" s="10">
        <f t="shared" si="87"/>
        <v>7</v>
      </c>
      <c r="D2819" s="3">
        <v>42206</v>
      </c>
      <c r="E2819" s="1">
        <v>57.04</v>
      </c>
      <c r="F2819" s="1">
        <v>50.36</v>
      </c>
      <c r="G2819" s="1">
        <v>1.6783999999999999</v>
      </c>
      <c r="H2819" s="1">
        <v>1.9209000000000001</v>
      </c>
      <c r="I2819" s="1">
        <v>2.8820000000000001</v>
      </c>
      <c r="J2819" s="1">
        <v>3.1709999999999998</v>
      </c>
    </row>
    <row r="2820" spans="2:10" x14ac:dyDescent="0.3">
      <c r="B2820" s="10">
        <f t="shared" si="86"/>
        <v>2015</v>
      </c>
      <c r="C2820" s="10">
        <f t="shared" si="87"/>
        <v>7</v>
      </c>
      <c r="D2820" s="3">
        <v>42205</v>
      </c>
      <c r="E2820" s="1">
        <v>56.65</v>
      </c>
      <c r="F2820" s="1">
        <v>50.15</v>
      </c>
      <c r="G2820" s="1">
        <v>1.6584000000000001</v>
      </c>
      <c r="H2820" s="1">
        <v>1.9302999999999999</v>
      </c>
      <c r="I2820" s="1">
        <v>2.823</v>
      </c>
      <c r="J2820" s="1">
        <v>3.1977000000000002</v>
      </c>
    </row>
    <row r="2821" spans="2:10" x14ac:dyDescent="0.3">
      <c r="B2821" s="10">
        <f t="shared" si="86"/>
        <v>2015</v>
      </c>
      <c r="C2821" s="10">
        <f t="shared" si="87"/>
        <v>7</v>
      </c>
      <c r="D2821" s="3">
        <v>42202</v>
      </c>
      <c r="E2821" s="1">
        <v>57.1</v>
      </c>
      <c r="F2821" s="1">
        <v>50.89</v>
      </c>
      <c r="G2821" s="1">
        <v>1.6640999999999999</v>
      </c>
      <c r="H2821" s="1">
        <v>1.9286000000000001</v>
      </c>
      <c r="I2821" s="1">
        <v>2.87</v>
      </c>
      <c r="J2821" s="1">
        <v>3.1873</v>
      </c>
    </row>
    <row r="2822" spans="2:10" x14ac:dyDescent="0.3">
      <c r="B2822" s="10">
        <f t="shared" ref="B2822:B2885" si="88">YEAR(D2822)</f>
        <v>2015</v>
      </c>
      <c r="C2822" s="10">
        <f t="shared" ref="C2822:C2885" si="89">MONTH(D2822)</f>
        <v>7</v>
      </c>
      <c r="D2822" s="3">
        <v>42201</v>
      </c>
      <c r="E2822" s="1">
        <v>57.51</v>
      </c>
      <c r="F2822" s="1">
        <v>50.91</v>
      </c>
      <c r="G2822" s="1">
        <v>1.6661999999999999</v>
      </c>
      <c r="H2822" s="1">
        <v>1.8967000000000001</v>
      </c>
      <c r="I2822" s="1">
        <v>2.8540000000000001</v>
      </c>
      <c r="J2822" s="1">
        <v>3.1579999999999999</v>
      </c>
    </row>
    <row r="2823" spans="2:10" x14ac:dyDescent="0.3">
      <c r="B2823" s="10">
        <f t="shared" si="88"/>
        <v>2015</v>
      </c>
      <c r="C2823" s="10">
        <f t="shared" si="89"/>
        <v>7</v>
      </c>
      <c r="D2823" s="3">
        <v>42200</v>
      </c>
      <c r="E2823" s="1">
        <v>57.05</v>
      </c>
      <c r="F2823" s="1">
        <v>51.41</v>
      </c>
      <c r="G2823" s="1">
        <v>1.6693</v>
      </c>
      <c r="H2823" s="1">
        <v>1.8589</v>
      </c>
      <c r="I2823" s="1">
        <v>2.9180000000000001</v>
      </c>
      <c r="J2823" s="1">
        <v>3.1385000000000001</v>
      </c>
    </row>
    <row r="2824" spans="2:10" x14ac:dyDescent="0.3">
      <c r="B2824" s="10">
        <f t="shared" si="88"/>
        <v>2015</v>
      </c>
      <c r="C2824" s="10">
        <f t="shared" si="89"/>
        <v>7</v>
      </c>
      <c r="D2824" s="3">
        <v>42199</v>
      </c>
      <c r="E2824" s="1">
        <v>58.51</v>
      </c>
      <c r="F2824" s="1">
        <v>53.04</v>
      </c>
      <c r="G2824" s="1">
        <v>1.7253000000000001</v>
      </c>
      <c r="H2824" s="1">
        <v>1.9307000000000001</v>
      </c>
      <c r="I2824" s="1">
        <v>2.84</v>
      </c>
      <c r="J2824" s="1">
        <v>3.1389</v>
      </c>
    </row>
    <row r="2825" spans="2:10" x14ac:dyDescent="0.3">
      <c r="B2825" s="10">
        <f t="shared" si="88"/>
        <v>2015</v>
      </c>
      <c r="C2825" s="10">
        <f t="shared" si="89"/>
        <v>7</v>
      </c>
      <c r="D2825" s="3">
        <v>42198</v>
      </c>
      <c r="E2825" s="1">
        <v>57.85</v>
      </c>
      <c r="F2825" s="1">
        <v>52.2</v>
      </c>
      <c r="G2825" s="1">
        <v>1.7186999999999999</v>
      </c>
      <c r="H2825" s="1">
        <v>1.9396</v>
      </c>
      <c r="I2825" s="1">
        <v>2.8639999999999999</v>
      </c>
      <c r="J2825" s="1">
        <v>3.1335000000000002</v>
      </c>
    </row>
    <row r="2826" spans="2:10" x14ac:dyDescent="0.3">
      <c r="B2826" s="10">
        <f t="shared" si="88"/>
        <v>2015</v>
      </c>
      <c r="C2826" s="10">
        <f t="shared" si="89"/>
        <v>7</v>
      </c>
      <c r="D2826" s="3">
        <v>42195</v>
      </c>
      <c r="E2826" s="1">
        <v>58.73</v>
      </c>
      <c r="F2826" s="1">
        <v>52.74</v>
      </c>
      <c r="G2826" s="1">
        <v>1.7399</v>
      </c>
      <c r="H2826" s="1">
        <v>2.0165000000000002</v>
      </c>
      <c r="I2826" s="1">
        <v>2.77</v>
      </c>
      <c r="J2826" s="1">
        <v>3.1583000000000001</v>
      </c>
    </row>
    <row r="2827" spans="2:10" x14ac:dyDescent="0.3">
      <c r="B2827" s="10">
        <f t="shared" si="88"/>
        <v>2015</v>
      </c>
      <c r="C2827" s="10">
        <f t="shared" si="89"/>
        <v>7</v>
      </c>
      <c r="D2827" s="3">
        <v>42194</v>
      </c>
      <c r="E2827" s="1">
        <v>58.61</v>
      </c>
      <c r="F2827" s="1">
        <v>52.78</v>
      </c>
      <c r="G2827" s="1">
        <v>1.736</v>
      </c>
      <c r="H2827" s="1">
        <v>2.0451000000000001</v>
      </c>
      <c r="I2827" s="1">
        <v>2.726</v>
      </c>
      <c r="J2827" s="1">
        <v>3.2187999999999999</v>
      </c>
    </row>
    <row r="2828" spans="2:10" x14ac:dyDescent="0.3">
      <c r="B2828" s="10">
        <f t="shared" si="88"/>
        <v>2015</v>
      </c>
      <c r="C2828" s="10">
        <f t="shared" si="89"/>
        <v>7</v>
      </c>
      <c r="D2828" s="3">
        <v>42193</v>
      </c>
      <c r="E2828" s="1">
        <v>57.05</v>
      </c>
      <c r="F2828" s="1">
        <v>51.65</v>
      </c>
      <c r="G2828" s="1">
        <v>1.7152000000000001</v>
      </c>
      <c r="H2828" s="1">
        <v>1.9990000000000001</v>
      </c>
      <c r="I2828" s="1">
        <v>2.6850000000000001</v>
      </c>
      <c r="J2828" s="1">
        <v>3.2334999999999998</v>
      </c>
    </row>
    <row r="2829" spans="2:10" x14ac:dyDescent="0.3">
      <c r="B2829" s="10">
        <f t="shared" si="88"/>
        <v>2015</v>
      </c>
      <c r="C2829" s="10">
        <f t="shared" si="89"/>
        <v>7</v>
      </c>
      <c r="D2829" s="3">
        <v>42192</v>
      </c>
      <c r="E2829" s="1">
        <v>56.85</v>
      </c>
      <c r="F2829" s="1">
        <v>52.33</v>
      </c>
      <c r="G2829" s="1">
        <v>1.7113</v>
      </c>
      <c r="H2829" s="1">
        <v>1.9494</v>
      </c>
      <c r="I2829" s="1">
        <v>2.7160000000000002</v>
      </c>
      <c r="J2829" s="1">
        <v>3.1863000000000001</v>
      </c>
    </row>
    <row r="2830" spans="2:10" x14ac:dyDescent="0.3">
      <c r="B2830" s="10">
        <f t="shared" si="88"/>
        <v>2015</v>
      </c>
      <c r="C2830" s="10">
        <f t="shared" si="89"/>
        <v>7</v>
      </c>
      <c r="D2830" s="3">
        <v>42191</v>
      </c>
      <c r="E2830" s="1">
        <v>56.54</v>
      </c>
      <c r="F2830" s="1">
        <v>52.53</v>
      </c>
      <c r="G2830" s="1">
        <v>1.7089000000000001</v>
      </c>
      <c r="H2830" s="1">
        <v>1.9237</v>
      </c>
      <c r="I2830" s="1">
        <v>2.7559999999999998</v>
      </c>
      <c r="J2830" s="1">
        <v>3.1387</v>
      </c>
    </row>
    <row r="2831" spans="2:10" x14ac:dyDescent="0.3">
      <c r="B2831" s="10">
        <f t="shared" si="88"/>
        <v>2015</v>
      </c>
      <c r="C2831" s="10">
        <f t="shared" si="89"/>
        <v>7</v>
      </c>
      <c r="D2831" s="3">
        <v>42188</v>
      </c>
      <c r="E2831" s="1">
        <v>60.32</v>
      </c>
      <c r="J2831" s="1">
        <v>3.1339999999999999</v>
      </c>
    </row>
    <row r="2832" spans="2:10" x14ac:dyDescent="0.3">
      <c r="B2832" s="10">
        <f t="shared" si="88"/>
        <v>2015</v>
      </c>
      <c r="C2832" s="10">
        <f t="shared" si="89"/>
        <v>7</v>
      </c>
      <c r="D2832" s="3">
        <v>42187</v>
      </c>
      <c r="E2832" s="1">
        <v>62.07</v>
      </c>
      <c r="F2832" s="1">
        <v>56.93</v>
      </c>
      <c r="G2832" s="1">
        <v>1.8399000000000001</v>
      </c>
      <c r="H2832" s="1">
        <v>2.0343</v>
      </c>
      <c r="I2832" s="1">
        <v>2.8220000000000001</v>
      </c>
      <c r="J2832" s="1">
        <v>3.0952000000000002</v>
      </c>
    </row>
    <row r="2833" spans="2:10" x14ac:dyDescent="0.3">
      <c r="B2833" s="10">
        <f t="shared" si="88"/>
        <v>2015</v>
      </c>
      <c r="C2833" s="10">
        <f t="shared" si="89"/>
        <v>7</v>
      </c>
      <c r="D2833" s="3">
        <v>42186</v>
      </c>
      <c r="E2833" s="1">
        <v>62.01</v>
      </c>
      <c r="F2833" s="1">
        <v>56.96</v>
      </c>
      <c r="G2833" s="1">
        <v>1.8392999999999999</v>
      </c>
      <c r="H2833" s="1">
        <v>2.0068000000000001</v>
      </c>
      <c r="I2833" s="1">
        <v>2.7829999999999999</v>
      </c>
      <c r="J2833" s="1">
        <v>3.1484999999999999</v>
      </c>
    </row>
    <row r="2834" spans="2:10" x14ac:dyDescent="0.3">
      <c r="B2834" s="10">
        <f t="shared" si="88"/>
        <v>2015</v>
      </c>
      <c r="C2834" s="10">
        <f t="shared" si="89"/>
        <v>6</v>
      </c>
      <c r="D2834" s="3">
        <v>42185</v>
      </c>
      <c r="E2834" s="1">
        <v>63.59</v>
      </c>
      <c r="F2834" s="1">
        <v>59.47</v>
      </c>
      <c r="G2834" s="1">
        <v>1.8866000000000001</v>
      </c>
      <c r="H2834" s="1">
        <v>2.0895999999999999</v>
      </c>
      <c r="I2834" s="1">
        <v>2.8319999999999999</v>
      </c>
      <c r="J2834" s="1">
        <v>3.1019999999999999</v>
      </c>
    </row>
    <row r="2835" spans="2:10" x14ac:dyDescent="0.3">
      <c r="B2835" s="10">
        <f t="shared" si="88"/>
        <v>2015</v>
      </c>
      <c r="C2835" s="10">
        <f t="shared" si="89"/>
        <v>6</v>
      </c>
      <c r="D2835" s="3">
        <v>42184</v>
      </c>
      <c r="E2835" s="1">
        <v>62.01</v>
      </c>
      <c r="F2835" s="1">
        <v>58.33</v>
      </c>
      <c r="G2835" s="1">
        <v>1.8366</v>
      </c>
      <c r="H2835" s="1">
        <v>2.0303</v>
      </c>
      <c r="I2835" s="1">
        <v>2.8050000000000002</v>
      </c>
      <c r="J2835" s="1">
        <v>3.1175000000000002</v>
      </c>
    </row>
    <row r="2836" spans="2:10" x14ac:dyDescent="0.3">
      <c r="B2836" s="10">
        <f t="shared" si="88"/>
        <v>2015</v>
      </c>
      <c r="C2836" s="10">
        <f t="shared" si="89"/>
        <v>6</v>
      </c>
      <c r="D2836" s="3">
        <v>42181</v>
      </c>
      <c r="E2836" s="1">
        <v>63.26</v>
      </c>
      <c r="F2836" s="1">
        <v>59.63</v>
      </c>
      <c r="G2836" s="1">
        <v>1.8628</v>
      </c>
      <c r="H2836" s="1">
        <v>2.0485000000000002</v>
      </c>
      <c r="I2836" s="1">
        <v>2.7730000000000001</v>
      </c>
      <c r="J2836" s="1">
        <v>3.1288999999999998</v>
      </c>
    </row>
    <row r="2837" spans="2:10" x14ac:dyDescent="0.3">
      <c r="B2837" s="10">
        <f t="shared" si="88"/>
        <v>2015</v>
      </c>
      <c r="C2837" s="10">
        <f t="shared" si="89"/>
        <v>6</v>
      </c>
      <c r="D2837" s="3">
        <v>42180</v>
      </c>
      <c r="E2837" s="1">
        <v>63.2</v>
      </c>
      <c r="F2837" s="1">
        <v>59.7</v>
      </c>
      <c r="G2837" s="1">
        <v>1.8623000000000001</v>
      </c>
      <c r="H2837" s="1">
        <v>2.0367999999999999</v>
      </c>
      <c r="I2837" s="1">
        <v>2.85</v>
      </c>
      <c r="J2837" s="1">
        <v>3.1269</v>
      </c>
    </row>
    <row r="2838" spans="2:10" x14ac:dyDescent="0.3">
      <c r="B2838" s="10">
        <f t="shared" si="88"/>
        <v>2015</v>
      </c>
      <c r="C2838" s="10">
        <f t="shared" si="89"/>
        <v>6</v>
      </c>
      <c r="D2838" s="3">
        <v>42179</v>
      </c>
      <c r="E2838" s="1">
        <v>63.49</v>
      </c>
      <c r="F2838" s="1">
        <v>60.27</v>
      </c>
      <c r="G2838" s="1">
        <v>1.8761000000000001</v>
      </c>
      <c r="H2838" s="1">
        <v>2.0554999999999999</v>
      </c>
      <c r="I2838" s="1">
        <v>2.7589999999999999</v>
      </c>
      <c r="J2838" s="1">
        <v>3.0968</v>
      </c>
    </row>
    <row r="2839" spans="2:10" x14ac:dyDescent="0.3">
      <c r="B2839" s="10">
        <f t="shared" si="88"/>
        <v>2015</v>
      </c>
      <c r="C2839" s="10">
        <f t="shared" si="89"/>
        <v>6</v>
      </c>
      <c r="D2839" s="3">
        <v>42178</v>
      </c>
      <c r="E2839" s="1">
        <v>64.45</v>
      </c>
      <c r="F2839" s="1">
        <v>61.01</v>
      </c>
      <c r="G2839" s="1">
        <v>1.9112</v>
      </c>
      <c r="H2839" s="1">
        <v>2.0766</v>
      </c>
      <c r="I2839" s="1">
        <v>2.726</v>
      </c>
      <c r="J2839" s="1">
        <v>3.0748000000000002</v>
      </c>
    </row>
    <row r="2840" spans="2:10" x14ac:dyDescent="0.3">
      <c r="B2840" s="10">
        <f t="shared" si="88"/>
        <v>2015</v>
      </c>
      <c r="C2840" s="10">
        <f t="shared" si="89"/>
        <v>6</v>
      </c>
      <c r="D2840" s="3">
        <v>42177</v>
      </c>
      <c r="E2840" s="1">
        <v>63.34</v>
      </c>
      <c r="F2840" s="1">
        <v>59.68</v>
      </c>
      <c r="G2840" s="1">
        <v>1.8694</v>
      </c>
      <c r="H2840" s="1">
        <v>2.0297000000000001</v>
      </c>
      <c r="I2840" s="1">
        <v>2.7330000000000001</v>
      </c>
      <c r="J2840" s="1">
        <v>3.0798999999999999</v>
      </c>
    </row>
    <row r="2841" spans="2:10" x14ac:dyDescent="0.3">
      <c r="B2841" s="10">
        <f t="shared" si="88"/>
        <v>2015</v>
      </c>
      <c r="C2841" s="10">
        <f t="shared" si="89"/>
        <v>6</v>
      </c>
      <c r="D2841" s="3">
        <v>42174</v>
      </c>
      <c r="E2841" s="1">
        <v>63.02</v>
      </c>
      <c r="F2841" s="1">
        <v>59.61</v>
      </c>
      <c r="G2841" s="1">
        <v>1.8669</v>
      </c>
      <c r="H2841" s="1">
        <v>2.0586000000000002</v>
      </c>
      <c r="I2841" s="1">
        <v>2.8159999999999998</v>
      </c>
      <c r="J2841" s="1">
        <v>3.0962999999999998</v>
      </c>
    </row>
    <row r="2842" spans="2:10" x14ac:dyDescent="0.3">
      <c r="B2842" s="10">
        <f t="shared" si="88"/>
        <v>2015</v>
      </c>
      <c r="C2842" s="10">
        <f t="shared" si="89"/>
        <v>6</v>
      </c>
      <c r="D2842" s="3">
        <v>42173</v>
      </c>
      <c r="E2842" s="1">
        <v>64.260000000000005</v>
      </c>
      <c r="F2842" s="1">
        <v>60.45</v>
      </c>
      <c r="G2842" s="1">
        <v>1.9152</v>
      </c>
      <c r="H2842" s="1">
        <v>2.1101000000000001</v>
      </c>
      <c r="I2842" s="1">
        <v>2.7770000000000001</v>
      </c>
      <c r="J2842" s="1">
        <v>3.0592999999999999</v>
      </c>
    </row>
    <row r="2843" spans="2:10" x14ac:dyDescent="0.3">
      <c r="B2843" s="10">
        <f t="shared" si="88"/>
        <v>2015</v>
      </c>
      <c r="C2843" s="10">
        <f t="shared" si="89"/>
        <v>6</v>
      </c>
      <c r="D2843" s="3">
        <v>42172</v>
      </c>
      <c r="E2843" s="1">
        <v>63.87</v>
      </c>
      <c r="F2843" s="1">
        <v>59.92</v>
      </c>
      <c r="G2843" s="1">
        <v>1.9097999999999999</v>
      </c>
      <c r="H2843" s="1">
        <v>2.1004999999999998</v>
      </c>
      <c r="I2843" s="1">
        <v>2.855</v>
      </c>
      <c r="J2843" s="1">
        <v>3.0564</v>
      </c>
    </row>
    <row r="2844" spans="2:10" x14ac:dyDescent="0.3">
      <c r="B2844" s="10">
        <f t="shared" si="88"/>
        <v>2015</v>
      </c>
      <c r="C2844" s="10">
        <f t="shared" si="89"/>
        <v>6</v>
      </c>
      <c r="D2844" s="3">
        <v>42171</v>
      </c>
      <c r="E2844" s="1">
        <v>63.7</v>
      </c>
      <c r="F2844" s="1">
        <v>59.97</v>
      </c>
      <c r="G2844" s="1">
        <v>1.8849</v>
      </c>
      <c r="H2844" s="1">
        <v>2.1244999999999998</v>
      </c>
      <c r="I2844" s="1">
        <v>2.8940000000000001</v>
      </c>
      <c r="J2844" s="1">
        <v>3.0874000000000001</v>
      </c>
    </row>
    <row r="2845" spans="2:10" x14ac:dyDescent="0.3">
      <c r="B2845" s="10">
        <f t="shared" si="88"/>
        <v>2015</v>
      </c>
      <c r="C2845" s="10">
        <f t="shared" si="89"/>
        <v>6</v>
      </c>
      <c r="D2845" s="3">
        <v>42170</v>
      </c>
      <c r="E2845" s="1">
        <v>62.61</v>
      </c>
      <c r="F2845" s="1">
        <v>59.52</v>
      </c>
      <c r="G2845" s="1">
        <v>1.8703000000000001</v>
      </c>
      <c r="H2845" s="1">
        <v>2.0991</v>
      </c>
      <c r="I2845" s="1">
        <v>2.8889999999999998</v>
      </c>
      <c r="J2845" s="1">
        <v>3.1295999999999999</v>
      </c>
    </row>
    <row r="2846" spans="2:10" x14ac:dyDescent="0.3">
      <c r="B2846" s="10">
        <f t="shared" si="88"/>
        <v>2015</v>
      </c>
      <c r="C2846" s="10">
        <f t="shared" si="89"/>
        <v>6</v>
      </c>
      <c r="D2846" s="3">
        <v>42167</v>
      </c>
      <c r="E2846" s="1">
        <v>63.87</v>
      </c>
      <c r="F2846" s="1">
        <v>59.96</v>
      </c>
      <c r="G2846" s="1">
        <v>1.8892</v>
      </c>
      <c r="H2846" s="1">
        <v>2.1211000000000002</v>
      </c>
      <c r="I2846" s="1">
        <v>2.75</v>
      </c>
      <c r="J2846" s="1">
        <v>3.117</v>
      </c>
    </row>
    <row r="2847" spans="2:10" x14ac:dyDescent="0.3">
      <c r="B2847" s="10">
        <f t="shared" si="88"/>
        <v>2015</v>
      </c>
      <c r="C2847" s="10">
        <f t="shared" si="89"/>
        <v>6</v>
      </c>
      <c r="D2847" s="3">
        <v>42166</v>
      </c>
      <c r="E2847" s="1">
        <v>65.11</v>
      </c>
      <c r="F2847" s="1">
        <v>60.77</v>
      </c>
      <c r="G2847" s="1">
        <v>1.921</v>
      </c>
      <c r="H2847" s="1">
        <v>2.1381000000000001</v>
      </c>
      <c r="I2847" s="1">
        <v>2.8250000000000002</v>
      </c>
      <c r="J2847" s="1">
        <v>3.0893000000000002</v>
      </c>
    </row>
    <row r="2848" spans="2:10" x14ac:dyDescent="0.3">
      <c r="B2848" s="10">
        <f t="shared" si="88"/>
        <v>2015</v>
      </c>
      <c r="C2848" s="10">
        <f t="shared" si="89"/>
        <v>6</v>
      </c>
      <c r="D2848" s="3">
        <v>42165</v>
      </c>
      <c r="E2848" s="1">
        <v>65.7</v>
      </c>
      <c r="F2848" s="1">
        <v>61.43</v>
      </c>
      <c r="G2848" s="1">
        <v>1.9459</v>
      </c>
      <c r="H2848" s="1">
        <v>2.1463999999999999</v>
      </c>
      <c r="I2848" s="1">
        <v>2.891</v>
      </c>
      <c r="J2848" s="1">
        <v>3.1172</v>
      </c>
    </row>
    <row r="2849" spans="2:10" x14ac:dyDescent="0.3">
      <c r="B2849" s="10">
        <f t="shared" si="88"/>
        <v>2015</v>
      </c>
      <c r="C2849" s="10">
        <f t="shared" si="89"/>
        <v>6</v>
      </c>
      <c r="D2849" s="3">
        <v>42164</v>
      </c>
      <c r="E2849" s="1">
        <v>64.88</v>
      </c>
      <c r="F2849" s="1">
        <v>60.14</v>
      </c>
      <c r="G2849" s="1">
        <v>1.9178999999999999</v>
      </c>
      <c r="H2849" s="1">
        <v>2.0771000000000002</v>
      </c>
      <c r="I2849" s="1">
        <v>2.8460000000000001</v>
      </c>
      <c r="J2849" s="1">
        <v>3.0960000000000001</v>
      </c>
    </row>
    <row r="2850" spans="2:10" x14ac:dyDescent="0.3">
      <c r="B2850" s="10">
        <f t="shared" si="88"/>
        <v>2015</v>
      </c>
      <c r="C2850" s="10">
        <f t="shared" si="89"/>
        <v>6</v>
      </c>
      <c r="D2850" s="3">
        <v>42163</v>
      </c>
      <c r="E2850" s="1">
        <v>62.69</v>
      </c>
      <c r="F2850" s="1">
        <v>58.14</v>
      </c>
      <c r="G2850" s="1">
        <v>1.8548</v>
      </c>
      <c r="H2850" s="1">
        <v>2.0074999999999998</v>
      </c>
      <c r="I2850" s="1">
        <v>2.7050000000000001</v>
      </c>
      <c r="J2850" s="1">
        <v>3.1124000000000001</v>
      </c>
    </row>
    <row r="2851" spans="2:10" x14ac:dyDescent="0.3">
      <c r="B2851" s="10">
        <f t="shared" si="88"/>
        <v>2015</v>
      </c>
      <c r="C2851" s="10">
        <f t="shared" si="89"/>
        <v>6</v>
      </c>
      <c r="D2851" s="3">
        <v>42160</v>
      </c>
      <c r="E2851" s="1">
        <v>63.31</v>
      </c>
      <c r="F2851" s="1">
        <v>59.13</v>
      </c>
      <c r="G2851" s="1">
        <v>1.8695999999999999</v>
      </c>
      <c r="H2851" s="1">
        <v>2.0299999999999998</v>
      </c>
      <c r="I2851" s="1">
        <v>2.59</v>
      </c>
      <c r="J2851" s="1">
        <v>3.1433</v>
      </c>
    </row>
    <row r="2852" spans="2:10" x14ac:dyDescent="0.3">
      <c r="B2852" s="10">
        <f t="shared" si="88"/>
        <v>2015</v>
      </c>
      <c r="C2852" s="10">
        <f t="shared" si="89"/>
        <v>6</v>
      </c>
      <c r="D2852" s="3">
        <v>42159</v>
      </c>
      <c r="E2852" s="1">
        <v>62.03</v>
      </c>
      <c r="F2852" s="1">
        <v>58</v>
      </c>
      <c r="G2852" s="1">
        <v>1.8439000000000001</v>
      </c>
      <c r="H2852" s="1">
        <v>1.9805999999999999</v>
      </c>
      <c r="I2852" s="1">
        <v>2.6259999999999999</v>
      </c>
      <c r="J2852" s="1">
        <v>3.1402999999999999</v>
      </c>
    </row>
    <row r="2853" spans="2:10" x14ac:dyDescent="0.3">
      <c r="B2853" s="10">
        <f t="shared" si="88"/>
        <v>2015</v>
      </c>
      <c r="C2853" s="10">
        <f t="shared" si="89"/>
        <v>6</v>
      </c>
      <c r="D2853" s="3">
        <v>42158</v>
      </c>
      <c r="E2853" s="1">
        <v>63.8</v>
      </c>
      <c r="F2853" s="1">
        <v>59.64</v>
      </c>
      <c r="G2853" s="1">
        <v>1.8917999999999999</v>
      </c>
      <c r="H2853" s="1">
        <v>2.0453000000000001</v>
      </c>
      <c r="I2853" s="1">
        <v>2.6339999999999999</v>
      </c>
      <c r="J2853" s="1">
        <v>3.1335999999999999</v>
      </c>
    </row>
    <row r="2854" spans="2:10" x14ac:dyDescent="0.3">
      <c r="B2854" s="10">
        <f t="shared" si="88"/>
        <v>2015</v>
      </c>
      <c r="C2854" s="10">
        <f t="shared" si="89"/>
        <v>6</v>
      </c>
      <c r="D2854" s="3">
        <v>42157</v>
      </c>
      <c r="E2854" s="1">
        <v>65.489999999999995</v>
      </c>
      <c r="F2854" s="1">
        <v>61.26</v>
      </c>
      <c r="G2854" s="1">
        <v>1.9455</v>
      </c>
      <c r="H2854" s="1">
        <v>2.0648</v>
      </c>
      <c r="I2854" s="1">
        <v>2.698</v>
      </c>
      <c r="J2854" s="1">
        <v>3.1295999999999999</v>
      </c>
    </row>
    <row r="2855" spans="2:10" x14ac:dyDescent="0.3">
      <c r="B2855" s="10">
        <f t="shared" si="88"/>
        <v>2015</v>
      </c>
      <c r="C2855" s="10">
        <f t="shared" si="89"/>
        <v>6</v>
      </c>
      <c r="D2855" s="3">
        <v>42156</v>
      </c>
      <c r="E2855" s="1">
        <v>64.88</v>
      </c>
      <c r="F2855" s="1">
        <v>60.2</v>
      </c>
      <c r="G2855" s="1">
        <v>1.9263999999999999</v>
      </c>
      <c r="H2855" s="1">
        <v>2.0421999999999998</v>
      </c>
      <c r="I2855" s="1">
        <v>2.649</v>
      </c>
      <c r="J2855" s="1">
        <v>3.1703000000000001</v>
      </c>
    </row>
    <row r="2856" spans="2:10" x14ac:dyDescent="0.3">
      <c r="B2856" s="10">
        <f t="shared" si="88"/>
        <v>2015</v>
      </c>
      <c r="C2856" s="10">
        <f t="shared" si="89"/>
        <v>5</v>
      </c>
      <c r="D2856" s="3">
        <v>42153</v>
      </c>
      <c r="E2856" s="1">
        <v>65.56</v>
      </c>
      <c r="F2856" s="1">
        <v>60.3</v>
      </c>
      <c r="G2856" s="1">
        <v>1.9553</v>
      </c>
      <c r="H2856" s="1">
        <v>2.0857999999999999</v>
      </c>
      <c r="I2856" s="1">
        <v>2.6419999999999999</v>
      </c>
      <c r="J2856" s="1">
        <v>3.1787999999999998</v>
      </c>
    </row>
    <row r="2857" spans="2:10" x14ac:dyDescent="0.3">
      <c r="B2857" s="10">
        <f t="shared" si="88"/>
        <v>2015</v>
      </c>
      <c r="C2857" s="10">
        <f t="shared" si="89"/>
        <v>5</v>
      </c>
      <c r="D2857" s="3">
        <v>42152</v>
      </c>
      <c r="E2857" s="1">
        <v>62.58</v>
      </c>
      <c r="F2857" s="1">
        <v>57.68</v>
      </c>
      <c r="G2857" s="1">
        <v>1.8704000000000001</v>
      </c>
      <c r="H2857" s="1">
        <v>1.9851000000000001</v>
      </c>
      <c r="I2857" s="1">
        <v>2.706</v>
      </c>
      <c r="J2857" s="1">
        <v>3.1621000000000001</v>
      </c>
    </row>
    <row r="2858" spans="2:10" x14ac:dyDescent="0.3">
      <c r="B2858" s="10">
        <f t="shared" si="88"/>
        <v>2015</v>
      </c>
      <c r="C2858" s="10">
        <f t="shared" si="89"/>
        <v>5</v>
      </c>
      <c r="D2858" s="3">
        <v>42151</v>
      </c>
      <c r="E2858" s="1">
        <v>62.06</v>
      </c>
      <c r="F2858" s="1">
        <v>57.51</v>
      </c>
      <c r="G2858" s="1">
        <v>1.8566</v>
      </c>
      <c r="H2858" s="1">
        <v>1.9444999999999999</v>
      </c>
      <c r="I2858" s="1">
        <v>2.8149999999999999</v>
      </c>
      <c r="J2858" s="1">
        <v>3.1394000000000002</v>
      </c>
    </row>
    <row r="2859" spans="2:10" x14ac:dyDescent="0.3">
      <c r="B2859" s="10">
        <f t="shared" si="88"/>
        <v>2015</v>
      </c>
      <c r="C2859" s="10">
        <f t="shared" si="89"/>
        <v>5</v>
      </c>
      <c r="D2859" s="3">
        <v>42150</v>
      </c>
      <c r="E2859" s="1">
        <v>63.72</v>
      </c>
      <c r="F2859" s="1">
        <v>58.03</v>
      </c>
      <c r="G2859" s="1">
        <v>1.9001999999999999</v>
      </c>
      <c r="H2859" s="1">
        <v>1.9983</v>
      </c>
      <c r="I2859" s="1">
        <v>2.8220000000000001</v>
      </c>
      <c r="J2859" s="1">
        <v>3.153</v>
      </c>
    </row>
    <row r="2860" spans="2:10" x14ac:dyDescent="0.3">
      <c r="B2860" s="10">
        <f t="shared" si="88"/>
        <v>2015</v>
      </c>
      <c r="C2860" s="10">
        <f t="shared" si="89"/>
        <v>5</v>
      </c>
      <c r="D2860" s="3">
        <v>42149</v>
      </c>
      <c r="E2860" s="1">
        <v>65.52</v>
      </c>
      <c r="J2860" s="1">
        <v>3.0956999999999999</v>
      </c>
    </row>
    <row r="2861" spans="2:10" x14ac:dyDescent="0.3">
      <c r="B2861" s="10">
        <f t="shared" si="88"/>
        <v>2015</v>
      </c>
      <c r="C2861" s="10">
        <f t="shared" si="89"/>
        <v>5</v>
      </c>
      <c r="D2861" s="3">
        <v>42146</v>
      </c>
      <c r="E2861" s="1">
        <v>65.37</v>
      </c>
      <c r="F2861" s="1">
        <v>59.72</v>
      </c>
      <c r="G2861" s="1">
        <v>1.9524999999999999</v>
      </c>
      <c r="H2861" s="1">
        <v>2.0539000000000001</v>
      </c>
      <c r="I2861" s="1">
        <v>2.887</v>
      </c>
      <c r="J2861" s="1">
        <v>3.0933999999999999</v>
      </c>
    </row>
    <row r="2862" spans="2:10" x14ac:dyDescent="0.3">
      <c r="B2862" s="10">
        <f t="shared" si="88"/>
        <v>2015</v>
      </c>
      <c r="C2862" s="10">
        <f t="shared" si="89"/>
        <v>5</v>
      </c>
      <c r="D2862" s="3">
        <v>42145</v>
      </c>
      <c r="E2862" s="1">
        <v>66.540000000000006</v>
      </c>
      <c r="F2862" s="1">
        <v>60.72</v>
      </c>
      <c r="G2862" s="1">
        <v>1.9859</v>
      </c>
      <c r="H2862" s="1">
        <v>2.0823999999999998</v>
      </c>
      <c r="I2862" s="1">
        <v>2.9489999999999998</v>
      </c>
      <c r="J2862" s="1">
        <v>3.0375999999999999</v>
      </c>
    </row>
    <row r="2863" spans="2:10" x14ac:dyDescent="0.3">
      <c r="B2863" s="10">
        <f t="shared" si="88"/>
        <v>2015</v>
      </c>
      <c r="C2863" s="10">
        <f t="shared" si="89"/>
        <v>5</v>
      </c>
      <c r="D2863" s="3">
        <v>42144</v>
      </c>
      <c r="E2863" s="1">
        <v>65.03</v>
      </c>
      <c r="F2863" s="1">
        <v>58.98</v>
      </c>
      <c r="G2863" s="1">
        <v>1.946</v>
      </c>
      <c r="H2863" s="1">
        <v>2.0411000000000001</v>
      </c>
      <c r="I2863" s="1">
        <v>2.915</v>
      </c>
      <c r="J2863" s="1">
        <v>3.0017</v>
      </c>
    </row>
    <row r="2864" spans="2:10" x14ac:dyDescent="0.3">
      <c r="B2864" s="10">
        <f t="shared" si="88"/>
        <v>2015</v>
      </c>
      <c r="C2864" s="10">
        <f t="shared" si="89"/>
        <v>5</v>
      </c>
      <c r="D2864" s="3">
        <v>42143</v>
      </c>
      <c r="E2864" s="1">
        <v>64.02</v>
      </c>
      <c r="F2864" s="1">
        <v>57.26</v>
      </c>
      <c r="G2864" s="1">
        <v>1.9292</v>
      </c>
      <c r="H2864" s="1">
        <v>1.9950000000000001</v>
      </c>
      <c r="I2864" s="1">
        <v>2.948</v>
      </c>
      <c r="J2864" s="1">
        <v>3.0390999999999999</v>
      </c>
    </row>
    <row r="2865" spans="2:10" x14ac:dyDescent="0.3">
      <c r="B2865" s="10">
        <f t="shared" si="88"/>
        <v>2015</v>
      </c>
      <c r="C2865" s="10">
        <f t="shared" si="89"/>
        <v>5</v>
      </c>
      <c r="D2865" s="3">
        <v>42142</v>
      </c>
      <c r="E2865" s="1">
        <v>66.27</v>
      </c>
      <c r="F2865" s="1">
        <v>59.43</v>
      </c>
      <c r="G2865" s="1">
        <v>1.9867999999999999</v>
      </c>
      <c r="H2865" s="1">
        <v>2.0411000000000001</v>
      </c>
      <c r="I2865" s="1">
        <v>3.01</v>
      </c>
      <c r="J2865" s="1">
        <v>3.0062000000000002</v>
      </c>
    </row>
    <row r="2866" spans="2:10" x14ac:dyDescent="0.3">
      <c r="B2866" s="10">
        <f t="shared" si="88"/>
        <v>2015</v>
      </c>
      <c r="C2866" s="10">
        <f t="shared" si="89"/>
        <v>5</v>
      </c>
      <c r="D2866" s="3">
        <v>42139</v>
      </c>
      <c r="E2866" s="1">
        <v>66.81</v>
      </c>
      <c r="F2866" s="1">
        <v>59.69</v>
      </c>
      <c r="G2866" s="1">
        <v>2.0047999999999999</v>
      </c>
      <c r="H2866" s="1">
        <v>2.0568</v>
      </c>
      <c r="I2866" s="1">
        <v>3.016</v>
      </c>
      <c r="J2866" s="1">
        <v>2.9956999999999998</v>
      </c>
    </row>
    <row r="2867" spans="2:10" x14ac:dyDescent="0.3">
      <c r="B2867" s="10">
        <f t="shared" si="88"/>
        <v>2015</v>
      </c>
      <c r="C2867" s="10">
        <f t="shared" si="89"/>
        <v>5</v>
      </c>
      <c r="D2867" s="3">
        <v>42138</v>
      </c>
      <c r="E2867" s="1">
        <v>66.59</v>
      </c>
      <c r="F2867" s="1">
        <v>59.88</v>
      </c>
      <c r="G2867" s="1">
        <v>2.0055999999999998</v>
      </c>
      <c r="H2867" s="1">
        <v>2.0575000000000001</v>
      </c>
      <c r="I2867" s="1">
        <v>3.008</v>
      </c>
      <c r="J2867" s="1">
        <v>2.9929999999999999</v>
      </c>
    </row>
    <row r="2868" spans="2:10" x14ac:dyDescent="0.3">
      <c r="B2868" s="10">
        <f t="shared" si="88"/>
        <v>2015</v>
      </c>
      <c r="C2868" s="10">
        <f t="shared" si="89"/>
        <v>5</v>
      </c>
      <c r="D2868" s="3">
        <v>42137</v>
      </c>
      <c r="E2868" s="1">
        <v>66.81</v>
      </c>
      <c r="F2868" s="1">
        <v>60.5</v>
      </c>
      <c r="G2868" s="1">
        <v>2.0051000000000001</v>
      </c>
      <c r="H2868" s="1">
        <v>2.0405000000000002</v>
      </c>
      <c r="I2868" s="1">
        <v>2.9350000000000001</v>
      </c>
      <c r="J2868" s="1">
        <v>3.0388999999999999</v>
      </c>
    </row>
    <row r="2869" spans="2:10" x14ac:dyDescent="0.3">
      <c r="B2869" s="10">
        <f t="shared" si="88"/>
        <v>2015</v>
      </c>
      <c r="C2869" s="10">
        <f t="shared" si="89"/>
        <v>5</v>
      </c>
      <c r="D2869" s="3">
        <v>42136</v>
      </c>
      <c r="E2869" s="1">
        <v>66.86</v>
      </c>
      <c r="F2869" s="1">
        <v>60.75</v>
      </c>
      <c r="G2869" s="1">
        <v>1.9988999999999999</v>
      </c>
      <c r="H2869" s="1">
        <v>2.0392999999999999</v>
      </c>
      <c r="I2869" s="1">
        <v>2.8969999999999998</v>
      </c>
      <c r="J2869" s="1">
        <v>3.0192999999999999</v>
      </c>
    </row>
    <row r="2870" spans="2:10" x14ac:dyDescent="0.3">
      <c r="B2870" s="10">
        <f t="shared" si="88"/>
        <v>2015</v>
      </c>
      <c r="C2870" s="10">
        <f t="shared" si="89"/>
        <v>5</v>
      </c>
      <c r="D2870" s="3">
        <v>42135</v>
      </c>
      <c r="E2870" s="1">
        <v>64.91</v>
      </c>
      <c r="F2870" s="1">
        <v>59.25</v>
      </c>
      <c r="G2870" s="1">
        <v>1.9454</v>
      </c>
      <c r="H2870" s="1">
        <v>1.9863999999999999</v>
      </c>
      <c r="I2870" s="1">
        <v>2.802</v>
      </c>
      <c r="J2870" s="1">
        <v>3.06</v>
      </c>
    </row>
    <row r="2871" spans="2:10" x14ac:dyDescent="0.3">
      <c r="B2871" s="10">
        <f t="shared" si="88"/>
        <v>2015</v>
      </c>
      <c r="C2871" s="10">
        <f t="shared" si="89"/>
        <v>5</v>
      </c>
      <c r="D2871" s="3">
        <v>42132</v>
      </c>
      <c r="E2871" s="1">
        <v>65.39</v>
      </c>
      <c r="F2871" s="1">
        <v>59.39</v>
      </c>
      <c r="G2871" s="1">
        <v>1.9537</v>
      </c>
      <c r="H2871" s="1">
        <v>1.9918</v>
      </c>
      <c r="I2871" s="1">
        <v>2.88</v>
      </c>
      <c r="J2871" s="1">
        <v>2.972</v>
      </c>
    </row>
    <row r="2872" spans="2:10" x14ac:dyDescent="0.3">
      <c r="B2872" s="10">
        <f t="shared" si="88"/>
        <v>2015</v>
      </c>
      <c r="C2872" s="10">
        <f t="shared" si="89"/>
        <v>5</v>
      </c>
      <c r="D2872" s="3">
        <v>42131</v>
      </c>
      <c r="E2872" s="1">
        <v>65.540000000000006</v>
      </c>
      <c r="F2872" s="1">
        <v>58.94</v>
      </c>
      <c r="G2872" s="1">
        <v>1.9617</v>
      </c>
      <c r="H2872" s="1">
        <v>1.9903</v>
      </c>
      <c r="I2872" s="1">
        <v>2.734</v>
      </c>
      <c r="J2872" s="1">
        <v>3.0245000000000002</v>
      </c>
    </row>
    <row r="2873" spans="2:10" x14ac:dyDescent="0.3">
      <c r="B2873" s="10">
        <f t="shared" si="88"/>
        <v>2015</v>
      </c>
      <c r="C2873" s="10">
        <f t="shared" si="89"/>
        <v>5</v>
      </c>
      <c r="D2873" s="3">
        <v>42130</v>
      </c>
      <c r="E2873" s="1">
        <v>67.77</v>
      </c>
      <c r="F2873" s="1">
        <v>60.93</v>
      </c>
      <c r="G2873" s="1">
        <v>2.0160999999999998</v>
      </c>
      <c r="H2873" s="1">
        <v>2.0366</v>
      </c>
      <c r="I2873" s="1">
        <v>2.7759999999999998</v>
      </c>
      <c r="J2873" s="1">
        <v>3.0320999999999998</v>
      </c>
    </row>
    <row r="2874" spans="2:10" x14ac:dyDescent="0.3">
      <c r="B2874" s="10">
        <f t="shared" si="88"/>
        <v>2015</v>
      </c>
      <c r="C2874" s="10">
        <f t="shared" si="89"/>
        <v>5</v>
      </c>
      <c r="D2874" s="3">
        <v>42129</v>
      </c>
      <c r="E2874" s="1">
        <v>67.52</v>
      </c>
      <c r="F2874" s="1">
        <v>60.4</v>
      </c>
      <c r="G2874" s="1">
        <v>2.0145</v>
      </c>
      <c r="H2874" s="1">
        <v>2.0634000000000001</v>
      </c>
      <c r="I2874" s="1">
        <v>2.78</v>
      </c>
      <c r="J2874" s="1">
        <v>3.0525000000000002</v>
      </c>
    </row>
    <row r="2875" spans="2:10" x14ac:dyDescent="0.3">
      <c r="B2875" s="10">
        <f t="shared" si="88"/>
        <v>2015</v>
      </c>
      <c r="C2875" s="10">
        <f t="shared" si="89"/>
        <v>5</v>
      </c>
      <c r="D2875" s="3">
        <v>42128</v>
      </c>
      <c r="E2875" s="1">
        <v>66.45</v>
      </c>
      <c r="F2875" s="1">
        <v>58.93</v>
      </c>
      <c r="G2875" s="1">
        <v>1.9786999999999999</v>
      </c>
      <c r="H2875" s="1">
        <v>2.0339</v>
      </c>
      <c r="I2875" s="1">
        <v>2.8210000000000002</v>
      </c>
      <c r="J2875" s="1">
        <v>3.0855000000000001</v>
      </c>
    </row>
    <row r="2876" spans="2:10" x14ac:dyDescent="0.3">
      <c r="B2876" s="10">
        <f t="shared" si="88"/>
        <v>2015</v>
      </c>
      <c r="C2876" s="10">
        <f t="shared" si="89"/>
        <v>5</v>
      </c>
      <c r="D2876" s="3">
        <v>42125</v>
      </c>
      <c r="E2876" s="1">
        <v>66.459999999999994</v>
      </c>
      <c r="F2876" s="1">
        <v>59.15</v>
      </c>
      <c r="G2876" s="1">
        <v>1.9822</v>
      </c>
      <c r="H2876" s="1">
        <v>2.0453000000000001</v>
      </c>
      <c r="I2876" s="1">
        <v>2.7759999999999998</v>
      </c>
      <c r="J2876" s="1">
        <v>3.0131000000000001</v>
      </c>
    </row>
    <row r="2877" spans="2:10" x14ac:dyDescent="0.3">
      <c r="B2877" s="10">
        <f t="shared" si="88"/>
        <v>2015</v>
      </c>
      <c r="C2877" s="10">
        <f t="shared" si="89"/>
        <v>4</v>
      </c>
      <c r="D2877" s="3">
        <v>42124</v>
      </c>
      <c r="E2877" s="1">
        <v>66.78</v>
      </c>
      <c r="F2877" s="1">
        <v>59.63</v>
      </c>
      <c r="G2877" s="1">
        <v>1.9762999999999999</v>
      </c>
      <c r="H2877" s="1">
        <v>2.0497000000000001</v>
      </c>
      <c r="I2877" s="1">
        <v>2.7509999999999999</v>
      </c>
      <c r="J2877" s="1">
        <v>3.0139999999999998</v>
      </c>
    </row>
    <row r="2878" spans="2:10" x14ac:dyDescent="0.3">
      <c r="B2878" s="10">
        <f t="shared" si="88"/>
        <v>2015</v>
      </c>
      <c r="C2878" s="10">
        <f t="shared" si="89"/>
        <v>4</v>
      </c>
      <c r="D2878" s="3">
        <v>42123</v>
      </c>
      <c r="E2878" s="1">
        <v>65.84</v>
      </c>
      <c r="F2878" s="1">
        <v>58.58</v>
      </c>
      <c r="G2878" s="1">
        <v>1.9480999999999999</v>
      </c>
      <c r="H2878" s="1">
        <v>2.0179</v>
      </c>
      <c r="I2878" s="1">
        <v>2.6059999999999999</v>
      </c>
      <c r="J2878" s="1">
        <v>2.9597000000000002</v>
      </c>
    </row>
    <row r="2879" spans="2:10" x14ac:dyDescent="0.3">
      <c r="B2879" s="10">
        <f t="shared" si="88"/>
        <v>2015</v>
      </c>
      <c r="C2879" s="10">
        <f t="shared" si="89"/>
        <v>4</v>
      </c>
      <c r="D2879" s="3">
        <v>42122</v>
      </c>
      <c r="E2879" s="1">
        <v>64.64</v>
      </c>
      <c r="F2879" s="1">
        <v>57.06</v>
      </c>
      <c r="G2879" s="1">
        <v>1.9166000000000001</v>
      </c>
      <c r="H2879" s="1">
        <v>2.0017999999999998</v>
      </c>
      <c r="I2879" s="1">
        <v>2.5169999999999999</v>
      </c>
      <c r="J2879" s="1">
        <v>2.9359999999999999</v>
      </c>
    </row>
    <row r="2880" spans="2:10" x14ac:dyDescent="0.3">
      <c r="B2880" s="10">
        <f t="shared" si="88"/>
        <v>2015</v>
      </c>
      <c r="C2880" s="10">
        <f t="shared" si="89"/>
        <v>4</v>
      </c>
      <c r="D2880" s="3">
        <v>42121</v>
      </c>
      <c r="E2880" s="1">
        <v>64.83</v>
      </c>
      <c r="F2880" s="1">
        <v>56.99</v>
      </c>
      <c r="G2880" s="1">
        <v>1.9214</v>
      </c>
      <c r="H2880" s="1">
        <v>2.0089999999999999</v>
      </c>
      <c r="I2880" s="1">
        <v>2.4900000000000002</v>
      </c>
      <c r="J2880" s="1">
        <v>2.9159999999999999</v>
      </c>
    </row>
    <row r="2881" spans="2:10" x14ac:dyDescent="0.3">
      <c r="B2881" s="10">
        <f t="shared" si="88"/>
        <v>2015</v>
      </c>
      <c r="C2881" s="10">
        <f t="shared" si="89"/>
        <v>4</v>
      </c>
      <c r="D2881" s="3">
        <v>42118</v>
      </c>
      <c r="E2881" s="1">
        <v>65.28</v>
      </c>
      <c r="F2881" s="1">
        <v>57.15</v>
      </c>
      <c r="G2881" s="1">
        <v>1.9282999999999999</v>
      </c>
      <c r="H2881" s="1">
        <v>2.0078999999999998</v>
      </c>
      <c r="I2881" s="1">
        <v>2.5310000000000001</v>
      </c>
      <c r="J2881" s="1">
        <v>2.9510999999999998</v>
      </c>
    </row>
    <row r="2882" spans="2:10" x14ac:dyDescent="0.3">
      <c r="B2882" s="10">
        <f t="shared" si="88"/>
        <v>2015</v>
      </c>
      <c r="C2882" s="10">
        <f t="shared" si="89"/>
        <v>4</v>
      </c>
      <c r="D2882" s="3">
        <v>42117</v>
      </c>
      <c r="E2882" s="1">
        <v>64.849999999999994</v>
      </c>
      <c r="F2882" s="1">
        <v>57.74</v>
      </c>
      <c r="G2882" s="1">
        <v>1.9238999999999999</v>
      </c>
      <c r="H2882" s="1">
        <v>1.9956</v>
      </c>
      <c r="I2882" s="1">
        <v>2.5310000000000001</v>
      </c>
      <c r="J2882" s="1">
        <v>2.9697</v>
      </c>
    </row>
    <row r="2883" spans="2:10" x14ac:dyDescent="0.3">
      <c r="B2883" s="10">
        <f t="shared" si="88"/>
        <v>2015</v>
      </c>
      <c r="C2883" s="10">
        <f t="shared" si="89"/>
        <v>4</v>
      </c>
      <c r="D2883" s="3">
        <v>42116</v>
      </c>
      <c r="E2883" s="1">
        <v>62.73</v>
      </c>
      <c r="F2883" s="1">
        <v>56.16</v>
      </c>
      <c r="G2883" s="1">
        <v>1.8708</v>
      </c>
      <c r="H2883" s="1">
        <v>1.9245000000000001</v>
      </c>
      <c r="I2883" s="1">
        <v>2.6059999999999999</v>
      </c>
      <c r="J2883" s="1">
        <v>3.0097999999999998</v>
      </c>
    </row>
    <row r="2884" spans="2:10" x14ac:dyDescent="0.3">
      <c r="B2884" s="10">
        <f t="shared" si="88"/>
        <v>2015</v>
      </c>
      <c r="C2884" s="10">
        <f t="shared" si="89"/>
        <v>4</v>
      </c>
      <c r="D2884" s="3">
        <v>42115</v>
      </c>
      <c r="E2884" s="1">
        <v>62.08</v>
      </c>
      <c r="F2884" s="1">
        <v>55.26</v>
      </c>
      <c r="G2884" s="1">
        <v>1.8532</v>
      </c>
      <c r="H2884" s="1">
        <v>1.8880999999999999</v>
      </c>
      <c r="I2884" s="1">
        <v>2.5750000000000002</v>
      </c>
      <c r="J2884" s="1">
        <v>3.0335000000000001</v>
      </c>
    </row>
    <row r="2885" spans="2:10" x14ac:dyDescent="0.3">
      <c r="B2885" s="10">
        <f t="shared" si="88"/>
        <v>2015</v>
      </c>
      <c r="C2885" s="10">
        <f t="shared" si="89"/>
        <v>4</v>
      </c>
      <c r="D2885" s="3">
        <v>42114</v>
      </c>
      <c r="E2885" s="1">
        <v>63.45</v>
      </c>
      <c r="F2885" s="1">
        <v>56.38</v>
      </c>
      <c r="G2885" s="1">
        <v>1.8771</v>
      </c>
      <c r="H2885" s="1">
        <v>1.9315</v>
      </c>
      <c r="I2885" s="1">
        <v>2.536</v>
      </c>
      <c r="J2885" s="1">
        <v>3.032</v>
      </c>
    </row>
    <row r="2886" spans="2:10" x14ac:dyDescent="0.3">
      <c r="B2886" s="10">
        <f t="shared" ref="B2886:B2949" si="90">YEAR(D2886)</f>
        <v>2015</v>
      </c>
      <c r="C2886" s="10">
        <f t="shared" ref="C2886:C2949" si="91">MONTH(D2886)</f>
        <v>4</v>
      </c>
      <c r="D2886" s="3">
        <v>42111</v>
      </c>
      <c r="E2886" s="1">
        <v>63.45</v>
      </c>
      <c r="F2886" s="1">
        <v>55.74</v>
      </c>
      <c r="G2886" s="1">
        <v>1.8824000000000001</v>
      </c>
      <c r="H2886" s="1">
        <v>1.9298999999999999</v>
      </c>
      <c r="I2886" s="1">
        <v>2.6339999999999999</v>
      </c>
      <c r="J2886" s="1">
        <v>3.0404</v>
      </c>
    </row>
    <row r="2887" spans="2:10" x14ac:dyDescent="0.3">
      <c r="B2887" s="10">
        <f t="shared" si="90"/>
        <v>2015</v>
      </c>
      <c r="C2887" s="10">
        <f t="shared" si="91"/>
        <v>4</v>
      </c>
      <c r="D2887" s="3">
        <v>42110</v>
      </c>
      <c r="E2887" s="1">
        <v>63.98</v>
      </c>
      <c r="F2887" s="1">
        <v>56.71</v>
      </c>
      <c r="G2887" s="1">
        <v>1.9079999999999999</v>
      </c>
      <c r="H2887" s="1">
        <v>1.9354</v>
      </c>
      <c r="I2887" s="1">
        <v>2.6840000000000002</v>
      </c>
      <c r="J2887" s="1">
        <v>3.0217000000000001</v>
      </c>
    </row>
    <row r="2888" spans="2:10" x14ac:dyDescent="0.3">
      <c r="B2888" s="10">
        <f t="shared" si="90"/>
        <v>2015</v>
      </c>
      <c r="C2888" s="10">
        <f t="shared" si="91"/>
        <v>4</v>
      </c>
      <c r="D2888" s="3">
        <v>42109</v>
      </c>
      <c r="E2888" s="1">
        <v>60.32</v>
      </c>
      <c r="F2888" s="1">
        <v>56.39</v>
      </c>
      <c r="G2888" s="1">
        <v>1.8888</v>
      </c>
      <c r="H2888" s="1">
        <v>1.9359999999999999</v>
      </c>
      <c r="I2888" s="1">
        <v>2.61</v>
      </c>
      <c r="J2888" s="1">
        <v>3.0283000000000002</v>
      </c>
    </row>
    <row r="2889" spans="2:10" x14ac:dyDescent="0.3">
      <c r="B2889" s="10">
        <f t="shared" si="90"/>
        <v>2015</v>
      </c>
      <c r="C2889" s="10">
        <f t="shared" si="91"/>
        <v>4</v>
      </c>
      <c r="D2889" s="3">
        <v>42108</v>
      </c>
      <c r="E2889" s="1">
        <v>58.43</v>
      </c>
      <c r="F2889" s="1">
        <v>53.29</v>
      </c>
      <c r="G2889" s="1">
        <v>1.8017000000000001</v>
      </c>
      <c r="H2889" s="1">
        <v>1.8360000000000001</v>
      </c>
      <c r="I2889" s="1">
        <v>2.5299999999999998</v>
      </c>
      <c r="J2889" s="1">
        <v>3.0623</v>
      </c>
    </row>
    <row r="2890" spans="2:10" x14ac:dyDescent="0.3">
      <c r="B2890" s="10">
        <f t="shared" si="90"/>
        <v>2015</v>
      </c>
      <c r="C2890" s="10">
        <f t="shared" si="91"/>
        <v>4</v>
      </c>
      <c r="D2890" s="3">
        <v>42107</v>
      </c>
      <c r="E2890" s="1">
        <v>57.93</v>
      </c>
      <c r="F2890" s="1">
        <v>51.91</v>
      </c>
      <c r="G2890" s="1">
        <v>1.7833000000000001</v>
      </c>
      <c r="H2890" s="1">
        <v>1.8046</v>
      </c>
      <c r="I2890" s="1">
        <v>2.5110000000000001</v>
      </c>
      <c r="J2890" s="1">
        <v>3.1204999999999998</v>
      </c>
    </row>
    <row r="2891" spans="2:10" x14ac:dyDescent="0.3">
      <c r="B2891" s="10">
        <f t="shared" si="90"/>
        <v>2015</v>
      </c>
      <c r="C2891" s="10">
        <f t="shared" si="91"/>
        <v>4</v>
      </c>
      <c r="D2891" s="3">
        <v>42104</v>
      </c>
      <c r="E2891" s="1">
        <v>57.87</v>
      </c>
      <c r="F2891" s="1">
        <v>51.64</v>
      </c>
      <c r="G2891" s="1">
        <v>1.7661</v>
      </c>
      <c r="H2891" s="1">
        <v>1.8072999999999999</v>
      </c>
      <c r="I2891" s="1">
        <v>2.5110000000000001</v>
      </c>
      <c r="J2891" s="1">
        <v>3.0745</v>
      </c>
    </row>
    <row r="2892" spans="2:10" x14ac:dyDescent="0.3">
      <c r="B2892" s="10">
        <f t="shared" si="90"/>
        <v>2015</v>
      </c>
      <c r="C2892" s="10">
        <f t="shared" si="91"/>
        <v>4</v>
      </c>
      <c r="D2892" s="3">
        <v>42103</v>
      </c>
      <c r="E2892" s="1">
        <v>56.57</v>
      </c>
      <c r="F2892" s="1">
        <v>50.79</v>
      </c>
      <c r="G2892" s="1">
        <v>1.7267999999999999</v>
      </c>
      <c r="H2892" s="1">
        <v>1.7592000000000001</v>
      </c>
      <c r="I2892" s="1">
        <v>2.528</v>
      </c>
      <c r="J2892" s="1">
        <v>3.0585</v>
      </c>
    </row>
    <row r="2893" spans="2:10" x14ac:dyDescent="0.3">
      <c r="B2893" s="10">
        <f t="shared" si="90"/>
        <v>2015</v>
      </c>
      <c r="C2893" s="10">
        <f t="shared" si="91"/>
        <v>4</v>
      </c>
      <c r="D2893" s="3">
        <v>42102</v>
      </c>
      <c r="E2893" s="1">
        <v>55.55</v>
      </c>
      <c r="F2893" s="1">
        <v>50.42</v>
      </c>
      <c r="G2893" s="1">
        <v>1.6980999999999999</v>
      </c>
      <c r="H2893" s="1">
        <v>1.7392000000000001</v>
      </c>
      <c r="I2893" s="1">
        <v>2.6190000000000002</v>
      </c>
      <c r="J2893" s="1">
        <v>3.0487000000000002</v>
      </c>
    </row>
    <row r="2894" spans="2:10" x14ac:dyDescent="0.3">
      <c r="B2894" s="10">
        <f t="shared" si="90"/>
        <v>2015</v>
      </c>
      <c r="C2894" s="10">
        <f t="shared" si="91"/>
        <v>4</v>
      </c>
      <c r="D2894" s="3">
        <v>42101</v>
      </c>
      <c r="E2894" s="1">
        <v>59.1</v>
      </c>
      <c r="F2894" s="1">
        <v>53.98</v>
      </c>
      <c r="G2894" s="1">
        <v>1.7838000000000001</v>
      </c>
      <c r="H2894" s="1">
        <v>1.8609</v>
      </c>
      <c r="I2894" s="1">
        <v>2.68</v>
      </c>
      <c r="J2894" s="1">
        <v>3.1274999999999999</v>
      </c>
    </row>
    <row r="2895" spans="2:10" x14ac:dyDescent="0.3">
      <c r="B2895" s="10">
        <f t="shared" si="90"/>
        <v>2015</v>
      </c>
      <c r="C2895" s="10">
        <f t="shared" si="91"/>
        <v>4</v>
      </c>
      <c r="D2895" s="3">
        <v>42100</v>
      </c>
      <c r="E2895" s="1">
        <v>58.12</v>
      </c>
      <c r="F2895" s="1">
        <v>52.14</v>
      </c>
      <c r="G2895" s="1">
        <v>1.7643</v>
      </c>
      <c r="H2895" s="1">
        <v>1.8425</v>
      </c>
      <c r="I2895" s="1">
        <v>2.65</v>
      </c>
      <c r="J2895" s="1">
        <v>3.1261000000000001</v>
      </c>
    </row>
    <row r="2896" spans="2:10" x14ac:dyDescent="0.3">
      <c r="B2896" s="10">
        <f t="shared" si="90"/>
        <v>2015</v>
      </c>
      <c r="C2896" s="10">
        <f t="shared" si="91"/>
        <v>4</v>
      </c>
      <c r="D2896" s="3">
        <v>42097</v>
      </c>
      <c r="F2896" s="1">
        <v>49.14</v>
      </c>
      <c r="G2896" s="1">
        <v>1.7643</v>
      </c>
      <c r="H2896" s="1">
        <v>1.7613000000000001</v>
      </c>
      <c r="I2896" s="1">
        <v>2.7130000000000001</v>
      </c>
      <c r="J2896" s="1">
        <v>3.12</v>
      </c>
    </row>
    <row r="2897" spans="2:10" x14ac:dyDescent="0.3">
      <c r="B2897" s="10">
        <f t="shared" si="90"/>
        <v>2015</v>
      </c>
      <c r="C2897" s="10">
        <f t="shared" si="91"/>
        <v>4</v>
      </c>
      <c r="D2897" s="3">
        <v>42096</v>
      </c>
      <c r="E2897" s="1">
        <v>54.95</v>
      </c>
      <c r="F2897" s="1">
        <v>49.14</v>
      </c>
      <c r="G2897" s="1">
        <v>1.6825000000000001</v>
      </c>
      <c r="H2897" s="1">
        <v>1.7613000000000001</v>
      </c>
      <c r="I2897" s="1">
        <v>2.7130000000000001</v>
      </c>
      <c r="J2897" s="1">
        <v>3.1193</v>
      </c>
    </row>
    <row r="2898" spans="2:10" x14ac:dyDescent="0.3">
      <c r="B2898" s="10">
        <f t="shared" si="90"/>
        <v>2015</v>
      </c>
      <c r="C2898" s="10">
        <f t="shared" si="91"/>
        <v>4</v>
      </c>
      <c r="D2898" s="3">
        <v>42095</v>
      </c>
      <c r="E2898" s="1">
        <v>57.1</v>
      </c>
      <c r="F2898" s="1">
        <v>50.09</v>
      </c>
      <c r="G2898" s="1">
        <v>1.7468999999999999</v>
      </c>
      <c r="H2898" s="1">
        <v>1.8311999999999999</v>
      </c>
      <c r="I2898" s="1">
        <v>2.605</v>
      </c>
      <c r="J2898" s="1">
        <v>3.1646999999999998</v>
      </c>
    </row>
    <row r="2899" spans="2:10" x14ac:dyDescent="0.3">
      <c r="B2899" s="10">
        <f t="shared" si="90"/>
        <v>2015</v>
      </c>
      <c r="C2899" s="10">
        <f t="shared" si="91"/>
        <v>3</v>
      </c>
      <c r="D2899" s="3">
        <v>42094</v>
      </c>
      <c r="E2899" s="1">
        <v>55.11</v>
      </c>
      <c r="F2899" s="1">
        <v>47.6</v>
      </c>
      <c r="G2899" s="1">
        <v>1.7179</v>
      </c>
      <c r="H2899" s="1">
        <v>1.78</v>
      </c>
      <c r="I2899" s="1">
        <v>2.64</v>
      </c>
      <c r="J2899" s="1">
        <v>3.1947000000000001</v>
      </c>
    </row>
    <row r="2900" spans="2:10" x14ac:dyDescent="0.3">
      <c r="B2900" s="10">
        <f t="shared" si="90"/>
        <v>2015</v>
      </c>
      <c r="C2900" s="10">
        <f t="shared" si="91"/>
        <v>3</v>
      </c>
      <c r="D2900" s="3">
        <v>42093</v>
      </c>
      <c r="E2900" s="1">
        <v>56.29</v>
      </c>
      <c r="F2900" s="1">
        <v>48.68</v>
      </c>
      <c r="G2900" s="1">
        <v>1.7312000000000001</v>
      </c>
      <c r="H2900" s="1">
        <v>1.8006</v>
      </c>
      <c r="I2900" s="1">
        <v>2.6440000000000001</v>
      </c>
      <c r="J2900" s="1">
        <v>3.2292000000000001</v>
      </c>
    </row>
    <row r="2901" spans="2:10" x14ac:dyDescent="0.3">
      <c r="B2901" s="10">
        <f t="shared" si="90"/>
        <v>2015</v>
      </c>
      <c r="C2901" s="10">
        <f t="shared" si="91"/>
        <v>3</v>
      </c>
      <c r="D2901" s="3">
        <v>42090</v>
      </c>
      <c r="E2901" s="1">
        <v>56.41</v>
      </c>
      <c r="F2901" s="1">
        <v>48.87</v>
      </c>
      <c r="G2901" s="1">
        <v>1.7275</v>
      </c>
      <c r="H2901" s="1">
        <v>1.798</v>
      </c>
      <c r="I2901" s="1">
        <v>2.59</v>
      </c>
      <c r="J2901" s="1">
        <v>3.2488000000000001</v>
      </c>
    </row>
    <row r="2902" spans="2:10" x14ac:dyDescent="0.3">
      <c r="B2902" s="10">
        <f t="shared" si="90"/>
        <v>2015</v>
      </c>
      <c r="C2902" s="10">
        <f t="shared" si="91"/>
        <v>3</v>
      </c>
      <c r="D2902" s="3">
        <v>42089</v>
      </c>
      <c r="E2902" s="1">
        <v>59.19</v>
      </c>
      <c r="F2902" s="1">
        <v>51.43</v>
      </c>
      <c r="G2902" s="1">
        <v>1.7876000000000001</v>
      </c>
      <c r="H2902" s="1">
        <v>1.8816999999999999</v>
      </c>
      <c r="I2902" s="1">
        <v>2.6720000000000002</v>
      </c>
      <c r="J2902" s="1">
        <v>3.1821999999999999</v>
      </c>
    </row>
    <row r="2903" spans="2:10" x14ac:dyDescent="0.3">
      <c r="B2903" s="10">
        <f t="shared" si="90"/>
        <v>2015</v>
      </c>
      <c r="C2903" s="10">
        <f t="shared" si="91"/>
        <v>3</v>
      </c>
      <c r="D2903" s="3">
        <v>42088</v>
      </c>
      <c r="E2903" s="1">
        <v>56.48</v>
      </c>
      <c r="F2903" s="1">
        <v>49.21</v>
      </c>
      <c r="G2903" s="1">
        <v>1.7282999999999999</v>
      </c>
      <c r="H2903" s="1">
        <v>1.8365</v>
      </c>
      <c r="I2903" s="1">
        <v>2.7229999999999999</v>
      </c>
      <c r="J2903" s="1">
        <v>3.2002000000000002</v>
      </c>
    </row>
    <row r="2904" spans="2:10" x14ac:dyDescent="0.3">
      <c r="B2904" s="10">
        <f t="shared" si="90"/>
        <v>2015</v>
      </c>
      <c r="C2904" s="10">
        <f t="shared" si="91"/>
        <v>3</v>
      </c>
      <c r="D2904" s="3">
        <v>42087</v>
      </c>
      <c r="E2904" s="1">
        <v>55.11</v>
      </c>
      <c r="F2904" s="1">
        <v>47.51</v>
      </c>
      <c r="G2904" s="1">
        <v>1.7064999999999999</v>
      </c>
      <c r="H2904" s="1">
        <v>1.7997000000000001</v>
      </c>
      <c r="I2904" s="1">
        <v>2.786</v>
      </c>
      <c r="J2904" s="1">
        <v>3.1394000000000002</v>
      </c>
    </row>
    <row r="2905" spans="2:10" x14ac:dyDescent="0.3">
      <c r="B2905" s="10">
        <f t="shared" si="90"/>
        <v>2015</v>
      </c>
      <c r="C2905" s="10">
        <f t="shared" si="91"/>
        <v>3</v>
      </c>
      <c r="D2905" s="3">
        <v>42086</v>
      </c>
      <c r="E2905" s="1">
        <v>55.92</v>
      </c>
      <c r="F2905" s="1">
        <v>47.45</v>
      </c>
      <c r="G2905" s="1">
        <v>1.7306999999999999</v>
      </c>
      <c r="H2905" s="1">
        <v>1.8039000000000001</v>
      </c>
      <c r="I2905" s="1">
        <v>2.7330000000000001</v>
      </c>
      <c r="J2905" s="1">
        <v>3.1318999999999999</v>
      </c>
    </row>
    <row r="2906" spans="2:10" x14ac:dyDescent="0.3">
      <c r="B2906" s="10">
        <f t="shared" si="90"/>
        <v>2015</v>
      </c>
      <c r="C2906" s="10">
        <f t="shared" si="91"/>
        <v>3</v>
      </c>
      <c r="D2906" s="3">
        <v>42083</v>
      </c>
      <c r="E2906" s="1">
        <v>55.32</v>
      </c>
      <c r="F2906" s="1">
        <v>45.72</v>
      </c>
      <c r="G2906" s="1">
        <v>1.7343</v>
      </c>
      <c r="H2906" s="1">
        <v>1.7978000000000001</v>
      </c>
      <c r="I2906" s="1">
        <v>2.786</v>
      </c>
      <c r="J2906" s="1">
        <v>3.2279</v>
      </c>
    </row>
    <row r="2907" spans="2:10" x14ac:dyDescent="0.3">
      <c r="B2907" s="10">
        <f t="shared" si="90"/>
        <v>2015</v>
      </c>
      <c r="C2907" s="10">
        <f t="shared" si="91"/>
        <v>3</v>
      </c>
      <c r="D2907" s="3">
        <v>42082</v>
      </c>
      <c r="E2907" s="1">
        <v>54.43</v>
      </c>
      <c r="F2907" s="1">
        <v>43.96</v>
      </c>
      <c r="G2907" s="1">
        <v>1.7222999999999999</v>
      </c>
      <c r="H2907" s="1">
        <v>1.7743</v>
      </c>
      <c r="I2907" s="1">
        <v>2.8130000000000002</v>
      </c>
      <c r="J2907" s="1">
        <v>3.2915000000000001</v>
      </c>
    </row>
    <row r="2908" spans="2:10" x14ac:dyDescent="0.3">
      <c r="B2908" s="10">
        <f t="shared" si="90"/>
        <v>2015</v>
      </c>
      <c r="C2908" s="10">
        <f t="shared" si="91"/>
        <v>3</v>
      </c>
      <c r="D2908" s="3">
        <v>42081</v>
      </c>
      <c r="E2908" s="1">
        <v>55.91</v>
      </c>
      <c r="F2908" s="1">
        <v>44.66</v>
      </c>
      <c r="G2908" s="1">
        <v>1.7725</v>
      </c>
      <c r="H2908" s="1">
        <v>1.7990999999999999</v>
      </c>
      <c r="I2908" s="1">
        <v>2.92</v>
      </c>
      <c r="J2908" s="1">
        <v>3.2084000000000001</v>
      </c>
    </row>
    <row r="2909" spans="2:10" x14ac:dyDescent="0.3">
      <c r="B2909" s="10">
        <f t="shared" si="90"/>
        <v>2015</v>
      </c>
      <c r="C2909" s="10">
        <f t="shared" si="91"/>
        <v>3</v>
      </c>
      <c r="D2909" s="3">
        <v>42080</v>
      </c>
      <c r="E2909" s="1">
        <v>53.51</v>
      </c>
      <c r="F2909" s="1">
        <v>43.46</v>
      </c>
      <c r="G2909" s="1">
        <v>1.6939</v>
      </c>
      <c r="H2909" s="1">
        <v>1.7301</v>
      </c>
      <c r="I2909" s="1">
        <v>2.855</v>
      </c>
      <c r="J2909" s="1">
        <v>3.2391999999999999</v>
      </c>
    </row>
    <row r="2910" spans="2:10" x14ac:dyDescent="0.3">
      <c r="B2910" s="10">
        <f t="shared" si="90"/>
        <v>2015</v>
      </c>
      <c r="C2910" s="10">
        <f t="shared" si="91"/>
        <v>3</v>
      </c>
      <c r="D2910" s="3">
        <v>42079</v>
      </c>
      <c r="E2910" s="1">
        <v>53.44</v>
      </c>
      <c r="F2910" s="1">
        <v>43.88</v>
      </c>
      <c r="G2910" s="1">
        <v>1.6986000000000001</v>
      </c>
      <c r="H2910" s="1">
        <v>1.7285999999999999</v>
      </c>
      <c r="I2910" s="1">
        <v>2.7160000000000002</v>
      </c>
      <c r="J2910" s="1">
        <v>3.2484999999999999</v>
      </c>
    </row>
    <row r="2911" spans="2:10" x14ac:dyDescent="0.3">
      <c r="B2911" s="10">
        <f t="shared" si="90"/>
        <v>2015</v>
      </c>
      <c r="C2911" s="10">
        <f t="shared" si="91"/>
        <v>3</v>
      </c>
      <c r="D2911" s="3">
        <v>42076</v>
      </c>
      <c r="E2911" s="1">
        <v>54.67</v>
      </c>
      <c r="F2911" s="1">
        <v>44.84</v>
      </c>
      <c r="G2911" s="1">
        <v>1.7130000000000001</v>
      </c>
      <c r="H2911" s="1">
        <v>1.7623</v>
      </c>
      <c r="I2911" s="1">
        <v>2.7269999999999999</v>
      </c>
      <c r="J2911" s="1">
        <v>3.2479</v>
      </c>
    </row>
    <row r="2912" spans="2:10" x14ac:dyDescent="0.3">
      <c r="B2912" s="10">
        <f t="shared" si="90"/>
        <v>2015</v>
      </c>
      <c r="C2912" s="10">
        <f t="shared" si="91"/>
        <v>3</v>
      </c>
      <c r="D2912" s="3">
        <v>42075</v>
      </c>
      <c r="E2912" s="1">
        <v>57.08</v>
      </c>
      <c r="F2912" s="1">
        <v>47.05</v>
      </c>
      <c r="G2912" s="1">
        <v>1.7790999999999999</v>
      </c>
      <c r="H2912" s="1">
        <v>1.8095000000000001</v>
      </c>
      <c r="I2912" s="1">
        <v>2.734</v>
      </c>
      <c r="J2912" s="1">
        <v>3.1646999999999998</v>
      </c>
    </row>
    <row r="2913" spans="2:10" x14ac:dyDescent="0.3">
      <c r="B2913" s="10">
        <f t="shared" si="90"/>
        <v>2015</v>
      </c>
      <c r="C2913" s="10">
        <f t="shared" si="91"/>
        <v>3</v>
      </c>
      <c r="D2913" s="3">
        <v>42074</v>
      </c>
      <c r="E2913" s="1">
        <v>57.54</v>
      </c>
      <c r="F2913" s="1">
        <v>48.17</v>
      </c>
      <c r="G2913" s="1">
        <v>1.8204</v>
      </c>
      <c r="H2913" s="1">
        <v>1.8264</v>
      </c>
      <c r="I2913" s="1">
        <v>2.8239999999999998</v>
      </c>
      <c r="J2913" s="1">
        <v>3.1251000000000002</v>
      </c>
    </row>
    <row r="2914" spans="2:10" x14ac:dyDescent="0.3">
      <c r="B2914" s="10">
        <f t="shared" si="90"/>
        <v>2015</v>
      </c>
      <c r="C2914" s="10">
        <f t="shared" si="91"/>
        <v>3</v>
      </c>
      <c r="D2914" s="3">
        <v>42073</v>
      </c>
      <c r="E2914" s="1">
        <v>56.39</v>
      </c>
      <c r="F2914" s="1">
        <v>48.29</v>
      </c>
      <c r="G2914" s="1">
        <v>1.8134999999999999</v>
      </c>
      <c r="H2914" s="1">
        <v>1.8183</v>
      </c>
      <c r="I2914" s="1">
        <v>2.7320000000000002</v>
      </c>
      <c r="J2914" s="1">
        <v>3.1015999999999999</v>
      </c>
    </row>
    <row r="2915" spans="2:10" x14ac:dyDescent="0.3">
      <c r="B2915" s="10">
        <f t="shared" si="90"/>
        <v>2015</v>
      </c>
      <c r="C2915" s="10">
        <f t="shared" si="91"/>
        <v>3</v>
      </c>
      <c r="D2915" s="3">
        <v>42072</v>
      </c>
      <c r="E2915" s="1">
        <v>58.53</v>
      </c>
      <c r="F2915" s="1">
        <v>50</v>
      </c>
      <c r="G2915" s="1">
        <v>1.8398000000000001</v>
      </c>
      <c r="H2915" s="1">
        <v>1.8747</v>
      </c>
      <c r="I2915" s="1">
        <v>2.6779999999999999</v>
      </c>
      <c r="J2915" s="1">
        <v>3.1215000000000002</v>
      </c>
    </row>
    <row r="2916" spans="2:10" x14ac:dyDescent="0.3">
      <c r="B2916" s="10">
        <f t="shared" si="90"/>
        <v>2015</v>
      </c>
      <c r="C2916" s="10">
        <f t="shared" si="91"/>
        <v>3</v>
      </c>
      <c r="D2916" s="3">
        <v>42069</v>
      </c>
      <c r="E2916" s="1">
        <v>59.73</v>
      </c>
      <c r="F2916" s="1">
        <v>49.61</v>
      </c>
      <c r="G2916" s="1">
        <v>1.869</v>
      </c>
      <c r="H2916" s="1">
        <v>1.8818999999999999</v>
      </c>
      <c r="I2916" s="1">
        <v>2.839</v>
      </c>
      <c r="J2916" s="1">
        <v>3.0605000000000002</v>
      </c>
    </row>
    <row r="2917" spans="2:10" x14ac:dyDescent="0.3">
      <c r="B2917" s="10">
        <f t="shared" si="90"/>
        <v>2015</v>
      </c>
      <c r="C2917" s="10">
        <f t="shared" si="91"/>
        <v>3</v>
      </c>
      <c r="D2917" s="3">
        <v>42068</v>
      </c>
      <c r="E2917" s="1">
        <v>60.48</v>
      </c>
      <c r="F2917" s="1">
        <v>50.76</v>
      </c>
      <c r="G2917" s="1">
        <v>1.8773</v>
      </c>
      <c r="H2917" s="1">
        <v>1.8873</v>
      </c>
      <c r="I2917" s="1">
        <v>2.8410000000000002</v>
      </c>
      <c r="J2917" s="1">
        <v>3.0024000000000002</v>
      </c>
    </row>
    <row r="2918" spans="2:10" x14ac:dyDescent="0.3">
      <c r="B2918" s="10">
        <f t="shared" si="90"/>
        <v>2015</v>
      </c>
      <c r="C2918" s="10">
        <f t="shared" si="91"/>
        <v>3</v>
      </c>
      <c r="D2918" s="3">
        <v>42067</v>
      </c>
      <c r="E2918" s="1">
        <v>60.55</v>
      </c>
      <c r="F2918" s="1">
        <v>51.53</v>
      </c>
      <c r="G2918" s="1">
        <v>1.9013</v>
      </c>
      <c r="H2918" s="1">
        <v>1.9257</v>
      </c>
      <c r="I2918" s="1">
        <v>2.7690000000000001</v>
      </c>
      <c r="J2918" s="1">
        <v>2.9754999999999998</v>
      </c>
    </row>
    <row r="2919" spans="2:10" x14ac:dyDescent="0.3">
      <c r="B2919" s="10">
        <f t="shared" si="90"/>
        <v>2015</v>
      </c>
      <c r="C2919" s="10">
        <f t="shared" si="91"/>
        <v>3</v>
      </c>
      <c r="D2919" s="3">
        <v>42066</v>
      </c>
      <c r="E2919" s="1">
        <v>61.02</v>
      </c>
      <c r="F2919" s="1">
        <v>50.52</v>
      </c>
      <c r="G2919" s="1">
        <v>1.9395</v>
      </c>
      <c r="H2919" s="1">
        <v>1.9499</v>
      </c>
      <c r="I2919" s="1">
        <v>2.7120000000000002</v>
      </c>
      <c r="J2919" s="1">
        <v>2.9302999999999999</v>
      </c>
    </row>
    <row r="2920" spans="2:10" x14ac:dyDescent="0.3">
      <c r="B2920" s="10">
        <f t="shared" si="90"/>
        <v>2015</v>
      </c>
      <c r="C2920" s="10">
        <f t="shared" si="91"/>
        <v>3</v>
      </c>
      <c r="D2920" s="3">
        <v>42065</v>
      </c>
      <c r="E2920" s="1">
        <v>59.54</v>
      </c>
      <c r="F2920" s="1">
        <v>49.59</v>
      </c>
      <c r="G2920" s="1">
        <v>1.8873</v>
      </c>
      <c r="H2920" s="1">
        <v>1.8973</v>
      </c>
      <c r="I2920" s="1">
        <v>2.698</v>
      </c>
      <c r="J2920" s="1">
        <v>2.8959999999999999</v>
      </c>
    </row>
    <row r="2921" spans="2:10" x14ac:dyDescent="0.3">
      <c r="B2921" s="10">
        <f t="shared" si="90"/>
        <v>2015</v>
      </c>
      <c r="C2921" s="10">
        <f t="shared" si="91"/>
        <v>2</v>
      </c>
      <c r="D2921" s="3">
        <v>42062</v>
      </c>
      <c r="E2921" s="1">
        <v>62.58</v>
      </c>
      <c r="F2921" s="1">
        <v>49.76</v>
      </c>
      <c r="G2921" s="1">
        <v>2.2989000000000002</v>
      </c>
      <c r="H2921" s="1">
        <v>1.7676000000000001</v>
      </c>
      <c r="I2921" s="1">
        <v>2.734</v>
      </c>
      <c r="J2921" s="1">
        <v>2.8380000000000001</v>
      </c>
    </row>
    <row r="2922" spans="2:10" x14ac:dyDescent="0.3">
      <c r="B2922" s="10">
        <f t="shared" si="90"/>
        <v>2015</v>
      </c>
      <c r="C2922" s="10">
        <f t="shared" si="91"/>
        <v>2</v>
      </c>
      <c r="D2922" s="3">
        <v>42061</v>
      </c>
      <c r="E2922" s="1">
        <v>60.05</v>
      </c>
      <c r="F2922" s="1">
        <v>48.17</v>
      </c>
      <c r="G2922" s="1">
        <v>2.1358000000000001</v>
      </c>
      <c r="H2922" s="1">
        <v>1.7076</v>
      </c>
      <c r="I2922" s="1">
        <v>2.6970000000000001</v>
      </c>
      <c r="J2922" s="1">
        <v>2.9079999999999999</v>
      </c>
    </row>
    <row r="2923" spans="2:10" x14ac:dyDescent="0.3">
      <c r="B2923" s="10">
        <f t="shared" si="90"/>
        <v>2015</v>
      </c>
      <c r="C2923" s="10">
        <f t="shared" si="91"/>
        <v>2</v>
      </c>
      <c r="D2923" s="3">
        <v>42060</v>
      </c>
      <c r="E2923" s="1">
        <v>61.63</v>
      </c>
      <c r="F2923" s="1">
        <v>50.99</v>
      </c>
      <c r="G2923" s="1">
        <v>2.1036000000000001</v>
      </c>
      <c r="H2923" s="1">
        <v>1.7186999999999999</v>
      </c>
      <c r="I2923" s="1">
        <v>2.8940000000000001</v>
      </c>
      <c r="J2923" s="1">
        <v>2.8744999999999998</v>
      </c>
    </row>
    <row r="2924" spans="2:10" x14ac:dyDescent="0.3">
      <c r="B2924" s="10">
        <f t="shared" si="90"/>
        <v>2015</v>
      </c>
      <c r="C2924" s="10">
        <f t="shared" si="91"/>
        <v>2</v>
      </c>
      <c r="D2924" s="3">
        <v>42059</v>
      </c>
      <c r="E2924" s="1">
        <v>58.66</v>
      </c>
      <c r="F2924" s="1">
        <v>49.28</v>
      </c>
      <c r="G2924" s="1">
        <v>2.0289000000000001</v>
      </c>
      <c r="H2924" s="1">
        <v>1.6202000000000001</v>
      </c>
      <c r="I2924" s="1">
        <v>2.9020000000000001</v>
      </c>
      <c r="J2924" s="1">
        <v>2.8325</v>
      </c>
    </row>
    <row r="2925" spans="2:10" x14ac:dyDescent="0.3">
      <c r="B2925" s="10">
        <f t="shared" si="90"/>
        <v>2015</v>
      </c>
      <c r="C2925" s="10">
        <f t="shared" si="91"/>
        <v>2</v>
      </c>
      <c r="D2925" s="3">
        <v>42058</v>
      </c>
      <c r="E2925" s="1">
        <v>58.9</v>
      </c>
      <c r="F2925" s="1">
        <v>49.45</v>
      </c>
      <c r="G2925" s="1">
        <v>2.2179000000000002</v>
      </c>
      <c r="H2925" s="1">
        <v>1.6462000000000001</v>
      </c>
      <c r="I2925" s="1">
        <v>2.879</v>
      </c>
      <c r="J2925" s="1">
        <v>2.8784999999999998</v>
      </c>
    </row>
    <row r="2926" spans="2:10" x14ac:dyDescent="0.3">
      <c r="B2926" s="10">
        <f t="shared" si="90"/>
        <v>2015</v>
      </c>
      <c r="C2926" s="10">
        <f t="shared" si="91"/>
        <v>2</v>
      </c>
      <c r="D2926" s="3">
        <v>42055</v>
      </c>
      <c r="E2926" s="1">
        <v>60.22</v>
      </c>
      <c r="F2926" s="1">
        <v>50.34</v>
      </c>
      <c r="G2926" s="1">
        <v>2.1118000000000001</v>
      </c>
      <c r="H2926" s="1">
        <v>1.6407</v>
      </c>
      <c r="I2926" s="1">
        <v>2.9510000000000001</v>
      </c>
      <c r="J2926" s="1">
        <v>2.867</v>
      </c>
    </row>
    <row r="2927" spans="2:10" x14ac:dyDescent="0.3">
      <c r="B2927" s="10">
        <f t="shared" si="90"/>
        <v>2015</v>
      </c>
      <c r="C2927" s="10">
        <f t="shared" si="91"/>
        <v>2</v>
      </c>
      <c r="D2927" s="3">
        <v>42054</v>
      </c>
      <c r="E2927" s="1">
        <v>60.21</v>
      </c>
      <c r="F2927" s="1">
        <v>51.16</v>
      </c>
      <c r="G2927" s="1">
        <v>1.9938</v>
      </c>
      <c r="H2927" s="1">
        <v>1.6162000000000001</v>
      </c>
      <c r="I2927" s="1">
        <v>2.8340000000000001</v>
      </c>
      <c r="J2927" s="1">
        <v>2.8662999999999998</v>
      </c>
    </row>
    <row r="2928" spans="2:10" x14ac:dyDescent="0.3">
      <c r="B2928" s="10">
        <f t="shared" si="90"/>
        <v>2015</v>
      </c>
      <c r="C2928" s="10">
        <f t="shared" si="91"/>
        <v>2</v>
      </c>
      <c r="D2928" s="3">
        <v>42053</v>
      </c>
      <c r="E2928" s="1">
        <v>60.53</v>
      </c>
      <c r="F2928" s="1">
        <v>52.14</v>
      </c>
      <c r="G2928" s="1">
        <v>1.9594</v>
      </c>
      <c r="H2928" s="1">
        <v>1.5736000000000001</v>
      </c>
      <c r="I2928" s="1">
        <v>2.831</v>
      </c>
      <c r="J2928" s="1">
        <v>2.8363999999999998</v>
      </c>
    </row>
    <row r="2929" spans="2:10" x14ac:dyDescent="0.3">
      <c r="B2929" s="10">
        <f t="shared" si="90"/>
        <v>2015</v>
      </c>
      <c r="C2929" s="10">
        <f t="shared" si="91"/>
        <v>2</v>
      </c>
      <c r="D2929" s="3">
        <v>42052</v>
      </c>
      <c r="E2929" s="1">
        <v>62.53</v>
      </c>
      <c r="F2929" s="1">
        <v>53.53</v>
      </c>
      <c r="G2929" s="1">
        <v>1.9774</v>
      </c>
      <c r="H2929" s="1">
        <v>1.5901000000000001</v>
      </c>
      <c r="I2929" s="1">
        <v>2.7589999999999999</v>
      </c>
      <c r="J2929" s="1">
        <v>2.8290000000000002</v>
      </c>
    </row>
    <row r="2930" spans="2:10" x14ac:dyDescent="0.3">
      <c r="B2930" s="10">
        <f t="shared" si="90"/>
        <v>2015</v>
      </c>
      <c r="C2930" s="10">
        <f t="shared" si="91"/>
        <v>2</v>
      </c>
      <c r="D2930" s="3">
        <v>42051</v>
      </c>
      <c r="E2930" s="1">
        <v>61.4</v>
      </c>
      <c r="J2930" s="1">
        <v>2.8332999999999999</v>
      </c>
    </row>
    <row r="2931" spans="2:10" x14ac:dyDescent="0.3">
      <c r="B2931" s="10">
        <f t="shared" si="90"/>
        <v>2015</v>
      </c>
      <c r="C2931" s="10">
        <f t="shared" si="91"/>
        <v>2</v>
      </c>
      <c r="D2931" s="3">
        <v>42048</v>
      </c>
      <c r="E2931" s="1">
        <v>61.52</v>
      </c>
      <c r="F2931" s="1">
        <v>52.78</v>
      </c>
      <c r="G2931" s="1">
        <v>1.9714</v>
      </c>
      <c r="H2931" s="1">
        <v>1.6262000000000001</v>
      </c>
      <c r="I2931" s="1">
        <v>2.8039999999999998</v>
      </c>
      <c r="J2931" s="1">
        <v>2.8332999999999999</v>
      </c>
    </row>
    <row r="2932" spans="2:10" x14ac:dyDescent="0.3">
      <c r="B2932" s="10">
        <f t="shared" si="90"/>
        <v>2015</v>
      </c>
      <c r="C2932" s="10">
        <f t="shared" si="91"/>
        <v>2</v>
      </c>
      <c r="D2932" s="3">
        <v>42047</v>
      </c>
      <c r="E2932" s="1">
        <v>57.05</v>
      </c>
      <c r="F2932" s="1">
        <v>51.21</v>
      </c>
      <c r="G2932" s="1">
        <v>1.9137</v>
      </c>
      <c r="H2932" s="1">
        <v>1.5954999999999999</v>
      </c>
      <c r="I2932" s="1">
        <v>2.7130000000000001</v>
      </c>
      <c r="J2932" s="1">
        <v>2.8205</v>
      </c>
    </row>
    <row r="2933" spans="2:10" x14ac:dyDescent="0.3">
      <c r="B2933" s="10">
        <f t="shared" si="90"/>
        <v>2015</v>
      </c>
      <c r="C2933" s="10">
        <f t="shared" si="91"/>
        <v>2</v>
      </c>
      <c r="D2933" s="3">
        <v>42046</v>
      </c>
      <c r="E2933" s="1">
        <v>54.66</v>
      </c>
      <c r="F2933" s="1">
        <v>48.84</v>
      </c>
      <c r="G2933" s="1">
        <v>1.8141</v>
      </c>
      <c r="H2933" s="1">
        <v>1.5431999999999999</v>
      </c>
      <c r="I2933" s="1">
        <v>2.7970000000000002</v>
      </c>
      <c r="J2933" s="1">
        <v>2.8687999999999998</v>
      </c>
    </row>
    <row r="2934" spans="2:10" x14ac:dyDescent="0.3">
      <c r="B2934" s="10">
        <f t="shared" si="90"/>
        <v>2015</v>
      </c>
      <c r="C2934" s="10">
        <f t="shared" si="91"/>
        <v>2</v>
      </c>
      <c r="D2934" s="3">
        <v>42045</v>
      </c>
      <c r="E2934" s="1">
        <v>56.43</v>
      </c>
      <c r="F2934" s="1">
        <v>50.02</v>
      </c>
      <c r="G2934" s="1">
        <v>1.8327</v>
      </c>
      <c r="H2934" s="1">
        <v>1.5523</v>
      </c>
      <c r="I2934" s="1">
        <v>2.677</v>
      </c>
      <c r="J2934" s="1">
        <v>2.8338000000000001</v>
      </c>
    </row>
    <row r="2935" spans="2:10" x14ac:dyDescent="0.3">
      <c r="B2935" s="10">
        <f t="shared" si="90"/>
        <v>2015</v>
      </c>
      <c r="C2935" s="10">
        <f t="shared" si="91"/>
        <v>2</v>
      </c>
      <c r="D2935" s="3">
        <v>42044</v>
      </c>
      <c r="E2935" s="1">
        <v>58.34</v>
      </c>
      <c r="F2935" s="1">
        <v>52.86</v>
      </c>
      <c r="G2935" s="1">
        <v>1.8729</v>
      </c>
      <c r="H2935" s="1">
        <v>1.5782</v>
      </c>
      <c r="I2935" s="1">
        <v>2.597</v>
      </c>
      <c r="J2935" s="1">
        <v>2.7685</v>
      </c>
    </row>
    <row r="2936" spans="2:10" x14ac:dyDescent="0.3">
      <c r="B2936" s="10">
        <f t="shared" si="90"/>
        <v>2015</v>
      </c>
      <c r="C2936" s="10">
        <f t="shared" si="91"/>
        <v>2</v>
      </c>
      <c r="D2936" s="3">
        <v>42041</v>
      </c>
      <c r="E2936" s="1">
        <v>57.8</v>
      </c>
      <c r="F2936" s="1">
        <v>51.69</v>
      </c>
      <c r="G2936" s="1">
        <v>1.8391</v>
      </c>
      <c r="H2936" s="1">
        <v>1.5590999999999999</v>
      </c>
      <c r="I2936" s="1">
        <v>2.5790000000000002</v>
      </c>
      <c r="J2936" s="1">
        <v>2.7814999999999999</v>
      </c>
    </row>
    <row r="2937" spans="2:10" x14ac:dyDescent="0.3">
      <c r="B2937" s="10">
        <f t="shared" si="90"/>
        <v>2015</v>
      </c>
      <c r="C2937" s="10">
        <f t="shared" si="91"/>
        <v>2</v>
      </c>
      <c r="D2937" s="3">
        <v>42040</v>
      </c>
      <c r="E2937" s="1">
        <v>56.57</v>
      </c>
      <c r="F2937" s="1">
        <v>50.48</v>
      </c>
      <c r="G2937" s="1">
        <v>1.8059000000000001</v>
      </c>
      <c r="H2937" s="1">
        <v>1.5247999999999999</v>
      </c>
      <c r="I2937" s="1">
        <v>2.6</v>
      </c>
      <c r="J2937" s="1">
        <v>2.7446000000000002</v>
      </c>
    </row>
    <row r="2938" spans="2:10" x14ac:dyDescent="0.3">
      <c r="B2938" s="10">
        <f t="shared" si="90"/>
        <v>2015</v>
      </c>
      <c r="C2938" s="10">
        <f t="shared" si="91"/>
        <v>2</v>
      </c>
      <c r="D2938" s="3">
        <v>42039</v>
      </c>
      <c r="E2938" s="1">
        <v>54.16</v>
      </c>
      <c r="F2938" s="1">
        <v>48.45</v>
      </c>
      <c r="G2938" s="1">
        <v>1.7665999999999999</v>
      </c>
      <c r="H2938" s="1">
        <v>1.4817</v>
      </c>
      <c r="I2938" s="1">
        <v>2.6619999999999999</v>
      </c>
      <c r="J2938" s="1">
        <v>2.7416</v>
      </c>
    </row>
    <row r="2939" spans="2:10" x14ac:dyDescent="0.3">
      <c r="B2939" s="10">
        <f t="shared" si="90"/>
        <v>2015</v>
      </c>
      <c r="C2939" s="10">
        <f t="shared" si="91"/>
        <v>2</v>
      </c>
      <c r="D2939" s="3">
        <v>42038</v>
      </c>
      <c r="E2939" s="1">
        <v>57.91</v>
      </c>
      <c r="F2939" s="1">
        <v>53.05</v>
      </c>
      <c r="G2939" s="1">
        <v>1.8465</v>
      </c>
      <c r="H2939" s="1">
        <v>1.6012999999999999</v>
      </c>
      <c r="I2939" s="1">
        <v>2.754</v>
      </c>
      <c r="J2939" s="1">
        <v>2.694</v>
      </c>
    </row>
    <row r="2940" spans="2:10" x14ac:dyDescent="0.3">
      <c r="B2940" s="10">
        <f t="shared" si="90"/>
        <v>2015</v>
      </c>
      <c r="C2940" s="10">
        <f t="shared" si="91"/>
        <v>2</v>
      </c>
      <c r="D2940" s="3">
        <v>42037</v>
      </c>
      <c r="E2940" s="1">
        <v>54.75</v>
      </c>
      <c r="F2940" s="1">
        <v>49.57</v>
      </c>
      <c r="G2940" s="1">
        <v>1.7575000000000001</v>
      </c>
      <c r="H2940" s="1">
        <v>1.5446</v>
      </c>
      <c r="I2940" s="1">
        <v>2.68</v>
      </c>
      <c r="J2940" s="1">
        <v>2.7261000000000002</v>
      </c>
    </row>
    <row r="2941" spans="2:10" x14ac:dyDescent="0.3">
      <c r="B2941" s="10">
        <f t="shared" si="90"/>
        <v>2015</v>
      </c>
      <c r="C2941" s="10">
        <f t="shared" si="91"/>
        <v>1</v>
      </c>
      <c r="D2941" s="3">
        <v>42034</v>
      </c>
      <c r="E2941" s="1">
        <v>52.99</v>
      </c>
      <c r="F2941" s="1">
        <v>48.24</v>
      </c>
      <c r="G2941" s="1">
        <v>1.6862999999999999</v>
      </c>
      <c r="H2941" s="1">
        <v>1.4152</v>
      </c>
      <c r="I2941" s="1">
        <v>2.6909999999999998</v>
      </c>
      <c r="J2941" s="1">
        <v>2.6814</v>
      </c>
    </row>
    <row r="2942" spans="2:10" x14ac:dyDescent="0.3">
      <c r="B2942" s="10">
        <f t="shared" si="90"/>
        <v>2015</v>
      </c>
      <c r="C2942" s="10">
        <f t="shared" si="91"/>
        <v>1</v>
      </c>
      <c r="D2942" s="3">
        <v>42033</v>
      </c>
      <c r="E2942" s="1">
        <v>49.13</v>
      </c>
      <c r="F2942" s="1">
        <v>44.53</v>
      </c>
      <c r="G2942" s="1">
        <v>1.6184000000000001</v>
      </c>
      <c r="H2942" s="1">
        <v>1.3536999999999999</v>
      </c>
      <c r="I2942" s="1">
        <v>2.7189999999999999</v>
      </c>
      <c r="J2942" s="1">
        <v>2.6027</v>
      </c>
    </row>
    <row r="2943" spans="2:10" x14ac:dyDescent="0.3">
      <c r="B2943" s="10">
        <f t="shared" si="90"/>
        <v>2015</v>
      </c>
      <c r="C2943" s="10">
        <f t="shared" si="91"/>
        <v>1</v>
      </c>
      <c r="D2943" s="3">
        <v>42032</v>
      </c>
      <c r="E2943" s="1">
        <v>48.47</v>
      </c>
      <c r="F2943" s="1">
        <v>44.45</v>
      </c>
      <c r="G2943" s="1">
        <v>1.6317999999999999</v>
      </c>
      <c r="H2943" s="1">
        <v>1.345</v>
      </c>
      <c r="I2943" s="1">
        <v>2.8660000000000001</v>
      </c>
      <c r="J2943" s="1">
        <v>2.5756999999999999</v>
      </c>
    </row>
    <row r="2944" spans="2:10" x14ac:dyDescent="0.3">
      <c r="B2944" s="10">
        <f t="shared" si="90"/>
        <v>2015</v>
      </c>
      <c r="C2944" s="10">
        <f t="shared" si="91"/>
        <v>1</v>
      </c>
      <c r="D2944" s="3">
        <v>42031</v>
      </c>
      <c r="E2944" s="1">
        <v>49.6</v>
      </c>
      <c r="F2944" s="1">
        <v>46.23</v>
      </c>
      <c r="G2944" s="1">
        <v>1.6628000000000001</v>
      </c>
      <c r="H2944" s="1">
        <v>1.3501000000000001</v>
      </c>
      <c r="I2944" s="1">
        <v>2.9809999999999999</v>
      </c>
      <c r="J2944" s="1">
        <v>2.5722</v>
      </c>
    </row>
    <row r="2945" spans="2:10" x14ac:dyDescent="0.3">
      <c r="B2945" s="10">
        <f t="shared" si="90"/>
        <v>2015</v>
      </c>
      <c r="C2945" s="10">
        <f t="shared" si="91"/>
        <v>1</v>
      </c>
      <c r="D2945" s="3">
        <v>42030</v>
      </c>
      <c r="E2945" s="1">
        <v>48.16</v>
      </c>
      <c r="F2945" s="1">
        <v>45.15</v>
      </c>
      <c r="G2945" s="1">
        <v>1.6397999999999999</v>
      </c>
      <c r="H2945" s="1">
        <v>1.3167</v>
      </c>
      <c r="I2945" s="1">
        <v>2.8809999999999998</v>
      </c>
      <c r="J2945" s="1">
        <v>2.5832000000000002</v>
      </c>
    </row>
    <row r="2946" spans="2:10" x14ac:dyDescent="0.3">
      <c r="B2946" s="10">
        <f t="shared" si="90"/>
        <v>2015</v>
      </c>
      <c r="C2946" s="10">
        <f t="shared" si="91"/>
        <v>1</v>
      </c>
      <c r="D2946" s="3">
        <v>42027</v>
      </c>
      <c r="E2946" s="1">
        <v>48.79</v>
      </c>
      <c r="F2946" s="1">
        <v>45.59</v>
      </c>
      <c r="G2946" s="1">
        <v>1.6467000000000001</v>
      </c>
      <c r="H2946" s="1">
        <v>1.3479000000000001</v>
      </c>
      <c r="I2946" s="1">
        <v>2.9860000000000002</v>
      </c>
      <c r="J2946" s="1">
        <v>2.5785</v>
      </c>
    </row>
    <row r="2947" spans="2:10" x14ac:dyDescent="0.3">
      <c r="B2947" s="10">
        <f t="shared" si="90"/>
        <v>2015</v>
      </c>
      <c r="C2947" s="10">
        <f t="shared" si="91"/>
        <v>1</v>
      </c>
      <c r="D2947" s="3">
        <v>42026</v>
      </c>
      <c r="E2947" s="1">
        <v>48.52</v>
      </c>
      <c r="F2947" s="1">
        <v>46.31</v>
      </c>
      <c r="G2947" s="1">
        <v>1.6378999999999999</v>
      </c>
      <c r="H2947" s="1">
        <v>1.3308</v>
      </c>
      <c r="I2947" s="1">
        <v>2.835</v>
      </c>
      <c r="J2947" s="1">
        <v>2.5735000000000001</v>
      </c>
    </row>
    <row r="2948" spans="2:10" x14ac:dyDescent="0.3">
      <c r="B2948" s="10">
        <f t="shared" si="90"/>
        <v>2015</v>
      </c>
      <c r="C2948" s="10">
        <f t="shared" si="91"/>
        <v>1</v>
      </c>
      <c r="D2948" s="3">
        <v>42025</v>
      </c>
      <c r="E2948" s="1">
        <v>49.03</v>
      </c>
      <c r="F2948" s="1">
        <v>47.78</v>
      </c>
      <c r="G2948" s="1">
        <v>1.6464000000000001</v>
      </c>
      <c r="H2948" s="1">
        <v>1.3254999999999999</v>
      </c>
      <c r="I2948" s="1">
        <v>2.9740000000000002</v>
      </c>
      <c r="J2948" s="1">
        <v>2.6</v>
      </c>
    </row>
    <row r="2949" spans="2:10" x14ac:dyDescent="0.3">
      <c r="B2949" s="10">
        <f t="shared" si="90"/>
        <v>2015</v>
      </c>
      <c r="C2949" s="10">
        <f t="shared" si="91"/>
        <v>1</v>
      </c>
      <c r="D2949" s="3">
        <v>42024</v>
      </c>
      <c r="E2949" s="1">
        <v>47.99</v>
      </c>
      <c r="F2949" s="1">
        <v>46.39</v>
      </c>
      <c r="G2949" s="1">
        <v>1.6266</v>
      </c>
      <c r="H2949" s="1">
        <v>1.3128</v>
      </c>
      <c r="I2949" s="1">
        <v>2.831</v>
      </c>
      <c r="J2949" s="1">
        <v>2.6133000000000002</v>
      </c>
    </row>
    <row r="2950" spans="2:10" x14ac:dyDescent="0.3">
      <c r="B2950" s="10">
        <f t="shared" ref="B2950:B2972" si="92">YEAR(D2950)</f>
        <v>2015</v>
      </c>
      <c r="C2950" s="10">
        <f t="shared" ref="C2950:C2972" si="93">MONTH(D2950)</f>
        <v>1</v>
      </c>
      <c r="D2950" s="3">
        <v>42023</v>
      </c>
      <c r="E2950" s="1">
        <v>48.84</v>
      </c>
      <c r="J2950" s="1">
        <v>2.6511</v>
      </c>
    </row>
    <row r="2951" spans="2:10" x14ac:dyDescent="0.3">
      <c r="B2951" s="10">
        <f t="shared" si="92"/>
        <v>2015</v>
      </c>
      <c r="C2951" s="10">
        <f t="shared" si="93"/>
        <v>1</v>
      </c>
      <c r="D2951" s="3">
        <v>42020</v>
      </c>
      <c r="E2951" s="1">
        <v>50.17</v>
      </c>
      <c r="F2951" s="1">
        <v>48.69</v>
      </c>
      <c r="G2951" s="1">
        <v>1.6656</v>
      </c>
      <c r="H2951" s="1">
        <v>1.3588</v>
      </c>
      <c r="I2951" s="1">
        <v>3.1269999999999998</v>
      </c>
      <c r="J2951" s="1">
        <v>2.6204000000000001</v>
      </c>
    </row>
    <row r="2952" spans="2:10" x14ac:dyDescent="0.3">
      <c r="B2952" s="10">
        <f t="shared" si="92"/>
        <v>2015</v>
      </c>
      <c r="C2952" s="10">
        <f t="shared" si="93"/>
        <v>1</v>
      </c>
      <c r="D2952" s="3">
        <v>42019</v>
      </c>
      <c r="E2952" s="1">
        <v>47.67</v>
      </c>
      <c r="F2952" s="1">
        <v>46.25</v>
      </c>
      <c r="G2952" s="1">
        <v>1.6233</v>
      </c>
      <c r="H2952" s="1">
        <v>1.2994000000000001</v>
      </c>
      <c r="I2952" s="1">
        <v>3.1579999999999999</v>
      </c>
      <c r="J2952" s="1">
        <v>2.641</v>
      </c>
    </row>
    <row r="2953" spans="2:10" x14ac:dyDescent="0.3">
      <c r="B2953" s="10">
        <f t="shared" si="92"/>
        <v>2015</v>
      </c>
      <c r="C2953" s="10">
        <f t="shared" si="93"/>
        <v>1</v>
      </c>
      <c r="D2953" s="3">
        <v>42018</v>
      </c>
      <c r="E2953" s="1">
        <v>48.69</v>
      </c>
      <c r="F2953" s="1">
        <v>48.48</v>
      </c>
      <c r="G2953" s="1">
        <v>1.6552</v>
      </c>
      <c r="H2953" s="1">
        <v>1.3507</v>
      </c>
      <c r="I2953" s="1">
        <v>3.2330000000000001</v>
      </c>
      <c r="J2953" s="1">
        <v>2.6158999999999999</v>
      </c>
    </row>
    <row r="2954" spans="2:10" x14ac:dyDescent="0.3">
      <c r="B2954" s="10">
        <f t="shared" si="92"/>
        <v>2015</v>
      </c>
      <c r="C2954" s="10">
        <f t="shared" si="93"/>
        <v>1</v>
      </c>
      <c r="D2954" s="3">
        <v>42017</v>
      </c>
      <c r="E2954" s="1">
        <v>46.59</v>
      </c>
      <c r="F2954" s="1">
        <v>45.89</v>
      </c>
      <c r="G2954" s="1">
        <v>1.633</v>
      </c>
      <c r="H2954" s="1">
        <v>1.2685</v>
      </c>
      <c r="I2954" s="1">
        <v>2.9430000000000001</v>
      </c>
      <c r="J2954" s="1">
        <v>2.6425000000000001</v>
      </c>
    </row>
    <row r="2955" spans="2:10" x14ac:dyDescent="0.3">
      <c r="B2955" s="10">
        <f t="shared" si="92"/>
        <v>2015</v>
      </c>
      <c r="C2955" s="10">
        <f t="shared" si="93"/>
        <v>1</v>
      </c>
      <c r="D2955" s="3">
        <v>42016</v>
      </c>
      <c r="E2955" s="1">
        <v>47.43</v>
      </c>
      <c r="F2955" s="1">
        <v>46.07</v>
      </c>
      <c r="G2955" s="1">
        <v>1.6540999999999999</v>
      </c>
      <c r="H2955" s="1">
        <v>1.2745</v>
      </c>
      <c r="I2955" s="1">
        <v>2.7949999999999999</v>
      </c>
      <c r="J2955" s="1">
        <v>2.6732999999999998</v>
      </c>
    </row>
    <row r="2956" spans="2:10" x14ac:dyDescent="0.3">
      <c r="B2956" s="10">
        <f t="shared" si="92"/>
        <v>2015</v>
      </c>
      <c r="C2956" s="10">
        <f t="shared" si="93"/>
        <v>1</v>
      </c>
      <c r="D2956" s="3">
        <v>42013</v>
      </c>
      <c r="E2956" s="1">
        <v>50.11</v>
      </c>
      <c r="F2956" s="1">
        <v>48.36</v>
      </c>
      <c r="G2956" s="1">
        <v>1.7030000000000001</v>
      </c>
      <c r="H2956" s="1">
        <v>1.3231999999999999</v>
      </c>
      <c r="I2956" s="1">
        <v>2.9460000000000002</v>
      </c>
      <c r="J2956" s="1">
        <v>2.6299000000000001</v>
      </c>
    </row>
    <row r="2957" spans="2:10" x14ac:dyDescent="0.3">
      <c r="B2957" s="10">
        <f t="shared" si="92"/>
        <v>2015</v>
      </c>
      <c r="C2957" s="10">
        <f t="shared" si="93"/>
        <v>1</v>
      </c>
      <c r="D2957" s="3">
        <v>42012</v>
      </c>
      <c r="E2957" s="1">
        <v>50.96</v>
      </c>
      <c r="F2957" s="1">
        <v>48.79</v>
      </c>
      <c r="G2957" s="1">
        <v>1.7110000000000001</v>
      </c>
      <c r="H2957" s="1">
        <v>1.3409</v>
      </c>
      <c r="I2957" s="1">
        <v>2.927</v>
      </c>
      <c r="J2957" s="1">
        <v>2.6619999999999999</v>
      </c>
    </row>
    <row r="2958" spans="2:10" x14ac:dyDescent="0.3">
      <c r="B2958" s="10">
        <f t="shared" si="92"/>
        <v>2015</v>
      </c>
      <c r="C2958" s="10">
        <f t="shared" si="93"/>
        <v>1</v>
      </c>
      <c r="D2958" s="3">
        <v>42011</v>
      </c>
      <c r="E2958" s="1">
        <v>51.15</v>
      </c>
      <c r="F2958" s="1">
        <v>48.65</v>
      </c>
      <c r="G2958" s="1">
        <v>1.6999</v>
      </c>
      <c r="H2958" s="1">
        <v>1.3375999999999999</v>
      </c>
      <c r="I2958" s="1">
        <v>2.871</v>
      </c>
      <c r="J2958" s="1">
        <v>2.6829999999999998</v>
      </c>
    </row>
    <row r="2959" spans="2:10" x14ac:dyDescent="0.3">
      <c r="B2959" s="10">
        <f t="shared" si="92"/>
        <v>2015</v>
      </c>
      <c r="C2959" s="10">
        <f t="shared" si="93"/>
        <v>1</v>
      </c>
      <c r="D2959" s="3">
        <v>42010</v>
      </c>
      <c r="E2959" s="1">
        <v>51.1</v>
      </c>
      <c r="F2959" s="1">
        <v>47.93</v>
      </c>
      <c r="G2959" s="1">
        <v>1.7262</v>
      </c>
      <c r="H2959" s="1">
        <v>1.3543000000000001</v>
      </c>
      <c r="I2959" s="1">
        <v>2.9380000000000002</v>
      </c>
      <c r="J2959" s="1">
        <v>2.6996000000000002</v>
      </c>
    </row>
    <row r="2960" spans="2:10" x14ac:dyDescent="0.3">
      <c r="B2960" s="10">
        <f t="shared" si="92"/>
        <v>2015</v>
      </c>
      <c r="C2960" s="10">
        <f t="shared" si="93"/>
        <v>1</v>
      </c>
      <c r="D2960" s="3">
        <v>42009</v>
      </c>
      <c r="E2960" s="1">
        <v>53.11</v>
      </c>
      <c r="F2960" s="1">
        <v>50.04</v>
      </c>
      <c r="G2960" s="1">
        <v>1.7492000000000001</v>
      </c>
      <c r="H2960" s="1">
        <v>1.3814</v>
      </c>
      <c r="I2960" s="1">
        <v>2.8820000000000001</v>
      </c>
      <c r="J2960" s="1">
        <v>2.7059000000000002</v>
      </c>
    </row>
    <row r="2961" spans="2:10" x14ac:dyDescent="0.3">
      <c r="B2961" s="10">
        <f t="shared" si="92"/>
        <v>2015</v>
      </c>
      <c r="C2961" s="10">
        <f t="shared" si="93"/>
        <v>1</v>
      </c>
      <c r="D2961" s="3">
        <v>42006</v>
      </c>
      <c r="E2961" s="1">
        <v>56.42</v>
      </c>
      <c r="F2961" s="1">
        <v>52.69</v>
      </c>
      <c r="G2961" s="1">
        <v>1.7957000000000001</v>
      </c>
      <c r="H2961" s="1">
        <v>1.4334</v>
      </c>
      <c r="I2961" s="1">
        <v>3.0030000000000001</v>
      </c>
      <c r="J2961" s="1">
        <v>2.6930999999999998</v>
      </c>
    </row>
    <row r="2962" spans="2:10" x14ac:dyDescent="0.3">
      <c r="B2962" s="10">
        <f t="shared" si="92"/>
        <v>2015</v>
      </c>
      <c r="C2962" s="10">
        <f t="shared" si="93"/>
        <v>1</v>
      </c>
      <c r="D2962" s="3">
        <v>42005</v>
      </c>
      <c r="J2962" s="1">
        <v>2.657</v>
      </c>
    </row>
    <row r="2963" spans="2:10" x14ac:dyDescent="0.3">
      <c r="B2963" s="10">
        <f t="shared" si="92"/>
        <v>1900</v>
      </c>
      <c r="C2963" s="10">
        <f t="shared" si="93"/>
        <v>1</v>
      </c>
    </row>
    <row r="2964" spans="2:10" x14ac:dyDescent="0.3">
      <c r="B2964" s="10">
        <f t="shared" si="92"/>
        <v>1900</v>
      </c>
      <c r="C2964" s="10">
        <f t="shared" si="93"/>
        <v>1</v>
      </c>
    </row>
    <row r="2965" spans="2:10" x14ac:dyDescent="0.3">
      <c r="B2965" s="10">
        <f t="shared" si="92"/>
        <v>1900</v>
      </c>
      <c r="C2965" s="10">
        <f t="shared" si="93"/>
        <v>1</v>
      </c>
    </row>
    <row r="2966" spans="2:10" x14ac:dyDescent="0.3">
      <c r="B2966" s="10">
        <f t="shared" si="92"/>
        <v>1900</v>
      </c>
      <c r="C2966" s="10">
        <f t="shared" si="93"/>
        <v>1</v>
      </c>
    </row>
    <row r="2967" spans="2:10" x14ac:dyDescent="0.3">
      <c r="B2967" s="10">
        <f t="shared" si="92"/>
        <v>1900</v>
      </c>
      <c r="C2967" s="10">
        <f t="shared" si="93"/>
        <v>1</v>
      </c>
    </row>
    <row r="2968" spans="2:10" x14ac:dyDescent="0.3">
      <c r="B2968" s="10">
        <f t="shared" si="92"/>
        <v>1900</v>
      </c>
      <c r="C2968" s="10">
        <f t="shared" si="93"/>
        <v>1</v>
      </c>
    </row>
    <row r="2969" spans="2:10" x14ac:dyDescent="0.3">
      <c r="B2969" s="10">
        <f t="shared" si="92"/>
        <v>1900</v>
      </c>
      <c r="C2969" s="10">
        <f t="shared" si="93"/>
        <v>1</v>
      </c>
    </row>
    <row r="2970" spans="2:10" x14ac:dyDescent="0.3">
      <c r="B2970" s="10">
        <f t="shared" si="92"/>
        <v>1900</v>
      </c>
      <c r="C2970" s="10">
        <f t="shared" si="93"/>
        <v>1</v>
      </c>
    </row>
    <row r="2971" spans="2:10" x14ac:dyDescent="0.3">
      <c r="B2971" s="10">
        <f t="shared" si="92"/>
        <v>1900</v>
      </c>
      <c r="C2971" s="10">
        <f t="shared" si="93"/>
        <v>1</v>
      </c>
    </row>
    <row r="2972" spans="2:10" x14ac:dyDescent="0.3">
      <c r="B2972" s="10">
        <f t="shared" si="92"/>
        <v>1900</v>
      </c>
      <c r="C2972" s="10">
        <f t="shared" si="93"/>
        <v>1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Header>&amp;R&amp;"Calibri"&amp;10&amp;K000000CORPORATE&amp;1#</oddHeader>
  </headerFooter>
  <customProperties>
    <customPr name="REFI_OFFICE_FUNCTION_DATA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24C9-5FF8-4180-AACC-CCA0FACD125E}">
  <dimension ref="A1:J2988"/>
  <sheetViews>
    <sheetView topLeftCell="A4" workbookViewId="0">
      <selection activeCell="E2965" sqref="E2965"/>
    </sheetView>
  </sheetViews>
  <sheetFormatPr defaultRowHeight="14.4" x14ac:dyDescent="0.3"/>
  <cols>
    <col min="3" max="3" width="13.109375" customWidth="1"/>
    <col min="4" max="4" width="10.109375" customWidth="1"/>
  </cols>
  <sheetData>
    <row r="1" spans="1:10" x14ac:dyDescent="0.3">
      <c r="A1" s="1"/>
      <c r="B1" s="4" t="s">
        <v>1</v>
      </c>
      <c r="C1" s="5">
        <f ca="1">TODAY()</f>
        <v>46146</v>
      </c>
      <c r="D1" s="1" t="s">
        <v>0</v>
      </c>
      <c r="E1" s="1"/>
    </row>
    <row r="2" spans="1:10" x14ac:dyDescent="0.3">
      <c r="A2" s="1"/>
      <c r="B2" s="1"/>
      <c r="C2" s="1" t="e">
        <f ca="1">_xll.RDP.HistoricalPricing($A$4:$A$65,"CLOSE","START:01-Jan-2015 END:"&amp;$C$1&amp;" SOURCE:RFV INTERVAL:P1d",,"CH:IN RH:Timestamp TSREPEAT:NO",D4)</f>
        <v>#NAME?</v>
      </c>
      <c r="D2" s="1"/>
      <c r="E2" s="1"/>
    </row>
    <row r="3" spans="1:10" x14ac:dyDescent="0.3">
      <c r="A3" s="1"/>
      <c r="B3" s="1"/>
      <c r="C3" s="1"/>
      <c r="D3" s="1"/>
      <c r="E3" s="4"/>
    </row>
    <row r="4" spans="1:10" x14ac:dyDescent="0.3">
      <c r="A4" t="s">
        <v>20</v>
      </c>
      <c r="B4" s="11" t="s">
        <v>8</v>
      </c>
      <c r="C4" s="11" t="s">
        <v>9</v>
      </c>
      <c r="D4" s="12"/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</v>
      </c>
    </row>
    <row r="5" spans="1:10" x14ac:dyDescent="0.3">
      <c r="A5" t="s">
        <v>21</v>
      </c>
      <c r="B5" s="10">
        <f>YEAR(D5)</f>
        <v>2026</v>
      </c>
      <c r="C5" s="10">
        <f>MONTH(D5)</f>
        <v>5</v>
      </c>
      <c r="D5" s="6">
        <v>46146</v>
      </c>
      <c r="E5" s="8">
        <v>473.25</v>
      </c>
      <c r="F5">
        <v>1207.25</v>
      </c>
      <c r="G5">
        <v>322.60000000000002</v>
      </c>
      <c r="H5">
        <v>630</v>
      </c>
      <c r="I5">
        <v>77.7</v>
      </c>
      <c r="J5">
        <v>4.9710000000000001</v>
      </c>
    </row>
    <row r="6" spans="1:10" x14ac:dyDescent="0.3">
      <c r="A6" t="s">
        <v>22</v>
      </c>
      <c r="B6" s="10">
        <f t="shared" ref="B6:B69" si="0">YEAR(D6)</f>
        <v>2026</v>
      </c>
      <c r="C6" s="10">
        <f t="shared" ref="C6:C69" si="1">MONTH(D6)</f>
        <v>5</v>
      </c>
      <c r="D6" s="6">
        <v>46143</v>
      </c>
      <c r="E6" s="8">
        <v>468.25</v>
      </c>
      <c r="F6">
        <v>1187.75</v>
      </c>
      <c r="G6">
        <v>320.8</v>
      </c>
      <c r="H6">
        <v>624.5</v>
      </c>
      <c r="I6">
        <v>76.650000000000006</v>
      </c>
      <c r="J6">
        <v>4.9550000000000001</v>
      </c>
    </row>
    <row r="7" spans="1:10" x14ac:dyDescent="0.3">
      <c r="A7" t="s">
        <v>23</v>
      </c>
      <c r="B7" s="10">
        <f t="shared" si="0"/>
        <v>2026</v>
      </c>
      <c r="C7" s="10">
        <f t="shared" si="1"/>
        <v>4</v>
      </c>
      <c r="D7" s="3">
        <v>46142</v>
      </c>
      <c r="E7" s="9">
        <v>464.75</v>
      </c>
      <c r="F7">
        <v>1182</v>
      </c>
      <c r="G7">
        <v>322.3</v>
      </c>
      <c r="H7">
        <v>623.75</v>
      </c>
      <c r="I7">
        <v>76.36</v>
      </c>
      <c r="J7">
        <v>4.9539</v>
      </c>
    </row>
    <row r="8" spans="1:10" x14ac:dyDescent="0.3">
      <c r="A8" t="s">
        <v>24</v>
      </c>
      <c r="B8" s="10">
        <f t="shared" si="0"/>
        <v>2026</v>
      </c>
      <c r="C8" s="10">
        <f t="shared" si="1"/>
        <v>4</v>
      </c>
      <c r="D8" s="3">
        <v>46141</v>
      </c>
      <c r="E8" s="9">
        <v>466.5</v>
      </c>
      <c r="F8">
        <v>1182.25</v>
      </c>
      <c r="G8">
        <v>328</v>
      </c>
      <c r="H8">
        <v>642.25</v>
      </c>
      <c r="I8">
        <v>75.31</v>
      </c>
      <c r="J8">
        <v>4.9960000000000004</v>
      </c>
    </row>
    <row r="9" spans="1:10" x14ac:dyDescent="0.3">
      <c r="A9" t="s">
        <v>2</v>
      </c>
      <c r="B9" s="10">
        <f t="shared" si="0"/>
        <v>2026</v>
      </c>
      <c r="C9" s="10">
        <f t="shared" si="1"/>
        <v>4</v>
      </c>
      <c r="D9" s="3">
        <v>46140</v>
      </c>
      <c r="E9" s="9">
        <v>465.25</v>
      </c>
      <c r="F9">
        <v>1173</v>
      </c>
      <c r="G9">
        <v>333.4</v>
      </c>
      <c r="H9">
        <v>649</v>
      </c>
      <c r="I9">
        <v>73.38</v>
      </c>
      <c r="J9">
        <v>4.9739000000000004</v>
      </c>
    </row>
    <row r="10" spans="1:10" x14ac:dyDescent="0.3">
      <c r="B10" s="10">
        <f t="shared" si="0"/>
        <v>2026</v>
      </c>
      <c r="C10" s="10">
        <f t="shared" si="1"/>
        <v>4</v>
      </c>
      <c r="D10" s="3">
        <v>46139</v>
      </c>
      <c r="E10" s="9">
        <v>460.75</v>
      </c>
      <c r="F10">
        <v>1177.25</v>
      </c>
      <c r="G10">
        <v>333.8</v>
      </c>
      <c r="H10">
        <v>621.5</v>
      </c>
      <c r="I10">
        <v>72.260000000000005</v>
      </c>
      <c r="J10">
        <v>4.9828999999999999</v>
      </c>
    </row>
    <row r="11" spans="1:10" x14ac:dyDescent="0.3">
      <c r="A11" s="1"/>
      <c r="B11" s="10">
        <f t="shared" si="0"/>
        <v>2026</v>
      </c>
      <c r="C11" s="10">
        <f t="shared" si="1"/>
        <v>4</v>
      </c>
      <c r="D11" s="3">
        <v>46136</v>
      </c>
      <c r="E11" s="9">
        <v>455</v>
      </c>
      <c r="F11">
        <v>1163.75</v>
      </c>
      <c r="G11">
        <v>324.3</v>
      </c>
      <c r="H11">
        <v>608.25</v>
      </c>
      <c r="I11">
        <v>71.91</v>
      </c>
      <c r="J11">
        <v>4.9798</v>
      </c>
    </row>
    <row r="12" spans="1:10" x14ac:dyDescent="0.3">
      <c r="B12" s="10">
        <f t="shared" si="0"/>
        <v>2026</v>
      </c>
      <c r="C12" s="10">
        <f t="shared" si="1"/>
        <v>4</v>
      </c>
      <c r="D12" s="20">
        <v>46135</v>
      </c>
      <c r="E12">
        <v>455.5</v>
      </c>
      <c r="F12">
        <v>1159.75</v>
      </c>
      <c r="G12">
        <v>320.60000000000002</v>
      </c>
      <c r="H12">
        <v>610.75</v>
      </c>
      <c r="I12">
        <v>71.66</v>
      </c>
      <c r="J12">
        <v>5.0202999999999998</v>
      </c>
    </row>
    <row r="13" spans="1:10" x14ac:dyDescent="0.3">
      <c r="B13" s="10">
        <f t="shared" si="0"/>
        <v>2026</v>
      </c>
      <c r="C13" s="10">
        <f t="shared" si="1"/>
        <v>4</v>
      </c>
      <c r="D13" s="20">
        <v>46134</v>
      </c>
      <c r="E13">
        <v>454.25</v>
      </c>
      <c r="F13">
        <v>1164.5</v>
      </c>
      <c r="G13">
        <v>320.60000000000002</v>
      </c>
      <c r="H13">
        <v>599.25</v>
      </c>
      <c r="I13">
        <v>71.680000000000007</v>
      </c>
      <c r="J13">
        <v>4.9625000000000004</v>
      </c>
    </row>
    <row r="14" spans="1:10" x14ac:dyDescent="0.3">
      <c r="B14" s="10">
        <f t="shared" si="0"/>
        <v>2026</v>
      </c>
      <c r="C14" s="10">
        <f t="shared" si="1"/>
        <v>4</v>
      </c>
      <c r="D14" s="20">
        <v>46133</v>
      </c>
      <c r="E14">
        <v>453.75</v>
      </c>
      <c r="F14">
        <v>1174.5</v>
      </c>
      <c r="G14">
        <v>325.3</v>
      </c>
      <c r="H14">
        <v>605</v>
      </c>
      <c r="I14">
        <v>72.14</v>
      </c>
      <c r="J14">
        <v>4.9535</v>
      </c>
    </row>
    <row r="15" spans="1:10" x14ac:dyDescent="0.3">
      <c r="B15" s="10">
        <f t="shared" si="0"/>
        <v>2026</v>
      </c>
      <c r="C15" s="10">
        <f t="shared" si="1"/>
        <v>4</v>
      </c>
      <c r="D15" s="20">
        <v>46132</v>
      </c>
      <c r="E15">
        <v>452</v>
      </c>
      <c r="F15">
        <v>1165.75</v>
      </c>
      <c r="G15">
        <v>325.10000000000002</v>
      </c>
      <c r="H15">
        <v>597</v>
      </c>
      <c r="I15">
        <v>69.63</v>
      </c>
      <c r="J15">
        <v>4.9660000000000002</v>
      </c>
    </row>
    <row r="16" spans="1:10" x14ac:dyDescent="0.3">
      <c r="B16" s="10">
        <f t="shared" si="0"/>
        <v>2026</v>
      </c>
      <c r="C16" s="10">
        <f t="shared" si="1"/>
        <v>4</v>
      </c>
      <c r="D16" s="20">
        <v>46129</v>
      </c>
      <c r="E16">
        <v>448.75</v>
      </c>
      <c r="F16">
        <v>1167.25</v>
      </c>
      <c r="G16">
        <v>331.8</v>
      </c>
      <c r="H16">
        <v>591.25</v>
      </c>
      <c r="I16">
        <v>68.16</v>
      </c>
      <c r="J16">
        <v>4.9782000000000002</v>
      </c>
    </row>
    <row r="17" spans="2:10" x14ac:dyDescent="0.3">
      <c r="B17" s="10">
        <f t="shared" si="0"/>
        <v>2026</v>
      </c>
      <c r="C17" s="10">
        <f t="shared" si="1"/>
        <v>4</v>
      </c>
      <c r="D17" s="20">
        <v>46128</v>
      </c>
      <c r="E17">
        <v>448.5</v>
      </c>
      <c r="F17">
        <v>1163.75</v>
      </c>
      <c r="G17">
        <v>332.7</v>
      </c>
      <c r="H17">
        <v>598.5</v>
      </c>
      <c r="I17">
        <v>69.33</v>
      </c>
      <c r="J17">
        <v>4.992</v>
      </c>
    </row>
    <row r="18" spans="2:10" x14ac:dyDescent="0.3">
      <c r="B18" s="10">
        <f t="shared" si="0"/>
        <v>2026</v>
      </c>
      <c r="C18" s="10">
        <f t="shared" si="1"/>
        <v>4</v>
      </c>
      <c r="D18" s="20">
        <v>46127</v>
      </c>
      <c r="E18">
        <v>451.25</v>
      </c>
      <c r="F18">
        <v>1167</v>
      </c>
      <c r="G18">
        <v>334.4</v>
      </c>
      <c r="H18">
        <v>593.75</v>
      </c>
      <c r="I18">
        <v>67.599999999999994</v>
      </c>
      <c r="J18">
        <v>4.9931000000000001</v>
      </c>
    </row>
    <row r="19" spans="2:10" x14ac:dyDescent="0.3">
      <c r="B19" s="10">
        <f t="shared" si="0"/>
        <v>2026</v>
      </c>
      <c r="C19" s="10">
        <f t="shared" si="1"/>
        <v>4</v>
      </c>
      <c r="D19" s="20">
        <v>46126</v>
      </c>
      <c r="E19">
        <v>443</v>
      </c>
      <c r="F19">
        <v>1158</v>
      </c>
      <c r="G19">
        <v>329.7</v>
      </c>
      <c r="H19">
        <v>592</v>
      </c>
      <c r="I19">
        <v>66.44</v>
      </c>
      <c r="J19">
        <v>4.9874000000000001</v>
      </c>
    </row>
    <row r="20" spans="2:10" x14ac:dyDescent="0.3">
      <c r="B20" s="10">
        <f t="shared" si="0"/>
        <v>2026</v>
      </c>
      <c r="C20" s="10">
        <f t="shared" si="1"/>
        <v>4</v>
      </c>
      <c r="D20" s="20">
        <v>46125</v>
      </c>
      <c r="E20">
        <v>440.25</v>
      </c>
      <c r="F20">
        <v>1162.25</v>
      </c>
      <c r="G20">
        <v>331.9</v>
      </c>
      <c r="H20">
        <v>582.25</v>
      </c>
      <c r="I20">
        <v>66.5</v>
      </c>
      <c r="J20">
        <v>4.9961000000000002</v>
      </c>
    </row>
    <row r="21" spans="2:10" x14ac:dyDescent="0.3">
      <c r="B21" s="10">
        <f t="shared" si="0"/>
        <v>2026</v>
      </c>
      <c r="C21" s="10">
        <f t="shared" si="1"/>
        <v>4</v>
      </c>
      <c r="D21" s="20">
        <v>46122</v>
      </c>
      <c r="E21">
        <v>441</v>
      </c>
      <c r="F21">
        <v>1175.75</v>
      </c>
      <c r="G21">
        <v>331.8</v>
      </c>
      <c r="H21">
        <v>571</v>
      </c>
      <c r="I21">
        <v>67.09</v>
      </c>
      <c r="J21">
        <v>5.0034000000000001</v>
      </c>
    </row>
    <row r="22" spans="2:10" x14ac:dyDescent="0.3">
      <c r="B22" s="10">
        <f t="shared" si="0"/>
        <v>2026</v>
      </c>
      <c r="C22" s="10">
        <f t="shared" si="1"/>
        <v>4</v>
      </c>
      <c r="D22" s="20">
        <v>46121</v>
      </c>
      <c r="E22">
        <v>444</v>
      </c>
      <c r="F22">
        <v>1165.25</v>
      </c>
      <c r="G22">
        <v>317.60000000000002</v>
      </c>
      <c r="H22">
        <v>574.5</v>
      </c>
      <c r="I22">
        <v>67.7</v>
      </c>
      <c r="J22">
        <v>5.0572999999999997</v>
      </c>
    </row>
    <row r="23" spans="2:10" x14ac:dyDescent="0.3">
      <c r="B23" s="10">
        <f t="shared" si="0"/>
        <v>2026</v>
      </c>
      <c r="C23" s="10">
        <f t="shared" si="1"/>
        <v>4</v>
      </c>
      <c r="D23" s="20">
        <v>46120</v>
      </c>
      <c r="E23">
        <v>447.25</v>
      </c>
      <c r="F23">
        <v>1162</v>
      </c>
      <c r="G23">
        <v>314.10000000000002</v>
      </c>
      <c r="H23">
        <v>580.25</v>
      </c>
      <c r="I23">
        <v>67.42</v>
      </c>
      <c r="J23">
        <v>5.0986000000000002</v>
      </c>
    </row>
    <row r="24" spans="2:10" x14ac:dyDescent="0.3">
      <c r="B24" s="10">
        <f t="shared" si="0"/>
        <v>2026</v>
      </c>
      <c r="C24" s="10">
        <f t="shared" si="1"/>
        <v>4</v>
      </c>
      <c r="D24" s="20">
        <v>46119</v>
      </c>
      <c r="E24">
        <v>449</v>
      </c>
      <c r="F24">
        <v>1158.25</v>
      </c>
      <c r="G24">
        <v>311.8</v>
      </c>
      <c r="H24">
        <v>598</v>
      </c>
      <c r="I24">
        <v>69.72</v>
      </c>
      <c r="J24">
        <v>5.1532999999999998</v>
      </c>
    </row>
    <row r="25" spans="2:10" x14ac:dyDescent="0.3">
      <c r="B25" s="10">
        <f t="shared" si="0"/>
        <v>2026</v>
      </c>
      <c r="C25" s="10">
        <f t="shared" si="1"/>
        <v>4</v>
      </c>
      <c r="D25" s="20">
        <v>46118</v>
      </c>
      <c r="E25">
        <v>454</v>
      </c>
      <c r="F25">
        <v>1166.75</v>
      </c>
      <c r="G25">
        <v>316.60000000000002</v>
      </c>
      <c r="H25">
        <v>595.25</v>
      </c>
      <c r="I25">
        <v>69.95</v>
      </c>
      <c r="J25">
        <v>5.1393000000000004</v>
      </c>
    </row>
    <row r="26" spans="2:10" x14ac:dyDescent="0.3">
      <c r="B26" s="10">
        <f t="shared" si="0"/>
        <v>2026</v>
      </c>
      <c r="C26" s="10">
        <f t="shared" si="1"/>
        <v>4</v>
      </c>
      <c r="D26" s="20">
        <v>46115</v>
      </c>
      <c r="E26">
        <v>452.25</v>
      </c>
      <c r="F26">
        <v>1163.5</v>
      </c>
      <c r="G26">
        <v>315.2</v>
      </c>
      <c r="H26">
        <v>598.25</v>
      </c>
      <c r="I26">
        <v>68.94</v>
      </c>
      <c r="J26">
        <v>5.1567999999999996</v>
      </c>
    </row>
    <row r="27" spans="2:10" x14ac:dyDescent="0.3">
      <c r="B27" s="10">
        <f t="shared" si="0"/>
        <v>2026</v>
      </c>
      <c r="C27" s="10">
        <f t="shared" si="1"/>
        <v>4</v>
      </c>
      <c r="D27" s="20">
        <v>46114</v>
      </c>
      <c r="E27">
        <v>452.25</v>
      </c>
      <c r="F27">
        <v>1163.5</v>
      </c>
      <c r="G27">
        <v>315.2</v>
      </c>
      <c r="H27">
        <v>598.25</v>
      </c>
      <c r="I27">
        <v>68.94</v>
      </c>
      <c r="J27">
        <v>5.1571999999999996</v>
      </c>
    </row>
    <row r="28" spans="2:10" x14ac:dyDescent="0.3">
      <c r="B28" s="10">
        <f t="shared" si="0"/>
        <v>2026</v>
      </c>
      <c r="C28" s="10">
        <f t="shared" si="1"/>
        <v>4</v>
      </c>
      <c r="D28" s="20">
        <v>46113</v>
      </c>
      <c r="E28">
        <v>454.25</v>
      </c>
      <c r="F28">
        <v>1168.5</v>
      </c>
      <c r="G28">
        <v>318.2</v>
      </c>
      <c r="H28">
        <v>597.5</v>
      </c>
      <c r="I28">
        <v>67.11</v>
      </c>
      <c r="J28">
        <v>5.1546000000000003</v>
      </c>
    </row>
    <row r="29" spans="2:10" x14ac:dyDescent="0.3">
      <c r="B29" s="10">
        <f t="shared" si="0"/>
        <v>2026</v>
      </c>
      <c r="C29" s="10">
        <f t="shared" si="1"/>
        <v>3</v>
      </c>
      <c r="D29" s="20">
        <v>46112</v>
      </c>
      <c r="E29">
        <v>457.75</v>
      </c>
      <c r="F29">
        <v>1171</v>
      </c>
      <c r="G29">
        <v>316.39999999999998</v>
      </c>
      <c r="H29">
        <v>616.25</v>
      </c>
      <c r="I29">
        <v>68.88</v>
      </c>
      <c r="J29">
        <v>5.1813000000000002</v>
      </c>
    </row>
    <row r="30" spans="2:10" x14ac:dyDescent="0.3">
      <c r="B30" s="10">
        <f t="shared" si="0"/>
        <v>2026</v>
      </c>
      <c r="C30" s="10">
        <f t="shared" si="1"/>
        <v>3</v>
      </c>
      <c r="D30" s="20">
        <v>46111</v>
      </c>
      <c r="E30">
        <v>455.75</v>
      </c>
      <c r="F30">
        <v>1159.75</v>
      </c>
      <c r="G30">
        <v>314.89999999999998</v>
      </c>
      <c r="H30">
        <v>607</v>
      </c>
      <c r="I30">
        <v>68.47</v>
      </c>
      <c r="J30">
        <v>5.2519999999999998</v>
      </c>
    </row>
    <row r="31" spans="2:10" x14ac:dyDescent="0.3">
      <c r="B31" s="10">
        <f t="shared" si="0"/>
        <v>2026</v>
      </c>
      <c r="C31" s="10">
        <f t="shared" si="1"/>
        <v>3</v>
      </c>
      <c r="D31" s="20">
        <v>46108</v>
      </c>
      <c r="E31">
        <v>462</v>
      </c>
      <c r="F31">
        <v>1159.25</v>
      </c>
      <c r="G31">
        <v>315.3</v>
      </c>
      <c r="H31">
        <v>605</v>
      </c>
      <c r="I31">
        <v>67.41</v>
      </c>
      <c r="J31">
        <v>5.2374000000000001</v>
      </c>
    </row>
    <row r="32" spans="2:10" x14ac:dyDescent="0.3">
      <c r="B32" s="10">
        <f t="shared" si="0"/>
        <v>2026</v>
      </c>
      <c r="C32" s="10">
        <f t="shared" si="1"/>
        <v>3</v>
      </c>
      <c r="D32" s="20">
        <v>46107</v>
      </c>
      <c r="E32">
        <v>467</v>
      </c>
      <c r="F32">
        <v>1173.75</v>
      </c>
      <c r="G32">
        <v>322.10000000000002</v>
      </c>
      <c r="H32">
        <v>605</v>
      </c>
      <c r="I32">
        <v>68.02</v>
      </c>
      <c r="J32">
        <v>5.2401</v>
      </c>
    </row>
    <row r="33" spans="2:10" x14ac:dyDescent="0.3">
      <c r="B33" s="10">
        <f t="shared" si="0"/>
        <v>2026</v>
      </c>
      <c r="C33" s="10">
        <f t="shared" si="1"/>
        <v>3</v>
      </c>
      <c r="D33" s="20">
        <v>46106</v>
      </c>
      <c r="E33">
        <v>467.25</v>
      </c>
      <c r="F33">
        <v>1171.75</v>
      </c>
      <c r="G33">
        <v>319.8</v>
      </c>
      <c r="H33">
        <v>597.75</v>
      </c>
      <c r="I33">
        <v>67.099999999999994</v>
      </c>
      <c r="J33">
        <v>5.2267999999999999</v>
      </c>
    </row>
    <row r="34" spans="2:10" x14ac:dyDescent="0.3">
      <c r="B34" s="10">
        <f t="shared" si="0"/>
        <v>2026</v>
      </c>
      <c r="C34" s="10">
        <f t="shared" si="1"/>
        <v>3</v>
      </c>
      <c r="D34" s="20">
        <v>46105</v>
      </c>
      <c r="E34">
        <v>462.5</v>
      </c>
      <c r="F34">
        <v>1155</v>
      </c>
      <c r="G34">
        <v>322.39999999999998</v>
      </c>
      <c r="H34">
        <v>590</v>
      </c>
      <c r="I34">
        <v>65.73</v>
      </c>
      <c r="J34">
        <v>5.2331000000000003</v>
      </c>
    </row>
    <row r="35" spans="2:10" x14ac:dyDescent="0.3">
      <c r="B35" s="10">
        <f t="shared" si="0"/>
        <v>2026</v>
      </c>
      <c r="C35" s="10">
        <f t="shared" si="1"/>
        <v>3</v>
      </c>
      <c r="D35" s="20">
        <v>46104</v>
      </c>
      <c r="E35">
        <v>459.5</v>
      </c>
      <c r="F35">
        <v>1163.5</v>
      </c>
      <c r="G35">
        <v>326.60000000000002</v>
      </c>
      <c r="H35">
        <v>587.75</v>
      </c>
      <c r="I35">
        <v>65.58</v>
      </c>
      <c r="J35">
        <v>5.2331000000000003</v>
      </c>
    </row>
    <row r="36" spans="2:10" x14ac:dyDescent="0.3">
      <c r="B36" s="10">
        <f t="shared" si="0"/>
        <v>2026</v>
      </c>
      <c r="C36" s="10">
        <f t="shared" si="1"/>
        <v>3</v>
      </c>
      <c r="D36" s="20">
        <v>46101</v>
      </c>
      <c r="E36">
        <v>465.5</v>
      </c>
      <c r="F36">
        <v>1161.25</v>
      </c>
      <c r="G36">
        <v>328</v>
      </c>
      <c r="H36">
        <v>595.25</v>
      </c>
      <c r="I36">
        <v>65.510000000000005</v>
      </c>
      <c r="J36">
        <v>5.3136000000000001</v>
      </c>
    </row>
    <row r="37" spans="2:10" x14ac:dyDescent="0.3">
      <c r="B37" s="10">
        <f t="shared" si="0"/>
        <v>2026</v>
      </c>
      <c r="C37" s="10">
        <f t="shared" si="1"/>
        <v>3</v>
      </c>
      <c r="D37" s="20">
        <v>46100</v>
      </c>
      <c r="E37">
        <v>469.75</v>
      </c>
      <c r="F37">
        <v>1168.5</v>
      </c>
      <c r="G37">
        <v>332.5</v>
      </c>
      <c r="H37">
        <v>608</v>
      </c>
      <c r="I37">
        <v>65.41</v>
      </c>
      <c r="J37">
        <v>5.2198000000000002</v>
      </c>
    </row>
    <row r="38" spans="2:10" x14ac:dyDescent="0.3">
      <c r="B38" s="10">
        <f t="shared" si="0"/>
        <v>2026</v>
      </c>
      <c r="C38" s="10">
        <f t="shared" si="1"/>
        <v>3</v>
      </c>
      <c r="D38" s="20">
        <v>46099</v>
      </c>
      <c r="E38">
        <v>463.25</v>
      </c>
      <c r="F38">
        <v>1161.75</v>
      </c>
      <c r="G38">
        <v>321.7</v>
      </c>
      <c r="H38">
        <v>604.25</v>
      </c>
      <c r="I38">
        <v>65.53</v>
      </c>
      <c r="J38">
        <v>5.2672999999999996</v>
      </c>
    </row>
    <row r="39" spans="2:10" x14ac:dyDescent="0.3">
      <c r="B39" s="10">
        <f t="shared" si="0"/>
        <v>2026</v>
      </c>
      <c r="C39" s="10">
        <f t="shared" si="1"/>
        <v>3</v>
      </c>
      <c r="D39" s="20">
        <v>46098</v>
      </c>
      <c r="E39">
        <v>454</v>
      </c>
      <c r="F39">
        <v>1157</v>
      </c>
      <c r="G39">
        <v>311.7</v>
      </c>
      <c r="H39">
        <v>589.75</v>
      </c>
      <c r="I39">
        <v>65.97</v>
      </c>
      <c r="J39">
        <v>5.1923000000000004</v>
      </c>
    </row>
    <row r="40" spans="2:10" x14ac:dyDescent="0.3">
      <c r="B40" s="10">
        <f t="shared" si="0"/>
        <v>2026</v>
      </c>
      <c r="C40" s="10">
        <f t="shared" si="1"/>
        <v>3</v>
      </c>
      <c r="D40" s="20">
        <v>46097</v>
      </c>
      <c r="E40">
        <v>454</v>
      </c>
      <c r="F40">
        <v>1155.25</v>
      </c>
      <c r="G40">
        <v>312.2</v>
      </c>
      <c r="H40">
        <v>597.25</v>
      </c>
      <c r="I40">
        <v>63.94</v>
      </c>
      <c r="J40">
        <v>5.2309999999999999</v>
      </c>
    </row>
    <row r="41" spans="2:10" x14ac:dyDescent="0.3">
      <c r="B41" s="10">
        <f t="shared" si="0"/>
        <v>2026</v>
      </c>
      <c r="C41" s="10">
        <f t="shared" si="1"/>
        <v>3</v>
      </c>
      <c r="D41" s="20">
        <v>46094</v>
      </c>
      <c r="E41">
        <v>452.5</v>
      </c>
      <c r="F41">
        <v>1211</v>
      </c>
      <c r="G41">
        <v>319.89999999999998</v>
      </c>
      <c r="H41">
        <v>618.5</v>
      </c>
      <c r="I41">
        <v>67.34</v>
      </c>
      <c r="J41">
        <v>5.3231999999999999</v>
      </c>
    </row>
    <row r="42" spans="2:10" x14ac:dyDescent="0.3">
      <c r="B42" s="10">
        <f t="shared" si="0"/>
        <v>2026</v>
      </c>
      <c r="C42" s="10">
        <f t="shared" si="1"/>
        <v>3</v>
      </c>
      <c r="D42" s="20">
        <v>46093</v>
      </c>
      <c r="E42">
        <v>448.25</v>
      </c>
      <c r="F42">
        <v>1213</v>
      </c>
      <c r="G42">
        <v>319.89999999999998</v>
      </c>
      <c r="H42">
        <v>592.25</v>
      </c>
      <c r="I42">
        <v>67.34</v>
      </c>
      <c r="J42">
        <v>5.2438000000000002</v>
      </c>
    </row>
    <row r="43" spans="2:10" x14ac:dyDescent="0.3">
      <c r="B43" s="10">
        <f t="shared" si="0"/>
        <v>2026</v>
      </c>
      <c r="C43" s="10">
        <f t="shared" si="1"/>
        <v>3</v>
      </c>
      <c r="D43" s="20">
        <v>46092</v>
      </c>
      <c r="E43">
        <v>444.25</v>
      </c>
      <c r="F43">
        <v>1200.5</v>
      </c>
      <c r="G43">
        <v>316.39999999999998</v>
      </c>
      <c r="H43">
        <v>588.5</v>
      </c>
      <c r="I43">
        <v>67.08</v>
      </c>
      <c r="J43">
        <v>5.1569000000000003</v>
      </c>
    </row>
    <row r="44" spans="2:10" x14ac:dyDescent="0.3">
      <c r="B44" s="10">
        <f t="shared" si="0"/>
        <v>2026</v>
      </c>
      <c r="C44" s="10">
        <f t="shared" si="1"/>
        <v>3</v>
      </c>
      <c r="D44" s="20">
        <v>46091</v>
      </c>
      <c r="E44">
        <v>436.25</v>
      </c>
      <c r="F44">
        <v>1187.25</v>
      </c>
      <c r="G44">
        <v>311.8</v>
      </c>
      <c r="H44">
        <v>584.75</v>
      </c>
      <c r="I44">
        <v>65.33</v>
      </c>
      <c r="J44">
        <v>5.1593999999999998</v>
      </c>
    </row>
    <row r="45" spans="2:10" x14ac:dyDescent="0.3">
      <c r="B45" s="10">
        <f t="shared" si="0"/>
        <v>2026</v>
      </c>
      <c r="C45" s="10">
        <f t="shared" si="1"/>
        <v>3</v>
      </c>
      <c r="D45" s="20">
        <v>46090</v>
      </c>
      <c r="E45">
        <v>437.5</v>
      </c>
      <c r="F45">
        <v>1180.5</v>
      </c>
      <c r="G45">
        <v>308.8</v>
      </c>
      <c r="H45">
        <v>598</v>
      </c>
      <c r="I45">
        <v>65.75</v>
      </c>
      <c r="J45">
        <v>5.1601999999999997</v>
      </c>
    </row>
    <row r="46" spans="2:10" x14ac:dyDescent="0.3">
      <c r="B46" s="10">
        <f t="shared" si="0"/>
        <v>2026</v>
      </c>
      <c r="C46" s="10">
        <f t="shared" si="1"/>
        <v>3</v>
      </c>
      <c r="D46" s="20">
        <v>46087</v>
      </c>
      <c r="E46">
        <v>447</v>
      </c>
      <c r="F46">
        <v>1185</v>
      </c>
      <c r="G46">
        <v>313.10000000000002</v>
      </c>
      <c r="H46">
        <v>611.25</v>
      </c>
      <c r="I46">
        <v>66.209999999999994</v>
      </c>
      <c r="J46">
        <v>5.2439999999999998</v>
      </c>
    </row>
    <row r="47" spans="2:10" x14ac:dyDescent="0.3">
      <c r="B47" s="10">
        <f t="shared" si="0"/>
        <v>2026</v>
      </c>
      <c r="C47" s="10">
        <f t="shared" si="1"/>
        <v>3</v>
      </c>
      <c r="D47" s="20">
        <v>46086</v>
      </c>
      <c r="E47">
        <v>441.5</v>
      </c>
      <c r="F47">
        <v>1163.75</v>
      </c>
      <c r="G47">
        <v>305.60000000000002</v>
      </c>
      <c r="H47">
        <v>582.75</v>
      </c>
      <c r="I47">
        <v>65.319999999999993</v>
      </c>
      <c r="J47">
        <v>5.2638999999999996</v>
      </c>
    </row>
    <row r="48" spans="2:10" x14ac:dyDescent="0.3">
      <c r="B48" s="10">
        <f t="shared" si="0"/>
        <v>2026</v>
      </c>
      <c r="C48" s="10">
        <f t="shared" si="1"/>
        <v>3</v>
      </c>
      <c r="D48" s="20">
        <v>46085</v>
      </c>
      <c r="E48">
        <v>431.75</v>
      </c>
      <c r="F48">
        <v>1154.5</v>
      </c>
      <c r="G48">
        <v>306.10000000000002</v>
      </c>
      <c r="H48">
        <v>566.75</v>
      </c>
      <c r="I48">
        <v>63.09</v>
      </c>
      <c r="J48">
        <v>5.2312000000000003</v>
      </c>
    </row>
    <row r="49" spans="2:10" x14ac:dyDescent="0.3">
      <c r="B49" s="10">
        <f t="shared" si="0"/>
        <v>2026</v>
      </c>
      <c r="C49" s="10">
        <f t="shared" si="1"/>
        <v>3</v>
      </c>
      <c r="D49" s="20">
        <v>46084</v>
      </c>
      <c r="E49">
        <v>434.25</v>
      </c>
      <c r="F49">
        <v>1155.75</v>
      </c>
      <c r="G49">
        <v>310.5</v>
      </c>
      <c r="H49">
        <v>572.25</v>
      </c>
      <c r="I49">
        <v>62.27</v>
      </c>
      <c r="J49">
        <v>5.2770000000000001</v>
      </c>
    </row>
    <row r="50" spans="2:10" x14ac:dyDescent="0.3">
      <c r="B50" s="10">
        <f t="shared" si="0"/>
        <v>2026</v>
      </c>
      <c r="C50" s="10">
        <f t="shared" si="1"/>
        <v>3</v>
      </c>
      <c r="D50" s="20">
        <v>46083</v>
      </c>
      <c r="E50">
        <v>433.25</v>
      </c>
      <c r="F50">
        <v>1150</v>
      </c>
      <c r="G50">
        <v>308.3</v>
      </c>
      <c r="H50">
        <v>574.5</v>
      </c>
      <c r="I50">
        <v>62.17</v>
      </c>
      <c r="J50">
        <v>5.1711999999999998</v>
      </c>
    </row>
    <row r="51" spans="2:10" x14ac:dyDescent="0.3">
      <c r="B51" s="10">
        <f t="shared" si="0"/>
        <v>2026</v>
      </c>
      <c r="C51" s="10">
        <f t="shared" si="1"/>
        <v>2</v>
      </c>
      <c r="D51" s="20">
        <v>46080</v>
      </c>
      <c r="E51">
        <v>438.75</v>
      </c>
      <c r="F51">
        <v>1157.25</v>
      </c>
      <c r="G51">
        <v>315.5</v>
      </c>
      <c r="H51">
        <v>591.25</v>
      </c>
      <c r="I51">
        <v>61.29</v>
      </c>
      <c r="J51">
        <v>5.13</v>
      </c>
    </row>
    <row r="52" spans="2:10" x14ac:dyDescent="0.3">
      <c r="B52" s="10">
        <f t="shared" si="0"/>
        <v>2026</v>
      </c>
      <c r="C52" s="10">
        <f t="shared" si="1"/>
        <v>2</v>
      </c>
      <c r="D52" s="20">
        <v>46079</v>
      </c>
      <c r="E52">
        <v>433.25</v>
      </c>
      <c r="F52">
        <v>1147.75</v>
      </c>
      <c r="G52">
        <v>317.60000000000002</v>
      </c>
      <c r="H52">
        <v>571.75</v>
      </c>
      <c r="I52">
        <v>61.29</v>
      </c>
      <c r="J52">
        <v>5.1369999999999996</v>
      </c>
    </row>
    <row r="53" spans="2:10" x14ac:dyDescent="0.3">
      <c r="B53" s="10">
        <f t="shared" si="0"/>
        <v>2026</v>
      </c>
      <c r="C53" s="10">
        <f t="shared" si="1"/>
        <v>2</v>
      </c>
      <c r="D53" s="20">
        <v>46078</v>
      </c>
      <c r="E53">
        <v>430.5</v>
      </c>
      <c r="F53">
        <v>1148.25</v>
      </c>
      <c r="G53">
        <v>318.3</v>
      </c>
      <c r="H53">
        <v>565.75</v>
      </c>
      <c r="I53">
        <v>60.26</v>
      </c>
      <c r="J53">
        <v>5.1246</v>
      </c>
    </row>
    <row r="54" spans="2:10" x14ac:dyDescent="0.3">
      <c r="B54" s="10">
        <f t="shared" si="0"/>
        <v>2026</v>
      </c>
      <c r="C54" s="10">
        <f t="shared" si="1"/>
        <v>2</v>
      </c>
      <c r="D54" s="20">
        <v>46077</v>
      </c>
      <c r="E54">
        <v>427.75</v>
      </c>
      <c r="F54">
        <v>1139.5</v>
      </c>
      <c r="G54">
        <v>310.7</v>
      </c>
      <c r="H54">
        <v>567.5</v>
      </c>
      <c r="I54">
        <v>60.03</v>
      </c>
      <c r="J54">
        <v>5.1536999999999997</v>
      </c>
    </row>
    <row r="55" spans="2:10" x14ac:dyDescent="0.3">
      <c r="B55" s="10">
        <f t="shared" si="0"/>
        <v>2026</v>
      </c>
      <c r="C55" s="10">
        <f t="shared" si="1"/>
        <v>2</v>
      </c>
      <c r="D55" s="20">
        <v>46076</v>
      </c>
      <c r="E55">
        <v>427.5</v>
      </c>
      <c r="F55">
        <v>1134.25</v>
      </c>
      <c r="G55">
        <v>308.7</v>
      </c>
      <c r="H55">
        <v>569.5</v>
      </c>
      <c r="I55">
        <v>59.39</v>
      </c>
      <c r="J55">
        <v>5.1718000000000002</v>
      </c>
    </row>
    <row r="56" spans="2:10" x14ac:dyDescent="0.3">
      <c r="B56" s="10">
        <f t="shared" si="0"/>
        <v>2026</v>
      </c>
      <c r="C56" s="10">
        <f t="shared" si="1"/>
        <v>2</v>
      </c>
      <c r="D56" s="20">
        <v>46073</v>
      </c>
      <c r="E56">
        <v>427.5</v>
      </c>
      <c r="F56">
        <v>1137.5</v>
      </c>
      <c r="G56">
        <v>309.8</v>
      </c>
      <c r="H56">
        <v>573.5</v>
      </c>
      <c r="I56">
        <v>58.92</v>
      </c>
      <c r="J56">
        <v>5.1763000000000003</v>
      </c>
    </row>
    <row r="57" spans="2:10" x14ac:dyDescent="0.3">
      <c r="B57" s="10">
        <f t="shared" si="0"/>
        <v>2026</v>
      </c>
      <c r="C57" s="10">
        <f t="shared" si="1"/>
        <v>2</v>
      </c>
      <c r="D57" s="20">
        <v>46072</v>
      </c>
      <c r="E57">
        <v>425.75</v>
      </c>
      <c r="F57">
        <v>1141</v>
      </c>
      <c r="G57">
        <v>304.8</v>
      </c>
      <c r="H57">
        <v>559.5</v>
      </c>
      <c r="I57">
        <v>59.68</v>
      </c>
      <c r="J57">
        <v>5.2103999999999999</v>
      </c>
    </row>
    <row r="58" spans="2:10" x14ac:dyDescent="0.3">
      <c r="B58" s="10">
        <f t="shared" si="0"/>
        <v>2026</v>
      </c>
      <c r="C58" s="10">
        <f t="shared" si="1"/>
        <v>2</v>
      </c>
      <c r="D58" s="20">
        <v>46071</v>
      </c>
      <c r="E58">
        <v>427</v>
      </c>
      <c r="F58">
        <v>1133.5</v>
      </c>
      <c r="G58">
        <v>303.89999999999998</v>
      </c>
      <c r="H58">
        <v>547</v>
      </c>
      <c r="I58">
        <v>58.59</v>
      </c>
      <c r="J58">
        <v>5.2354000000000003</v>
      </c>
    </row>
    <row r="59" spans="2:10" x14ac:dyDescent="0.3">
      <c r="B59" s="10">
        <f t="shared" si="0"/>
        <v>2026</v>
      </c>
      <c r="C59" s="10">
        <f t="shared" si="1"/>
        <v>2</v>
      </c>
      <c r="D59" s="20">
        <v>46070</v>
      </c>
      <c r="E59">
        <v>426.25</v>
      </c>
      <c r="F59">
        <v>1134</v>
      </c>
      <c r="G59">
        <v>305.8</v>
      </c>
      <c r="H59">
        <v>537.75</v>
      </c>
      <c r="I59">
        <v>57.29</v>
      </c>
      <c r="J59">
        <v>5.2228000000000003</v>
      </c>
    </row>
    <row r="60" spans="2:10" x14ac:dyDescent="0.3">
      <c r="B60" s="10">
        <f t="shared" si="0"/>
        <v>2026</v>
      </c>
      <c r="C60" s="10">
        <f t="shared" si="1"/>
        <v>2</v>
      </c>
      <c r="D60" s="20">
        <v>46069</v>
      </c>
      <c r="J60">
        <v>5.2240000000000002</v>
      </c>
    </row>
    <row r="61" spans="2:10" x14ac:dyDescent="0.3">
      <c r="B61" s="10">
        <f t="shared" si="0"/>
        <v>2026</v>
      </c>
      <c r="C61" s="10">
        <f t="shared" si="1"/>
        <v>2</v>
      </c>
      <c r="D61" s="20">
        <v>46066</v>
      </c>
      <c r="E61">
        <v>431.75</v>
      </c>
      <c r="F61">
        <v>1133</v>
      </c>
      <c r="G61">
        <v>309.2</v>
      </c>
      <c r="H61">
        <v>548.75</v>
      </c>
      <c r="I61">
        <v>57.08</v>
      </c>
      <c r="J61">
        <v>5.2191000000000001</v>
      </c>
    </row>
    <row r="62" spans="2:10" x14ac:dyDescent="0.3">
      <c r="B62" s="10">
        <f t="shared" si="0"/>
        <v>2026</v>
      </c>
      <c r="C62" s="10">
        <f t="shared" si="1"/>
        <v>2</v>
      </c>
      <c r="D62" s="20">
        <v>46065</v>
      </c>
      <c r="E62">
        <v>431.25</v>
      </c>
      <c r="F62">
        <v>1137.25</v>
      </c>
      <c r="G62">
        <v>307.89999999999998</v>
      </c>
      <c r="H62">
        <v>552.5</v>
      </c>
      <c r="I62">
        <v>57.54</v>
      </c>
      <c r="J62">
        <v>5.2115</v>
      </c>
    </row>
    <row r="63" spans="2:10" x14ac:dyDescent="0.3">
      <c r="B63" s="10">
        <f t="shared" si="0"/>
        <v>2026</v>
      </c>
      <c r="C63" s="10">
        <f t="shared" si="1"/>
        <v>2</v>
      </c>
      <c r="D63" s="20">
        <v>46064</v>
      </c>
      <c r="E63">
        <v>427.5</v>
      </c>
      <c r="F63">
        <v>1124</v>
      </c>
      <c r="G63">
        <v>303</v>
      </c>
      <c r="H63">
        <v>537.25</v>
      </c>
      <c r="I63">
        <v>57.05</v>
      </c>
      <c r="J63">
        <v>5.1832000000000003</v>
      </c>
    </row>
    <row r="64" spans="2:10" x14ac:dyDescent="0.3">
      <c r="B64" s="10">
        <f t="shared" si="0"/>
        <v>2026</v>
      </c>
      <c r="C64" s="10">
        <f t="shared" si="1"/>
        <v>2</v>
      </c>
      <c r="D64" s="20">
        <v>46063</v>
      </c>
      <c r="E64">
        <v>428.75</v>
      </c>
      <c r="F64">
        <v>1122.5</v>
      </c>
      <c r="G64">
        <v>300.8</v>
      </c>
      <c r="H64">
        <v>528.25</v>
      </c>
      <c r="I64">
        <v>57.27</v>
      </c>
      <c r="J64">
        <v>5.1920000000000002</v>
      </c>
    </row>
    <row r="65" spans="2:10" x14ac:dyDescent="0.3">
      <c r="B65" s="10">
        <f t="shared" si="0"/>
        <v>2026</v>
      </c>
      <c r="C65" s="10">
        <f t="shared" si="1"/>
        <v>2</v>
      </c>
      <c r="D65" s="20">
        <v>46062</v>
      </c>
      <c r="E65">
        <v>428.75</v>
      </c>
      <c r="F65">
        <v>1110.75</v>
      </c>
      <c r="G65">
        <v>297.8</v>
      </c>
      <c r="H65">
        <v>528.75</v>
      </c>
      <c r="I65">
        <v>56.69</v>
      </c>
      <c r="J65">
        <v>5.1929999999999996</v>
      </c>
    </row>
    <row r="66" spans="2:10" x14ac:dyDescent="0.3">
      <c r="B66" s="10">
        <f t="shared" si="0"/>
        <v>2026</v>
      </c>
      <c r="C66" s="10">
        <f t="shared" si="1"/>
        <v>2</v>
      </c>
      <c r="D66" s="20">
        <v>46059</v>
      </c>
      <c r="E66">
        <v>430.25</v>
      </c>
      <c r="F66">
        <v>1115.25</v>
      </c>
      <c r="G66">
        <v>303.60000000000002</v>
      </c>
      <c r="H66">
        <v>529.75</v>
      </c>
      <c r="I66">
        <v>55.33</v>
      </c>
      <c r="J66">
        <v>5.2165999999999997</v>
      </c>
    </row>
    <row r="67" spans="2:10" x14ac:dyDescent="0.3">
      <c r="B67" s="10">
        <f t="shared" si="0"/>
        <v>2026</v>
      </c>
      <c r="C67" s="10">
        <f t="shared" si="1"/>
        <v>2</v>
      </c>
      <c r="D67" s="20">
        <v>46058</v>
      </c>
      <c r="E67">
        <v>435</v>
      </c>
      <c r="F67">
        <v>1112.25</v>
      </c>
      <c r="G67">
        <v>303.2</v>
      </c>
      <c r="H67">
        <v>535.25</v>
      </c>
      <c r="I67">
        <v>55.65</v>
      </c>
      <c r="J67">
        <v>5.2723000000000004</v>
      </c>
    </row>
    <row r="68" spans="2:10" x14ac:dyDescent="0.3">
      <c r="B68" s="10">
        <f t="shared" si="0"/>
        <v>2026</v>
      </c>
      <c r="C68" s="10">
        <f t="shared" si="1"/>
        <v>2</v>
      </c>
      <c r="D68" s="20">
        <v>46057</v>
      </c>
      <c r="E68">
        <v>429.5</v>
      </c>
      <c r="F68">
        <v>1092.25</v>
      </c>
      <c r="G68">
        <v>296.2</v>
      </c>
      <c r="H68">
        <v>526.75</v>
      </c>
      <c r="I68">
        <v>55.66</v>
      </c>
      <c r="J68">
        <v>5.2389999999999999</v>
      </c>
    </row>
    <row r="69" spans="2:10" x14ac:dyDescent="0.3">
      <c r="B69" s="10">
        <f t="shared" si="0"/>
        <v>2026</v>
      </c>
      <c r="C69" s="10">
        <f t="shared" si="1"/>
        <v>2</v>
      </c>
      <c r="D69" s="20">
        <v>46056</v>
      </c>
      <c r="E69">
        <v>428.5</v>
      </c>
      <c r="F69">
        <v>1065.75</v>
      </c>
      <c r="G69">
        <v>291.89999999999998</v>
      </c>
      <c r="H69">
        <v>528.75</v>
      </c>
      <c r="I69">
        <v>54.49</v>
      </c>
      <c r="J69">
        <v>5.2386999999999997</v>
      </c>
    </row>
    <row r="70" spans="2:10" x14ac:dyDescent="0.3">
      <c r="B70" s="10">
        <f t="shared" ref="B70:B133" si="2">YEAR(D70)</f>
        <v>2026</v>
      </c>
      <c r="C70" s="10">
        <f t="shared" ref="C70:C133" si="3">MONTH(D70)</f>
        <v>2</v>
      </c>
      <c r="D70" s="20">
        <v>46055</v>
      </c>
      <c r="E70">
        <v>425.75</v>
      </c>
      <c r="F70">
        <v>1060.25</v>
      </c>
      <c r="G70">
        <v>294.5</v>
      </c>
      <c r="H70">
        <v>527.75</v>
      </c>
      <c r="I70">
        <v>53.2</v>
      </c>
      <c r="J70">
        <v>5.2603999999999997</v>
      </c>
    </row>
    <row r="71" spans="2:10" x14ac:dyDescent="0.3">
      <c r="B71" s="10">
        <f t="shared" si="2"/>
        <v>2026</v>
      </c>
      <c r="C71" s="10">
        <f t="shared" si="3"/>
        <v>1</v>
      </c>
      <c r="D71" s="20">
        <v>46052</v>
      </c>
      <c r="E71">
        <v>428.25</v>
      </c>
      <c r="F71">
        <v>1064.25</v>
      </c>
      <c r="G71">
        <v>293.60000000000002</v>
      </c>
      <c r="H71">
        <v>538</v>
      </c>
      <c r="I71">
        <v>53.51</v>
      </c>
      <c r="J71">
        <v>5.2571000000000003</v>
      </c>
    </row>
    <row r="72" spans="2:10" x14ac:dyDescent="0.3">
      <c r="B72" s="10">
        <f t="shared" si="2"/>
        <v>2026</v>
      </c>
      <c r="C72" s="10">
        <f t="shared" si="3"/>
        <v>1</v>
      </c>
      <c r="D72" s="20">
        <v>46051</v>
      </c>
      <c r="E72">
        <v>430.75</v>
      </c>
      <c r="F72">
        <v>1072.25</v>
      </c>
      <c r="G72">
        <v>296</v>
      </c>
      <c r="H72">
        <v>541.5</v>
      </c>
      <c r="I72">
        <v>54.03</v>
      </c>
      <c r="J72">
        <v>5.1898</v>
      </c>
    </row>
    <row r="73" spans="2:10" x14ac:dyDescent="0.3">
      <c r="B73" s="10">
        <f t="shared" si="2"/>
        <v>2026</v>
      </c>
      <c r="C73" s="10">
        <f t="shared" si="3"/>
        <v>1</v>
      </c>
      <c r="D73" s="20">
        <v>46050</v>
      </c>
      <c r="E73">
        <v>430</v>
      </c>
      <c r="F73">
        <v>1075</v>
      </c>
      <c r="G73">
        <v>297.8</v>
      </c>
      <c r="H73">
        <v>536</v>
      </c>
      <c r="I73">
        <v>54.31</v>
      </c>
      <c r="J73">
        <v>5.1939000000000002</v>
      </c>
    </row>
    <row r="74" spans="2:10" x14ac:dyDescent="0.3">
      <c r="B74" s="10">
        <f t="shared" si="2"/>
        <v>2026</v>
      </c>
      <c r="C74" s="10">
        <f t="shared" si="3"/>
        <v>1</v>
      </c>
      <c r="D74" s="20">
        <v>46049</v>
      </c>
      <c r="E74">
        <v>426.5</v>
      </c>
      <c r="F74">
        <v>1067.25</v>
      </c>
      <c r="G74">
        <v>294</v>
      </c>
      <c r="H74">
        <v>523.25</v>
      </c>
      <c r="I74">
        <v>54.41</v>
      </c>
      <c r="J74">
        <v>5.1806000000000001</v>
      </c>
    </row>
    <row r="75" spans="2:10" x14ac:dyDescent="0.3">
      <c r="B75" s="10">
        <f t="shared" si="2"/>
        <v>2026</v>
      </c>
      <c r="C75" s="10">
        <f t="shared" si="3"/>
        <v>1</v>
      </c>
      <c r="D75" s="20">
        <v>46048</v>
      </c>
      <c r="E75">
        <v>428.25</v>
      </c>
      <c r="F75">
        <v>1061.75</v>
      </c>
      <c r="G75">
        <v>294.3</v>
      </c>
      <c r="H75">
        <v>522.5</v>
      </c>
      <c r="I75">
        <v>53.89</v>
      </c>
      <c r="J75">
        <v>5.2809999999999997</v>
      </c>
    </row>
    <row r="76" spans="2:10" x14ac:dyDescent="0.3">
      <c r="B76" s="10">
        <f t="shared" si="2"/>
        <v>2026</v>
      </c>
      <c r="C76" s="10">
        <f t="shared" si="3"/>
        <v>1</v>
      </c>
      <c r="D76" s="20">
        <v>46045</v>
      </c>
      <c r="E76">
        <v>430.5</v>
      </c>
      <c r="F76">
        <v>1067.75</v>
      </c>
      <c r="G76">
        <v>299.89999999999998</v>
      </c>
      <c r="H76">
        <v>529.5</v>
      </c>
      <c r="I76">
        <v>53.99</v>
      </c>
      <c r="J76">
        <v>5.2895000000000003</v>
      </c>
    </row>
    <row r="77" spans="2:10" x14ac:dyDescent="0.3">
      <c r="B77" s="10">
        <f t="shared" si="2"/>
        <v>2026</v>
      </c>
      <c r="C77" s="10">
        <f t="shared" si="3"/>
        <v>1</v>
      </c>
      <c r="D77" s="20">
        <v>46044</v>
      </c>
      <c r="E77">
        <v>424</v>
      </c>
      <c r="F77">
        <v>1064</v>
      </c>
      <c r="G77">
        <v>296.2</v>
      </c>
      <c r="H77">
        <v>515.5</v>
      </c>
      <c r="I77">
        <v>53.78</v>
      </c>
      <c r="J77">
        <v>5.2843999999999998</v>
      </c>
    </row>
    <row r="78" spans="2:10" x14ac:dyDescent="0.3">
      <c r="B78" s="10">
        <f t="shared" si="2"/>
        <v>2026</v>
      </c>
      <c r="C78" s="10">
        <f t="shared" si="3"/>
        <v>1</v>
      </c>
      <c r="D78" s="20">
        <v>46043</v>
      </c>
      <c r="E78">
        <v>421.75</v>
      </c>
      <c r="F78">
        <v>1064.5</v>
      </c>
      <c r="G78">
        <v>291.39999999999998</v>
      </c>
      <c r="H78">
        <v>507.75</v>
      </c>
      <c r="I78">
        <v>54.01</v>
      </c>
      <c r="J78">
        <v>5.3196000000000003</v>
      </c>
    </row>
    <row r="79" spans="2:10" x14ac:dyDescent="0.3">
      <c r="B79" s="10">
        <f t="shared" si="2"/>
        <v>2026</v>
      </c>
      <c r="C79" s="10">
        <f t="shared" si="3"/>
        <v>1</v>
      </c>
      <c r="D79" s="20">
        <v>46042</v>
      </c>
      <c r="E79">
        <v>423.75</v>
      </c>
      <c r="F79">
        <v>1053</v>
      </c>
      <c r="G79">
        <v>291.60000000000002</v>
      </c>
      <c r="H79">
        <v>510.25</v>
      </c>
      <c r="I79">
        <v>52.56</v>
      </c>
      <c r="J79">
        <v>5.3764000000000003</v>
      </c>
    </row>
    <row r="80" spans="2:10" x14ac:dyDescent="0.3">
      <c r="B80" s="10">
        <f t="shared" si="2"/>
        <v>2026</v>
      </c>
      <c r="C80" s="10">
        <f t="shared" si="3"/>
        <v>1</v>
      </c>
      <c r="D80" s="20">
        <v>46041</v>
      </c>
      <c r="J80">
        <v>5.3696999999999999</v>
      </c>
    </row>
    <row r="81" spans="2:10" x14ac:dyDescent="0.3">
      <c r="B81" s="10">
        <f t="shared" si="2"/>
        <v>2026</v>
      </c>
      <c r="C81" s="10">
        <f t="shared" si="3"/>
        <v>1</v>
      </c>
      <c r="D81" s="20">
        <v>46038</v>
      </c>
      <c r="E81">
        <v>424.75</v>
      </c>
      <c r="F81">
        <v>1057.75</v>
      </c>
      <c r="G81">
        <v>290</v>
      </c>
      <c r="H81">
        <v>518</v>
      </c>
      <c r="I81">
        <v>52.61</v>
      </c>
      <c r="J81">
        <v>5.3693999999999997</v>
      </c>
    </row>
    <row r="82" spans="2:10" x14ac:dyDescent="0.3">
      <c r="B82" s="10">
        <f t="shared" si="2"/>
        <v>2026</v>
      </c>
      <c r="C82" s="10">
        <f t="shared" si="3"/>
        <v>1</v>
      </c>
      <c r="D82" s="20">
        <v>46037</v>
      </c>
      <c r="E82">
        <v>420.25</v>
      </c>
      <c r="F82">
        <v>1053</v>
      </c>
      <c r="G82">
        <v>289.2</v>
      </c>
      <c r="H82">
        <v>510.5</v>
      </c>
      <c r="I82">
        <v>52.97</v>
      </c>
      <c r="J82">
        <v>5.3677999999999999</v>
      </c>
    </row>
    <row r="83" spans="2:10" x14ac:dyDescent="0.3">
      <c r="B83" s="10">
        <f t="shared" si="2"/>
        <v>2026</v>
      </c>
      <c r="C83" s="10">
        <f t="shared" si="3"/>
        <v>1</v>
      </c>
      <c r="D83" s="20">
        <v>46036</v>
      </c>
      <c r="E83">
        <v>422</v>
      </c>
      <c r="F83">
        <v>1030.5</v>
      </c>
      <c r="G83">
        <v>287.2</v>
      </c>
      <c r="H83">
        <v>512.5</v>
      </c>
      <c r="I83">
        <v>50.76</v>
      </c>
      <c r="J83">
        <v>5.3967000000000001</v>
      </c>
    </row>
    <row r="84" spans="2:10" x14ac:dyDescent="0.3">
      <c r="B84" s="10">
        <f t="shared" si="2"/>
        <v>2026</v>
      </c>
      <c r="C84" s="10">
        <f t="shared" si="3"/>
        <v>1</v>
      </c>
      <c r="D84" s="20">
        <v>46035</v>
      </c>
      <c r="E84">
        <v>419.75</v>
      </c>
      <c r="F84">
        <v>1023.25</v>
      </c>
      <c r="G84">
        <v>286.39999999999998</v>
      </c>
      <c r="H84">
        <v>510.5</v>
      </c>
      <c r="I84">
        <v>50.78</v>
      </c>
      <c r="J84">
        <v>5.3723000000000001</v>
      </c>
    </row>
    <row r="85" spans="2:10" x14ac:dyDescent="0.3">
      <c r="B85" s="10">
        <f t="shared" si="2"/>
        <v>2026</v>
      </c>
      <c r="C85" s="10">
        <f t="shared" si="3"/>
        <v>1</v>
      </c>
      <c r="D85" s="20">
        <v>46034</v>
      </c>
      <c r="E85">
        <v>421.5</v>
      </c>
      <c r="F85">
        <v>1033</v>
      </c>
      <c r="G85">
        <v>294.60000000000002</v>
      </c>
      <c r="H85">
        <v>511.25</v>
      </c>
      <c r="I85">
        <v>49.82</v>
      </c>
      <c r="J85">
        <v>5.3752000000000004</v>
      </c>
    </row>
    <row r="86" spans="2:10" x14ac:dyDescent="0.3">
      <c r="B86" s="10">
        <f t="shared" si="2"/>
        <v>2026</v>
      </c>
      <c r="C86" s="10">
        <f t="shared" si="3"/>
        <v>1</v>
      </c>
      <c r="D86" s="20">
        <v>46031</v>
      </c>
      <c r="E86">
        <v>445.75</v>
      </c>
      <c r="F86">
        <v>1048.5</v>
      </c>
      <c r="G86">
        <v>300</v>
      </c>
      <c r="H86">
        <v>517.25</v>
      </c>
      <c r="I86">
        <v>49.26</v>
      </c>
      <c r="J86">
        <v>5.3708</v>
      </c>
    </row>
    <row r="87" spans="2:10" x14ac:dyDescent="0.3">
      <c r="B87" s="10">
        <f t="shared" si="2"/>
        <v>2026</v>
      </c>
      <c r="C87" s="10">
        <f t="shared" si="3"/>
        <v>1</v>
      </c>
      <c r="D87" s="20">
        <v>46030</v>
      </c>
      <c r="E87">
        <v>446</v>
      </c>
      <c r="F87">
        <v>1047</v>
      </c>
      <c r="G87">
        <v>300.39999999999998</v>
      </c>
      <c r="H87">
        <v>518</v>
      </c>
      <c r="I87">
        <v>49.03</v>
      </c>
      <c r="J87">
        <v>5.3878000000000004</v>
      </c>
    </row>
    <row r="88" spans="2:10" x14ac:dyDescent="0.3">
      <c r="B88" s="10">
        <f t="shared" si="2"/>
        <v>2026</v>
      </c>
      <c r="C88" s="10">
        <f t="shared" si="3"/>
        <v>1</v>
      </c>
      <c r="D88" s="20">
        <v>46029</v>
      </c>
      <c r="E88">
        <v>446.75</v>
      </c>
      <c r="F88">
        <v>1052.75</v>
      </c>
      <c r="G88">
        <v>301.5</v>
      </c>
      <c r="H88">
        <v>518</v>
      </c>
      <c r="I88">
        <v>48.82</v>
      </c>
      <c r="J88">
        <v>5.3848000000000003</v>
      </c>
    </row>
    <row r="89" spans="2:10" x14ac:dyDescent="0.3">
      <c r="B89" s="10">
        <f t="shared" si="2"/>
        <v>2026</v>
      </c>
      <c r="C89" s="10">
        <f t="shared" si="3"/>
        <v>1</v>
      </c>
      <c r="D89" s="20">
        <v>46028</v>
      </c>
      <c r="E89">
        <v>444</v>
      </c>
      <c r="F89">
        <v>1042</v>
      </c>
      <c r="G89">
        <v>294.7</v>
      </c>
      <c r="H89">
        <v>510.5</v>
      </c>
      <c r="I89">
        <v>49</v>
      </c>
      <c r="J89">
        <v>5.3718000000000004</v>
      </c>
    </row>
    <row r="90" spans="2:10" x14ac:dyDescent="0.3">
      <c r="B90" s="10">
        <f t="shared" si="2"/>
        <v>2026</v>
      </c>
      <c r="C90" s="10">
        <f t="shared" si="3"/>
        <v>1</v>
      </c>
      <c r="D90" s="20">
        <v>46027</v>
      </c>
      <c r="E90">
        <v>444.5</v>
      </c>
      <c r="F90">
        <v>1047.25</v>
      </c>
      <c r="G90">
        <v>294.89999999999998</v>
      </c>
      <c r="H90">
        <v>512.5</v>
      </c>
      <c r="I90">
        <v>49.47</v>
      </c>
      <c r="J90">
        <v>5.4093999999999998</v>
      </c>
    </row>
    <row r="91" spans="2:10" x14ac:dyDescent="0.3">
      <c r="B91" s="10">
        <f t="shared" si="2"/>
        <v>2026</v>
      </c>
      <c r="C91" s="10">
        <f t="shared" si="3"/>
        <v>1</v>
      </c>
      <c r="D91" s="20">
        <v>46024</v>
      </c>
      <c r="E91">
        <v>437.5</v>
      </c>
      <c r="F91">
        <v>1029.5</v>
      </c>
      <c r="G91">
        <v>291</v>
      </c>
      <c r="H91">
        <v>506.5</v>
      </c>
      <c r="I91">
        <v>48.87</v>
      </c>
      <c r="J91">
        <v>5.4222999999999999</v>
      </c>
    </row>
    <row r="92" spans="2:10" x14ac:dyDescent="0.3">
      <c r="B92" s="10">
        <f t="shared" si="2"/>
        <v>2026</v>
      </c>
      <c r="C92" s="10">
        <f t="shared" si="3"/>
        <v>1</v>
      </c>
      <c r="D92" s="20">
        <v>46023</v>
      </c>
      <c r="J92">
        <v>5.4770000000000003</v>
      </c>
    </row>
    <row r="93" spans="2:10" x14ac:dyDescent="0.3">
      <c r="B93" s="10">
        <f t="shared" si="2"/>
        <v>2025</v>
      </c>
      <c r="C93" s="10">
        <f t="shared" si="3"/>
        <v>12</v>
      </c>
      <c r="D93" s="20">
        <v>46022</v>
      </c>
      <c r="E93">
        <v>440.25</v>
      </c>
      <c r="F93">
        <v>1030.5</v>
      </c>
      <c r="G93">
        <v>294.5</v>
      </c>
      <c r="H93">
        <v>507</v>
      </c>
      <c r="I93">
        <v>48.07</v>
      </c>
      <c r="J93">
        <v>5.4770000000000003</v>
      </c>
    </row>
    <row r="94" spans="2:10" x14ac:dyDescent="0.3">
      <c r="B94" s="10">
        <f t="shared" si="2"/>
        <v>2025</v>
      </c>
      <c r="C94" s="10">
        <f t="shared" si="3"/>
        <v>12</v>
      </c>
      <c r="D94" s="20">
        <v>46021</v>
      </c>
      <c r="E94">
        <v>440.5</v>
      </c>
      <c r="F94">
        <v>1046.25</v>
      </c>
      <c r="G94">
        <v>296.7</v>
      </c>
      <c r="H94">
        <v>510.75</v>
      </c>
      <c r="I94">
        <v>48.93</v>
      </c>
      <c r="J94">
        <v>5.4770000000000003</v>
      </c>
    </row>
    <row r="95" spans="2:10" x14ac:dyDescent="0.3">
      <c r="B95" s="10">
        <f t="shared" si="2"/>
        <v>2025</v>
      </c>
      <c r="C95" s="10">
        <f t="shared" si="3"/>
        <v>12</v>
      </c>
      <c r="D95" s="20">
        <v>46020</v>
      </c>
      <c r="E95">
        <v>442.25</v>
      </c>
      <c r="F95">
        <v>1049.5</v>
      </c>
      <c r="G95">
        <v>298.8</v>
      </c>
      <c r="H95">
        <v>513</v>
      </c>
      <c r="I95">
        <v>48.78</v>
      </c>
      <c r="J95">
        <v>5.5701999999999998</v>
      </c>
    </row>
    <row r="96" spans="2:10" x14ac:dyDescent="0.3">
      <c r="B96" s="10">
        <f t="shared" si="2"/>
        <v>2025</v>
      </c>
      <c r="C96" s="10">
        <f t="shared" si="3"/>
        <v>12</v>
      </c>
      <c r="D96" s="20">
        <v>46017</v>
      </c>
      <c r="E96">
        <v>450</v>
      </c>
      <c r="F96">
        <v>1058.75</v>
      </c>
      <c r="G96">
        <v>303.7</v>
      </c>
      <c r="H96">
        <v>519</v>
      </c>
      <c r="I96">
        <v>48.72</v>
      </c>
      <c r="J96">
        <v>5.5434000000000001</v>
      </c>
    </row>
    <row r="97" spans="2:10" x14ac:dyDescent="0.3">
      <c r="B97" s="10">
        <f t="shared" si="2"/>
        <v>2025</v>
      </c>
      <c r="C97" s="10">
        <f t="shared" si="3"/>
        <v>12</v>
      </c>
      <c r="D97" s="20">
        <v>46016</v>
      </c>
      <c r="J97">
        <v>5.52</v>
      </c>
    </row>
    <row r="98" spans="2:10" x14ac:dyDescent="0.3">
      <c r="B98" s="10">
        <f t="shared" si="2"/>
        <v>2025</v>
      </c>
      <c r="C98" s="10">
        <f t="shared" si="3"/>
        <v>12</v>
      </c>
      <c r="D98" s="20">
        <v>46015</v>
      </c>
      <c r="E98">
        <v>451</v>
      </c>
      <c r="F98">
        <v>1063.25</v>
      </c>
      <c r="G98">
        <v>304.7</v>
      </c>
      <c r="H98">
        <v>521.75</v>
      </c>
      <c r="I98">
        <v>49.03</v>
      </c>
      <c r="J98">
        <v>5.52</v>
      </c>
    </row>
    <row r="99" spans="2:10" x14ac:dyDescent="0.3">
      <c r="B99" s="10">
        <f t="shared" si="2"/>
        <v>2025</v>
      </c>
      <c r="C99" s="10">
        <f t="shared" si="3"/>
        <v>12</v>
      </c>
      <c r="D99" s="20">
        <v>46014</v>
      </c>
      <c r="E99">
        <v>447.5</v>
      </c>
      <c r="F99">
        <v>1051.5</v>
      </c>
      <c r="G99">
        <v>301.10000000000002</v>
      </c>
      <c r="H99">
        <v>517</v>
      </c>
      <c r="I99">
        <v>48.3</v>
      </c>
      <c r="J99">
        <v>5.5202999999999998</v>
      </c>
    </row>
    <row r="100" spans="2:10" x14ac:dyDescent="0.3">
      <c r="B100" s="10">
        <f t="shared" si="2"/>
        <v>2025</v>
      </c>
      <c r="C100" s="10">
        <f t="shared" si="3"/>
        <v>12</v>
      </c>
      <c r="D100" s="20">
        <v>46013</v>
      </c>
      <c r="E100">
        <v>447</v>
      </c>
      <c r="F100">
        <v>1053.25</v>
      </c>
      <c r="G100">
        <v>298.60000000000002</v>
      </c>
      <c r="H100">
        <v>515.5</v>
      </c>
      <c r="I100">
        <v>48.55</v>
      </c>
      <c r="J100">
        <v>5.5895999999999999</v>
      </c>
    </row>
    <row r="101" spans="2:10" x14ac:dyDescent="0.3">
      <c r="B101" s="10">
        <f t="shared" si="2"/>
        <v>2025</v>
      </c>
      <c r="C101" s="10">
        <f t="shared" si="3"/>
        <v>12</v>
      </c>
      <c r="D101" s="20">
        <v>46010</v>
      </c>
      <c r="E101">
        <v>443.75</v>
      </c>
      <c r="F101">
        <v>1049.25</v>
      </c>
      <c r="G101">
        <v>297.60000000000002</v>
      </c>
      <c r="H101">
        <v>509.75</v>
      </c>
      <c r="I101">
        <v>47.9</v>
      </c>
      <c r="J101">
        <v>5.5425000000000004</v>
      </c>
    </row>
    <row r="102" spans="2:10" x14ac:dyDescent="0.3">
      <c r="B102" s="10">
        <f t="shared" si="2"/>
        <v>2025</v>
      </c>
      <c r="C102" s="10">
        <f t="shared" si="3"/>
        <v>12</v>
      </c>
      <c r="D102" s="20">
        <v>46009</v>
      </c>
      <c r="E102">
        <v>444.5</v>
      </c>
      <c r="F102">
        <v>1052.25</v>
      </c>
      <c r="G102">
        <v>298.39999999999998</v>
      </c>
      <c r="H102">
        <v>507.75</v>
      </c>
      <c r="I102">
        <v>48.11</v>
      </c>
      <c r="J102">
        <v>5.5216000000000003</v>
      </c>
    </row>
    <row r="103" spans="2:10" x14ac:dyDescent="0.3">
      <c r="B103" s="10">
        <f t="shared" si="2"/>
        <v>2025</v>
      </c>
      <c r="C103" s="10">
        <f t="shared" si="3"/>
        <v>12</v>
      </c>
      <c r="D103" s="20">
        <v>46008</v>
      </c>
      <c r="E103">
        <v>440.5</v>
      </c>
      <c r="F103">
        <v>1058.25</v>
      </c>
      <c r="G103">
        <v>298.2</v>
      </c>
      <c r="H103">
        <v>506.25</v>
      </c>
      <c r="I103">
        <v>48.52</v>
      </c>
      <c r="J103">
        <v>5.52</v>
      </c>
    </row>
    <row r="104" spans="2:10" x14ac:dyDescent="0.3">
      <c r="B104" s="10">
        <f t="shared" si="2"/>
        <v>2025</v>
      </c>
      <c r="C104" s="10">
        <f t="shared" si="3"/>
        <v>12</v>
      </c>
      <c r="D104" s="20">
        <v>46007</v>
      </c>
      <c r="E104">
        <v>436.5</v>
      </c>
      <c r="F104">
        <v>1062.75</v>
      </c>
      <c r="G104">
        <v>302.39999999999998</v>
      </c>
      <c r="H104">
        <v>509.5</v>
      </c>
      <c r="I104">
        <v>48.36</v>
      </c>
      <c r="J104">
        <v>5.5087999999999999</v>
      </c>
    </row>
    <row r="105" spans="2:10" x14ac:dyDescent="0.3">
      <c r="B105" s="10">
        <f t="shared" si="2"/>
        <v>2025</v>
      </c>
      <c r="C105" s="10">
        <f t="shared" si="3"/>
        <v>12</v>
      </c>
      <c r="D105" s="20">
        <v>46006</v>
      </c>
      <c r="E105">
        <v>439.75</v>
      </c>
      <c r="F105">
        <v>1071.75</v>
      </c>
      <c r="G105">
        <v>303.5</v>
      </c>
      <c r="H105">
        <v>520.75</v>
      </c>
      <c r="I105">
        <v>49.48</v>
      </c>
      <c r="J105">
        <v>5.4142999999999999</v>
      </c>
    </row>
    <row r="106" spans="2:10" x14ac:dyDescent="0.3">
      <c r="B106" s="10">
        <f t="shared" si="2"/>
        <v>2025</v>
      </c>
      <c r="C106" s="10">
        <f t="shared" si="3"/>
        <v>12</v>
      </c>
      <c r="D106" s="20">
        <v>46003</v>
      </c>
      <c r="E106">
        <v>431.5</v>
      </c>
      <c r="F106">
        <v>1076.75</v>
      </c>
      <c r="G106">
        <v>300.60000000000002</v>
      </c>
      <c r="H106">
        <v>534.5</v>
      </c>
      <c r="I106">
        <v>49.73</v>
      </c>
      <c r="J106">
        <v>5.4185999999999996</v>
      </c>
    </row>
    <row r="107" spans="2:10" x14ac:dyDescent="0.3">
      <c r="B107" s="10">
        <f t="shared" si="2"/>
        <v>2025</v>
      </c>
      <c r="C107" s="10">
        <f t="shared" si="3"/>
        <v>12</v>
      </c>
      <c r="D107" s="20">
        <v>46002</v>
      </c>
      <c r="E107">
        <v>435.25</v>
      </c>
      <c r="F107">
        <v>1093.5</v>
      </c>
      <c r="G107">
        <v>298.8</v>
      </c>
      <c r="H107">
        <v>534.5</v>
      </c>
      <c r="I107">
        <v>50.56</v>
      </c>
      <c r="J107">
        <v>5.4078999999999997</v>
      </c>
    </row>
    <row r="108" spans="2:10" x14ac:dyDescent="0.3">
      <c r="B108" s="10">
        <f t="shared" si="2"/>
        <v>2025</v>
      </c>
      <c r="C108" s="10">
        <f t="shared" si="3"/>
        <v>12</v>
      </c>
      <c r="D108" s="20">
        <v>46001</v>
      </c>
      <c r="E108">
        <v>434.75</v>
      </c>
      <c r="F108">
        <v>1091.25</v>
      </c>
      <c r="G108">
        <v>298.2</v>
      </c>
      <c r="H108">
        <v>531.25</v>
      </c>
      <c r="I108">
        <v>50.81</v>
      </c>
      <c r="J108">
        <v>5.4725000000000001</v>
      </c>
    </row>
    <row r="109" spans="2:10" x14ac:dyDescent="0.3">
      <c r="B109" s="10">
        <f t="shared" si="2"/>
        <v>2025</v>
      </c>
      <c r="C109" s="10">
        <f t="shared" si="3"/>
        <v>12</v>
      </c>
      <c r="D109" s="20">
        <v>46000</v>
      </c>
      <c r="E109">
        <v>440.75</v>
      </c>
      <c r="F109">
        <v>1087.25</v>
      </c>
      <c r="G109">
        <v>298.2</v>
      </c>
      <c r="H109">
        <v>536.25</v>
      </c>
      <c r="I109">
        <v>50.73</v>
      </c>
      <c r="J109">
        <v>5.4330999999999996</v>
      </c>
    </row>
    <row r="110" spans="2:10" x14ac:dyDescent="0.3">
      <c r="B110" s="10">
        <f t="shared" si="2"/>
        <v>2025</v>
      </c>
      <c r="C110" s="10">
        <f t="shared" si="3"/>
        <v>12</v>
      </c>
      <c r="D110" s="20">
        <v>45999</v>
      </c>
      <c r="E110">
        <v>436.25</v>
      </c>
      <c r="F110">
        <v>1093.75</v>
      </c>
      <c r="G110">
        <v>303.60000000000002</v>
      </c>
      <c r="H110">
        <v>536</v>
      </c>
      <c r="I110">
        <v>50.9</v>
      </c>
      <c r="J110">
        <v>5.4298000000000002</v>
      </c>
    </row>
    <row r="111" spans="2:10" x14ac:dyDescent="0.3">
      <c r="B111" s="10">
        <f t="shared" si="2"/>
        <v>2025</v>
      </c>
      <c r="C111" s="10">
        <f t="shared" si="3"/>
        <v>12</v>
      </c>
      <c r="D111" s="20">
        <v>45996</v>
      </c>
      <c r="E111">
        <v>436.75</v>
      </c>
      <c r="F111">
        <v>1105.25</v>
      </c>
      <c r="G111">
        <v>304.7</v>
      </c>
      <c r="H111">
        <v>537.5</v>
      </c>
      <c r="I111">
        <v>51.36</v>
      </c>
      <c r="J111">
        <v>5.4390000000000001</v>
      </c>
    </row>
    <row r="112" spans="2:10" x14ac:dyDescent="0.3">
      <c r="B112" s="10">
        <f t="shared" si="2"/>
        <v>2025</v>
      </c>
      <c r="C112" s="10">
        <f t="shared" si="3"/>
        <v>12</v>
      </c>
      <c r="D112" s="20">
        <v>45995</v>
      </c>
      <c r="E112">
        <v>437.75</v>
      </c>
      <c r="F112">
        <v>1119.5</v>
      </c>
      <c r="G112">
        <v>308.5</v>
      </c>
      <c r="H112">
        <v>541</v>
      </c>
      <c r="I112">
        <v>51.53</v>
      </c>
      <c r="J112">
        <v>5.3091999999999997</v>
      </c>
    </row>
    <row r="113" spans="2:10" x14ac:dyDescent="0.3">
      <c r="B113" s="10">
        <f t="shared" si="2"/>
        <v>2025</v>
      </c>
      <c r="C113" s="10">
        <f t="shared" si="3"/>
        <v>12</v>
      </c>
      <c r="D113" s="20">
        <v>45994</v>
      </c>
      <c r="E113">
        <v>431.5</v>
      </c>
      <c r="F113">
        <v>1115.75</v>
      </c>
      <c r="G113">
        <v>308.39999999999998</v>
      </c>
      <c r="H113">
        <v>537.75</v>
      </c>
      <c r="I113">
        <v>51.35</v>
      </c>
      <c r="J113">
        <v>5.3074000000000003</v>
      </c>
    </row>
    <row r="114" spans="2:10" x14ac:dyDescent="0.3">
      <c r="B114" s="10">
        <f t="shared" si="2"/>
        <v>2025</v>
      </c>
      <c r="C114" s="10">
        <f t="shared" si="3"/>
        <v>12</v>
      </c>
      <c r="D114" s="20">
        <v>45993</v>
      </c>
      <c r="E114">
        <v>438</v>
      </c>
      <c r="F114">
        <v>1124.75</v>
      </c>
      <c r="G114">
        <v>308.60000000000002</v>
      </c>
      <c r="H114">
        <v>537.75</v>
      </c>
      <c r="I114">
        <v>52.35</v>
      </c>
      <c r="J114">
        <v>5.3273999999999999</v>
      </c>
    </row>
    <row r="115" spans="2:10" x14ac:dyDescent="0.3">
      <c r="B115" s="10">
        <f t="shared" si="2"/>
        <v>2025</v>
      </c>
      <c r="C115" s="10">
        <f t="shared" si="3"/>
        <v>12</v>
      </c>
      <c r="D115" s="20">
        <v>45992</v>
      </c>
      <c r="E115">
        <v>432.75</v>
      </c>
      <c r="F115">
        <v>1128</v>
      </c>
      <c r="G115">
        <v>311.10000000000002</v>
      </c>
      <c r="H115">
        <v>530.25</v>
      </c>
      <c r="I115">
        <v>52.06</v>
      </c>
      <c r="J115">
        <v>5.3571</v>
      </c>
    </row>
    <row r="116" spans="2:10" x14ac:dyDescent="0.3">
      <c r="B116" s="10">
        <f t="shared" si="2"/>
        <v>2025</v>
      </c>
      <c r="C116" s="10">
        <f t="shared" si="3"/>
        <v>11</v>
      </c>
      <c r="D116" s="20">
        <v>45989</v>
      </c>
      <c r="E116">
        <v>435.5</v>
      </c>
      <c r="F116">
        <v>1137.75</v>
      </c>
      <c r="G116">
        <v>314.39999999999998</v>
      </c>
      <c r="H116">
        <v>531</v>
      </c>
      <c r="I116">
        <v>51.76</v>
      </c>
      <c r="J116">
        <v>5.3362999999999996</v>
      </c>
    </row>
    <row r="117" spans="2:10" x14ac:dyDescent="0.3">
      <c r="B117" s="10">
        <f t="shared" si="2"/>
        <v>2025</v>
      </c>
      <c r="C117" s="10">
        <f t="shared" si="3"/>
        <v>11</v>
      </c>
      <c r="D117" s="20">
        <v>45988</v>
      </c>
      <c r="J117">
        <v>5.3562000000000003</v>
      </c>
    </row>
    <row r="118" spans="2:10" x14ac:dyDescent="0.3">
      <c r="B118" s="10">
        <f t="shared" si="2"/>
        <v>2025</v>
      </c>
      <c r="C118" s="10">
        <f t="shared" si="3"/>
        <v>11</v>
      </c>
      <c r="D118" s="20">
        <v>45987</v>
      </c>
      <c r="E118">
        <v>431.75</v>
      </c>
      <c r="F118">
        <v>1131.5</v>
      </c>
      <c r="G118">
        <v>317.10000000000002</v>
      </c>
      <c r="H118">
        <v>529</v>
      </c>
      <c r="I118">
        <v>50.87</v>
      </c>
      <c r="J118">
        <v>5.3319000000000001</v>
      </c>
    </row>
    <row r="119" spans="2:10" x14ac:dyDescent="0.3">
      <c r="B119" s="10">
        <f t="shared" si="2"/>
        <v>2025</v>
      </c>
      <c r="C119" s="10">
        <f t="shared" si="3"/>
        <v>11</v>
      </c>
      <c r="D119" s="20">
        <v>45986</v>
      </c>
      <c r="E119">
        <v>423.5</v>
      </c>
      <c r="F119">
        <v>1124.75</v>
      </c>
      <c r="G119">
        <v>317</v>
      </c>
      <c r="H119">
        <v>527.25</v>
      </c>
      <c r="I119">
        <v>50.3</v>
      </c>
      <c r="J119">
        <v>5.3810000000000002</v>
      </c>
    </row>
    <row r="120" spans="2:10" x14ac:dyDescent="0.3">
      <c r="B120" s="10">
        <f t="shared" si="2"/>
        <v>2025</v>
      </c>
      <c r="C120" s="10">
        <f t="shared" si="3"/>
        <v>11</v>
      </c>
      <c r="D120" s="20">
        <v>45985</v>
      </c>
      <c r="E120">
        <v>423.75</v>
      </c>
      <c r="F120">
        <v>1123.25</v>
      </c>
      <c r="G120">
        <v>314.2</v>
      </c>
      <c r="H120">
        <v>522.25</v>
      </c>
      <c r="I120">
        <v>50.18</v>
      </c>
      <c r="J120">
        <v>5.3883999999999999</v>
      </c>
    </row>
    <row r="121" spans="2:10" x14ac:dyDescent="0.3">
      <c r="B121" s="10">
        <f t="shared" si="2"/>
        <v>2025</v>
      </c>
      <c r="C121" s="10">
        <f t="shared" si="3"/>
        <v>11</v>
      </c>
      <c r="D121" s="20">
        <v>45982</v>
      </c>
      <c r="E121">
        <v>425.5</v>
      </c>
      <c r="F121">
        <v>1125</v>
      </c>
      <c r="G121">
        <v>315.10000000000002</v>
      </c>
      <c r="H121">
        <v>527</v>
      </c>
      <c r="I121">
        <v>50.26</v>
      </c>
      <c r="J121">
        <v>5.4028</v>
      </c>
    </row>
    <row r="122" spans="2:10" x14ac:dyDescent="0.3">
      <c r="B122" s="10">
        <f t="shared" si="2"/>
        <v>2025</v>
      </c>
      <c r="C122" s="10">
        <f t="shared" si="3"/>
        <v>11</v>
      </c>
      <c r="D122" s="20">
        <v>45981</v>
      </c>
      <c r="E122">
        <v>426.5</v>
      </c>
      <c r="F122">
        <v>1122.5</v>
      </c>
      <c r="G122">
        <v>314</v>
      </c>
      <c r="H122">
        <v>527</v>
      </c>
      <c r="I122">
        <v>50.66</v>
      </c>
      <c r="J122">
        <v>5.3327999999999998</v>
      </c>
    </row>
    <row r="123" spans="2:10" x14ac:dyDescent="0.3">
      <c r="B123" s="10">
        <f t="shared" si="2"/>
        <v>2025</v>
      </c>
      <c r="C123" s="10">
        <f t="shared" si="3"/>
        <v>11</v>
      </c>
      <c r="D123" s="20">
        <v>45980</v>
      </c>
      <c r="E123">
        <v>429.75</v>
      </c>
      <c r="F123">
        <v>1136.25</v>
      </c>
      <c r="G123">
        <v>318.89999999999998</v>
      </c>
      <c r="H123">
        <v>536.75</v>
      </c>
      <c r="I123">
        <v>51.1</v>
      </c>
      <c r="J123">
        <v>5.3304</v>
      </c>
    </row>
    <row r="124" spans="2:10" x14ac:dyDescent="0.3">
      <c r="B124" s="10">
        <f t="shared" si="2"/>
        <v>2025</v>
      </c>
      <c r="C124" s="10">
        <f t="shared" si="3"/>
        <v>11</v>
      </c>
      <c r="D124" s="20">
        <v>45979</v>
      </c>
      <c r="E124">
        <v>436.75</v>
      </c>
      <c r="F124">
        <v>1153.5</v>
      </c>
      <c r="G124">
        <v>327</v>
      </c>
      <c r="H124">
        <v>546.5</v>
      </c>
      <c r="I124">
        <v>52.17</v>
      </c>
      <c r="J124">
        <v>5.3217999999999996</v>
      </c>
    </row>
    <row r="125" spans="2:10" x14ac:dyDescent="0.3">
      <c r="B125" s="10">
        <f t="shared" si="2"/>
        <v>2025</v>
      </c>
      <c r="C125" s="10">
        <f t="shared" si="3"/>
        <v>11</v>
      </c>
      <c r="D125" s="20">
        <v>45978</v>
      </c>
      <c r="E125">
        <v>434.75</v>
      </c>
      <c r="F125">
        <v>1157.25</v>
      </c>
      <c r="G125">
        <v>330.8</v>
      </c>
      <c r="H125">
        <v>544.25</v>
      </c>
      <c r="I125">
        <v>51.14</v>
      </c>
      <c r="J125">
        <v>5.3289999999999997</v>
      </c>
    </row>
    <row r="126" spans="2:10" x14ac:dyDescent="0.3">
      <c r="B126" s="10">
        <f t="shared" si="2"/>
        <v>2025</v>
      </c>
      <c r="C126" s="10">
        <f t="shared" si="3"/>
        <v>11</v>
      </c>
      <c r="D126" s="20">
        <v>45975</v>
      </c>
      <c r="E126">
        <v>430.25</v>
      </c>
      <c r="F126">
        <v>1112.75</v>
      </c>
      <c r="G126">
        <v>322.5</v>
      </c>
      <c r="H126">
        <v>527.25</v>
      </c>
      <c r="I126">
        <v>50.15</v>
      </c>
      <c r="J126">
        <v>5.2964000000000002</v>
      </c>
    </row>
    <row r="127" spans="2:10" x14ac:dyDescent="0.3">
      <c r="B127" s="10">
        <f t="shared" si="2"/>
        <v>2025</v>
      </c>
      <c r="C127" s="10">
        <f t="shared" si="3"/>
        <v>11</v>
      </c>
      <c r="D127" s="20">
        <v>45974</v>
      </c>
      <c r="E127">
        <v>441.5</v>
      </c>
      <c r="F127">
        <v>1132</v>
      </c>
      <c r="G127">
        <v>328.4</v>
      </c>
      <c r="H127">
        <v>535.75</v>
      </c>
      <c r="I127">
        <v>50.25</v>
      </c>
      <c r="J127">
        <v>5.2977999999999996</v>
      </c>
    </row>
    <row r="128" spans="2:10" x14ac:dyDescent="0.3">
      <c r="B128" s="10">
        <f t="shared" si="2"/>
        <v>2025</v>
      </c>
      <c r="C128" s="10">
        <f t="shared" si="3"/>
        <v>11</v>
      </c>
      <c r="D128" s="20">
        <v>45973</v>
      </c>
      <c r="E128">
        <v>435.25</v>
      </c>
      <c r="F128">
        <v>1120.5</v>
      </c>
      <c r="G128">
        <v>321</v>
      </c>
      <c r="H128">
        <v>536</v>
      </c>
      <c r="I128">
        <v>50.62</v>
      </c>
      <c r="J128">
        <v>5.2925000000000004</v>
      </c>
    </row>
    <row r="129" spans="2:10" x14ac:dyDescent="0.3">
      <c r="B129" s="10">
        <f t="shared" si="2"/>
        <v>2025</v>
      </c>
      <c r="C129" s="10">
        <f t="shared" si="3"/>
        <v>11</v>
      </c>
      <c r="D129" s="20">
        <v>45972</v>
      </c>
      <c r="E129">
        <v>432</v>
      </c>
      <c r="F129">
        <v>1113.25</v>
      </c>
      <c r="G129">
        <v>316.89999999999998</v>
      </c>
      <c r="H129">
        <v>536</v>
      </c>
      <c r="I129">
        <v>51.1</v>
      </c>
      <c r="J129">
        <v>5.2717000000000001</v>
      </c>
    </row>
    <row r="130" spans="2:10" x14ac:dyDescent="0.3">
      <c r="B130" s="10">
        <f t="shared" si="2"/>
        <v>2025</v>
      </c>
      <c r="C130" s="10">
        <f t="shared" si="3"/>
        <v>11</v>
      </c>
      <c r="D130" s="20">
        <v>45971</v>
      </c>
      <c r="E130">
        <v>429.75</v>
      </c>
      <c r="F130">
        <v>1116</v>
      </c>
      <c r="G130">
        <v>320</v>
      </c>
      <c r="H130">
        <v>535.75</v>
      </c>
      <c r="I130">
        <v>50.58</v>
      </c>
      <c r="J130">
        <v>5.2907000000000002</v>
      </c>
    </row>
    <row r="131" spans="2:10" x14ac:dyDescent="0.3">
      <c r="B131" s="10">
        <f t="shared" si="2"/>
        <v>2025</v>
      </c>
      <c r="C131" s="10">
        <f t="shared" si="3"/>
        <v>11</v>
      </c>
      <c r="D131" s="20">
        <v>45968</v>
      </c>
      <c r="E131">
        <v>427.25</v>
      </c>
      <c r="F131">
        <v>1101.75</v>
      </c>
      <c r="G131">
        <v>317.10000000000002</v>
      </c>
      <c r="H131">
        <v>527.75</v>
      </c>
      <c r="I131">
        <v>49.68</v>
      </c>
      <c r="J131">
        <v>5.3320999999999996</v>
      </c>
    </row>
    <row r="132" spans="2:10" x14ac:dyDescent="0.3">
      <c r="B132" s="10">
        <f t="shared" si="2"/>
        <v>2025</v>
      </c>
      <c r="C132" s="10">
        <f t="shared" si="3"/>
        <v>11</v>
      </c>
      <c r="D132" s="20">
        <v>45967</v>
      </c>
      <c r="E132">
        <v>428.75</v>
      </c>
      <c r="F132">
        <v>1091.75</v>
      </c>
      <c r="G132">
        <v>312.7</v>
      </c>
      <c r="H132">
        <v>535.5</v>
      </c>
      <c r="I132">
        <v>49.35</v>
      </c>
      <c r="J132">
        <v>5.3498000000000001</v>
      </c>
    </row>
    <row r="133" spans="2:10" x14ac:dyDescent="0.3">
      <c r="B133" s="10">
        <f t="shared" si="2"/>
        <v>2025</v>
      </c>
      <c r="C133" s="10">
        <f t="shared" si="3"/>
        <v>11</v>
      </c>
      <c r="D133" s="20">
        <v>45966</v>
      </c>
      <c r="E133">
        <v>435.25</v>
      </c>
      <c r="F133">
        <v>1119.75</v>
      </c>
      <c r="G133">
        <v>324.8</v>
      </c>
      <c r="H133">
        <v>554.75</v>
      </c>
      <c r="I133">
        <v>49.69</v>
      </c>
      <c r="J133">
        <v>5.3594999999999997</v>
      </c>
    </row>
    <row r="134" spans="2:10" x14ac:dyDescent="0.3">
      <c r="B134" s="10">
        <f t="shared" ref="B134:B197" si="4">YEAR(D134)</f>
        <v>2025</v>
      </c>
      <c r="C134" s="10">
        <f t="shared" ref="C134:C197" si="5">MONTH(D134)</f>
        <v>11</v>
      </c>
      <c r="D134" s="20">
        <v>45965</v>
      </c>
      <c r="E134">
        <v>431.5</v>
      </c>
      <c r="F134">
        <v>1108.25</v>
      </c>
      <c r="G134">
        <v>317.39999999999998</v>
      </c>
      <c r="H134">
        <v>550.25</v>
      </c>
      <c r="I134">
        <v>49.53</v>
      </c>
      <c r="J134">
        <v>5.3971999999999998</v>
      </c>
    </row>
    <row r="135" spans="2:10" x14ac:dyDescent="0.3">
      <c r="B135" s="10">
        <f t="shared" si="4"/>
        <v>2025</v>
      </c>
      <c r="C135" s="10">
        <f t="shared" si="5"/>
        <v>11</v>
      </c>
      <c r="D135" s="20">
        <v>45964</v>
      </c>
      <c r="E135">
        <v>434.25</v>
      </c>
      <c r="F135">
        <v>1119.75</v>
      </c>
      <c r="G135">
        <v>320.8</v>
      </c>
      <c r="H135">
        <v>543.5</v>
      </c>
      <c r="I135">
        <v>49.84</v>
      </c>
      <c r="J135">
        <v>5.3567999999999998</v>
      </c>
    </row>
    <row r="136" spans="2:10" x14ac:dyDescent="0.3">
      <c r="B136" s="10">
        <f t="shared" si="4"/>
        <v>2025</v>
      </c>
      <c r="C136" s="10">
        <f t="shared" si="5"/>
        <v>10</v>
      </c>
      <c r="D136" s="20">
        <v>45961</v>
      </c>
      <c r="E136">
        <v>431.5</v>
      </c>
      <c r="F136">
        <v>1099.75</v>
      </c>
      <c r="G136">
        <v>321.60000000000002</v>
      </c>
      <c r="H136">
        <v>534</v>
      </c>
      <c r="I136">
        <v>48.68</v>
      </c>
      <c r="J136">
        <v>5.3738999999999999</v>
      </c>
    </row>
    <row r="137" spans="2:10" x14ac:dyDescent="0.3">
      <c r="B137" s="10">
        <f t="shared" si="4"/>
        <v>2025</v>
      </c>
      <c r="C137" s="10">
        <f t="shared" si="5"/>
        <v>10</v>
      </c>
      <c r="D137" s="20">
        <v>45960</v>
      </c>
      <c r="E137">
        <v>430.25</v>
      </c>
      <c r="F137">
        <v>1091.25</v>
      </c>
      <c r="G137">
        <v>315.60000000000002</v>
      </c>
      <c r="H137">
        <v>524.25</v>
      </c>
      <c r="I137">
        <v>49.65</v>
      </c>
      <c r="J137">
        <v>5.3807</v>
      </c>
    </row>
    <row r="138" spans="2:10" x14ac:dyDescent="0.3">
      <c r="B138" s="10">
        <f t="shared" si="4"/>
        <v>2025</v>
      </c>
      <c r="C138" s="10">
        <f t="shared" si="5"/>
        <v>10</v>
      </c>
      <c r="D138" s="20">
        <v>45959</v>
      </c>
      <c r="E138">
        <v>434</v>
      </c>
      <c r="F138">
        <v>1080.25</v>
      </c>
      <c r="G138">
        <v>308.7</v>
      </c>
      <c r="H138">
        <v>532.25</v>
      </c>
      <c r="I138">
        <v>50.16</v>
      </c>
      <c r="J138">
        <v>5.3605</v>
      </c>
    </row>
    <row r="139" spans="2:10" x14ac:dyDescent="0.3">
      <c r="B139" s="10">
        <f t="shared" si="4"/>
        <v>2025</v>
      </c>
      <c r="C139" s="10">
        <f t="shared" si="5"/>
        <v>10</v>
      </c>
      <c r="D139" s="20">
        <v>45958</v>
      </c>
      <c r="E139">
        <v>432</v>
      </c>
      <c r="F139">
        <v>1078.25</v>
      </c>
      <c r="G139">
        <v>306.5</v>
      </c>
      <c r="H139">
        <v>529</v>
      </c>
      <c r="I139">
        <v>50.26</v>
      </c>
      <c r="J139">
        <v>5.3578000000000001</v>
      </c>
    </row>
    <row r="140" spans="2:10" x14ac:dyDescent="0.3">
      <c r="B140" s="10">
        <f t="shared" si="4"/>
        <v>2025</v>
      </c>
      <c r="C140" s="10">
        <f t="shared" si="5"/>
        <v>10</v>
      </c>
      <c r="D140" s="20">
        <v>45957</v>
      </c>
      <c r="E140">
        <v>428.75</v>
      </c>
      <c r="F140">
        <v>1067.25</v>
      </c>
      <c r="G140">
        <v>298.2</v>
      </c>
      <c r="H140">
        <v>526</v>
      </c>
      <c r="I140">
        <v>50.77</v>
      </c>
      <c r="J140">
        <v>5.3727999999999998</v>
      </c>
    </row>
    <row r="141" spans="2:10" x14ac:dyDescent="0.3">
      <c r="B141" s="10">
        <f t="shared" si="4"/>
        <v>2025</v>
      </c>
      <c r="C141" s="10">
        <f t="shared" si="5"/>
        <v>10</v>
      </c>
      <c r="D141" s="20">
        <v>45954</v>
      </c>
      <c r="E141">
        <v>423.25</v>
      </c>
      <c r="F141">
        <v>1041.75</v>
      </c>
      <c r="G141">
        <v>294.10000000000002</v>
      </c>
      <c r="H141">
        <v>512.5</v>
      </c>
      <c r="I141">
        <v>50.27</v>
      </c>
      <c r="J141">
        <v>5.3887</v>
      </c>
    </row>
    <row r="142" spans="2:10" x14ac:dyDescent="0.3">
      <c r="B142" s="10">
        <f t="shared" si="4"/>
        <v>2025</v>
      </c>
      <c r="C142" s="10">
        <f t="shared" si="5"/>
        <v>10</v>
      </c>
      <c r="D142" s="20">
        <v>45953</v>
      </c>
      <c r="E142">
        <v>428</v>
      </c>
      <c r="F142">
        <v>1044.75</v>
      </c>
      <c r="G142">
        <v>292.3</v>
      </c>
      <c r="H142">
        <v>513</v>
      </c>
      <c r="I142">
        <v>50.87</v>
      </c>
      <c r="J142">
        <v>5.3821000000000003</v>
      </c>
    </row>
    <row r="143" spans="2:10" x14ac:dyDescent="0.3">
      <c r="B143" s="10">
        <f t="shared" si="4"/>
        <v>2025</v>
      </c>
      <c r="C143" s="10">
        <f t="shared" si="5"/>
        <v>10</v>
      </c>
      <c r="D143" s="20">
        <v>45952</v>
      </c>
      <c r="E143">
        <v>423</v>
      </c>
      <c r="F143">
        <v>1034.75</v>
      </c>
      <c r="G143">
        <v>290</v>
      </c>
      <c r="H143">
        <v>503.75</v>
      </c>
      <c r="I143">
        <v>50.07</v>
      </c>
      <c r="J143">
        <v>5.3997000000000002</v>
      </c>
    </row>
    <row r="144" spans="2:10" x14ac:dyDescent="0.3">
      <c r="B144" s="10">
        <f t="shared" si="4"/>
        <v>2025</v>
      </c>
      <c r="C144" s="10">
        <f t="shared" si="5"/>
        <v>10</v>
      </c>
      <c r="D144" s="20">
        <v>45951</v>
      </c>
      <c r="E144">
        <v>419.75</v>
      </c>
      <c r="F144">
        <v>1030.75</v>
      </c>
      <c r="G144">
        <v>286.89999999999998</v>
      </c>
      <c r="H144">
        <v>500.25</v>
      </c>
      <c r="I144">
        <v>50.65</v>
      </c>
      <c r="J144">
        <v>5.3875999999999999</v>
      </c>
    </row>
    <row r="145" spans="2:10" x14ac:dyDescent="0.3">
      <c r="B145" s="10">
        <f t="shared" si="4"/>
        <v>2025</v>
      </c>
      <c r="C145" s="10">
        <f t="shared" si="5"/>
        <v>10</v>
      </c>
      <c r="D145" s="20">
        <v>45950</v>
      </c>
      <c r="E145">
        <v>423.25</v>
      </c>
      <c r="F145">
        <v>1031.75</v>
      </c>
      <c r="G145">
        <v>285</v>
      </c>
      <c r="H145">
        <v>504.75</v>
      </c>
      <c r="I145">
        <v>51.31</v>
      </c>
      <c r="J145">
        <v>5.3742999999999999</v>
      </c>
    </row>
    <row r="146" spans="2:10" x14ac:dyDescent="0.3">
      <c r="B146" s="10">
        <f t="shared" si="4"/>
        <v>2025</v>
      </c>
      <c r="C146" s="10">
        <f t="shared" si="5"/>
        <v>10</v>
      </c>
      <c r="D146" s="20">
        <v>45947</v>
      </c>
      <c r="E146">
        <v>422.5</v>
      </c>
      <c r="F146">
        <v>1019.5</v>
      </c>
      <c r="G146">
        <v>281</v>
      </c>
      <c r="H146">
        <v>503.75</v>
      </c>
      <c r="I146">
        <v>51.13</v>
      </c>
      <c r="J146">
        <v>5.4080000000000004</v>
      </c>
    </row>
    <row r="147" spans="2:10" x14ac:dyDescent="0.3">
      <c r="B147" s="10">
        <f t="shared" si="4"/>
        <v>2025</v>
      </c>
      <c r="C147" s="10">
        <f t="shared" si="5"/>
        <v>10</v>
      </c>
      <c r="D147" s="20">
        <v>45946</v>
      </c>
      <c r="E147">
        <v>421.75</v>
      </c>
      <c r="F147">
        <v>1010.75</v>
      </c>
      <c r="G147">
        <v>276.89999999999998</v>
      </c>
      <c r="H147">
        <v>502.5</v>
      </c>
      <c r="I147">
        <v>50.87</v>
      </c>
      <c r="J147">
        <v>5.4451999999999998</v>
      </c>
    </row>
    <row r="148" spans="2:10" x14ac:dyDescent="0.3">
      <c r="B148" s="10">
        <f t="shared" si="4"/>
        <v>2025</v>
      </c>
      <c r="C148" s="10">
        <f t="shared" si="5"/>
        <v>10</v>
      </c>
      <c r="D148" s="20">
        <v>45945</v>
      </c>
      <c r="E148">
        <v>416.75</v>
      </c>
      <c r="F148">
        <v>1006.5</v>
      </c>
      <c r="G148">
        <v>275.89999999999998</v>
      </c>
      <c r="H148">
        <v>498.75</v>
      </c>
      <c r="I148">
        <v>50.8</v>
      </c>
      <c r="J148">
        <v>5.4546000000000001</v>
      </c>
    </row>
    <row r="149" spans="2:10" x14ac:dyDescent="0.3">
      <c r="B149" s="10">
        <f t="shared" si="4"/>
        <v>2025</v>
      </c>
      <c r="C149" s="10">
        <f t="shared" si="5"/>
        <v>10</v>
      </c>
      <c r="D149" s="20">
        <v>45944</v>
      </c>
      <c r="E149">
        <v>413</v>
      </c>
      <c r="F149">
        <v>1006.5</v>
      </c>
      <c r="G149">
        <v>267</v>
      </c>
      <c r="H149">
        <v>500.25</v>
      </c>
      <c r="I149">
        <v>49.92</v>
      </c>
      <c r="J149">
        <v>5.4817</v>
      </c>
    </row>
    <row r="150" spans="2:10" x14ac:dyDescent="0.3">
      <c r="B150" s="10">
        <f t="shared" si="4"/>
        <v>2025</v>
      </c>
      <c r="C150" s="10">
        <f t="shared" si="5"/>
        <v>10</v>
      </c>
      <c r="D150" s="20">
        <v>45943</v>
      </c>
      <c r="E150">
        <v>410.75</v>
      </c>
      <c r="F150">
        <v>1007.75</v>
      </c>
      <c r="G150">
        <v>266.5</v>
      </c>
      <c r="H150">
        <v>496.75</v>
      </c>
      <c r="I150">
        <v>50.04</v>
      </c>
      <c r="J150">
        <v>5.4637000000000002</v>
      </c>
    </row>
    <row r="151" spans="2:10" x14ac:dyDescent="0.3">
      <c r="B151" s="10">
        <f t="shared" si="4"/>
        <v>2025</v>
      </c>
      <c r="C151" s="10">
        <f t="shared" si="5"/>
        <v>10</v>
      </c>
      <c r="D151" s="20">
        <v>45940</v>
      </c>
      <c r="E151">
        <v>413</v>
      </c>
      <c r="F151">
        <v>1006.75</v>
      </c>
      <c r="G151">
        <v>267.39999999999998</v>
      </c>
      <c r="H151">
        <v>498.5</v>
      </c>
      <c r="I151">
        <v>49.4</v>
      </c>
      <c r="J151">
        <v>5.5217000000000001</v>
      </c>
    </row>
    <row r="152" spans="2:10" x14ac:dyDescent="0.3">
      <c r="B152" s="10">
        <f t="shared" si="4"/>
        <v>2025</v>
      </c>
      <c r="C152" s="10">
        <f t="shared" si="5"/>
        <v>10</v>
      </c>
      <c r="D152" s="20">
        <v>45939</v>
      </c>
      <c r="E152">
        <v>418.25</v>
      </c>
      <c r="F152">
        <v>1022.25</v>
      </c>
      <c r="G152">
        <v>269.7</v>
      </c>
      <c r="H152">
        <v>506.5</v>
      </c>
      <c r="I152">
        <v>50.38</v>
      </c>
      <c r="J152">
        <v>5.3680000000000003</v>
      </c>
    </row>
    <row r="153" spans="2:10" x14ac:dyDescent="0.3">
      <c r="B153" s="10">
        <f t="shared" si="4"/>
        <v>2025</v>
      </c>
      <c r="C153" s="10">
        <f t="shared" si="5"/>
        <v>10</v>
      </c>
      <c r="D153" s="20">
        <v>45938</v>
      </c>
      <c r="E153">
        <v>422</v>
      </c>
      <c r="F153">
        <v>1029.5</v>
      </c>
      <c r="G153">
        <v>270.8</v>
      </c>
      <c r="H153">
        <v>507.25</v>
      </c>
      <c r="I153">
        <v>50.97</v>
      </c>
      <c r="J153">
        <v>5.3426</v>
      </c>
    </row>
    <row r="154" spans="2:10" x14ac:dyDescent="0.3">
      <c r="B154" s="10">
        <f t="shared" si="4"/>
        <v>2025</v>
      </c>
      <c r="C154" s="10">
        <f t="shared" si="5"/>
        <v>10</v>
      </c>
      <c r="D154" s="20">
        <v>45937</v>
      </c>
      <c r="E154">
        <v>419.75</v>
      </c>
      <c r="F154">
        <v>1022</v>
      </c>
      <c r="G154">
        <v>268.89999999999998</v>
      </c>
      <c r="H154">
        <v>506.75</v>
      </c>
      <c r="I154">
        <v>50.53</v>
      </c>
      <c r="J154">
        <v>5.3501000000000003</v>
      </c>
    </row>
    <row r="155" spans="2:10" x14ac:dyDescent="0.3">
      <c r="B155" s="10">
        <f t="shared" si="4"/>
        <v>2025</v>
      </c>
      <c r="C155" s="10">
        <f t="shared" si="5"/>
        <v>10</v>
      </c>
      <c r="D155" s="20">
        <v>45936</v>
      </c>
      <c r="E155">
        <v>421.75</v>
      </c>
      <c r="F155">
        <v>1017.75</v>
      </c>
      <c r="G155">
        <v>268.8</v>
      </c>
      <c r="H155">
        <v>512.75</v>
      </c>
      <c r="I155">
        <v>49.79</v>
      </c>
      <c r="J155">
        <v>5.3127000000000004</v>
      </c>
    </row>
    <row r="156" spans="2:10" x14ac:dyDescent="0.3">
      <c r="B156" s="10">
        <f t="shared" si="4"/>
        <v>2025</v>
      </c>
      <c r="C156" s="10">
        <f t="shared" si="5"/>
        <v>10</v>
      </c>
      <c r="D156" s="20">
        <v>45933</v>
      </c>
      <c r="E156">
        <v>419</v>
      </c>
      <c r="F156">
        <v>1018</v>
      </c>
      <c r="G156">
        <v>270.7</v>
      </c>
      <c r="H156">
        <v>515.25</v>
      </c>
      <c r="I156">
        <v>49.43</v>
      </c>
      <c r="J156">
        <v>5.3369999999999997</v>
      </c>
    </row>
    <row r="157" spans="2:10" x14ac:dyDescent="0.3">
      <c r="B157" s="10">
        <f t="shared" si="4"/>
        <v>2025</v>
      </c>
      <c r="C157" s="10">
        <f t="shared" si="5"/>
        <v>10</v>
      </c>
      <c r="D157" s="20">
        <v>45932</v>
      </c>
      <c r="E157">
        <v>421.75</v>
      </c>
      <c r="F157">
        <v>1023.75</v>
      </c>
      <c r="G157">
        <v>271.3</v>
      </c>
      <c r="H157">
        <v>514.75</v>
      </c>
      <c r="I157">
        <v>49.82</v>
      </c>
      <c r="J157">
        <v>5.3380000000000001</v>
      </c>
    </row>
    <row r="158" spans="2:10" x14ac:dyDescent="0.3">
      <c r="B158" s="10">
        <f t="shared" si="4"/>
        <v>2025</v>
      </c>
      <c r="C158" s="10">
        <f t="shared" si="5"/>
        <v>10</v>
      </c>
      <c r="D158" s="20">
        <v>45931</v>
      </c>
      <c r="E158">
        <v>416.5</v>
      </c>
      <c r="F158">
        <v>1013</v>
      </c>
      <c r="G158">
        <v>264.7</v>
      </c>
      <c r="H158">
        <v>509.25</v>
      </c>
      <c r="I158">
        <v>49.75</v>
      </c>
      <c r="J158">
        <v>5.3285999999999998</v>
      </c>
    </row>
    <row r="159" spans="2:10" x14ac:dyDescent="0.3">
      <c r="B159" s="10">
        <f t="shared" si="4"/>
        <v>2025</v>
      </c>
      <c r="C159" s="10">
        <f t="shared" si="5"/>
        <v>9</v>
      </c>
      <c r="D159" s="20">
        <v>45930</v>
      </c>
      <c r="E159">
        <v>415.5</v>
      </c>
      <c r="F159">
        <v>1001.75</v>
      </c>
      <c r="G159">
        <v>265.7</v>
      </c>
      <c r="H159">
        <v>508</v>
      </c>
      <c r="I159">
        <v>48.87</v>
      </c>
      <c r="J159">
        <v>5.3224</v>
      </c>
    </row>
    <row r="160" spans="2:10" x14ac:dyDescent="0.3">
      <c r="B160" s="10">
        <f t="shared" si="4"/>
        <v>2025</v>
      </c>
      <c r="C160" s="10">
        <f t="shared" si="5"/>
        <v>9</v>
      </c>
      <c r="D160" s="20">
        <v>45929</v>
      </c>
      <c r="E160">
        <v>421.5</v>
      </c>
      <c r="F160">
        <v>1010.5</v>
      </c>
      <c r="G160">
        <v>268.10000000000002</v>
      </c>
      <c r="H160">
        <v>519.5</v>
      </c>
      <c r="I160">
        <v>49.11</v>
      </c>
      <c r="J160">
        <v>5.3216000000000001</v>
      </c>
    </row>
    <row r="161" spans="2:10" x14ac:dyDescent="0.3">
      <c r="B161" s="10">
        <f t="shared" si="4"/>
        <v>2025</v>
      </c>
      <c r="C161" s="10">
        <f t="shared" si="5"/>
        <v>9</v>
      </c>
      <c r="D161" s="20">
        <v>45926</v>
      </c>
      <c r="E161">
        <v>422</v>
      </c>
      <c r="F161">
        <v>1013.75</v>
      </c>
      <c r="G161">
        <v>268.8</v>
      </c>
      <c r="H161">
        <v>519.75</v>
      </c>
      <c r="I161">
        <v>49.6</v>
      </c>
      <c r="J161">
        <v>5.3426</v>
      </c>
    </row>
    <row r="162" spans="2:10" x14ac:dyDescent="0.3">
      <c r="B162" s="10">
        <f t="shared" si="4"/>
        <v>2025</v>
      </c>
      <c r="C162" s="10">
        <f t="shared" si="5"/>
        <v>9</v>
      </c>
      <c r="D162" s="20">
        <v>45925</v>
      </c>
      <c r="E162">
        <v>425.75</v>
      </c>
      <c r="F162">
        <v>1012.25</v>
      </c>
      <c r="G162">
        <v>268.60000000000002</v>
      </c>
      <c r="H162">
        <v>527</v>
      </c>
      <c r="I162">
        <v>49.74</v>
      </c>
      <c r="J162">
        <v>5.3634000000000004</v>
      </c>
    </row>
    <row r="163" spans="2:10" x14ac:dyDescent="0.3">
      <c r="B163" s="10">
        <f t="shared" si="4"/>
        <v>2025</v>
      </c>
      <c r="C163" s="10">
        <f t="shared" si="5"/>
        <v>9</v>
      </c>
      <c r="D163" s="20">
        <v>45924</v>
      </c>
      <c r="E163">
        <v>424.25</v>
      </c>
      <c r="F163">
        <v>1009</v>
      </c>
      <c r="G163">
        <v>271.7</v>
      </c>
      <c r="H163">
        <v>519.5</v>
      </c>
      <c r="I163">
        <v>49.29</v>
      </c>
      <c r="J163">
        <v>5.3323999999999998</v>
      </c>
    </row>
    <row r="164" spans="2:10" x14ac:dyDescent="0.3">
      <c r="B164" s="10">
        <f t="shared" si="4"/>
        <v>2025</v>
      </c>
      <c r="C164" s="10">
        <f t="shared" si="5"/>
        <v>9</v>
      </c>
      <c r="D164" s="20">
        <v>45923</v>
      </c>
      <c r="E164">
        <v>426.25</v>
      </c>
      <c r="F164">
        <v>1012</v>
      </c>
      <c r="G164">
        <v>275.10000000000002</v>
      </c>
      <c r="H164">
        <v>520.5</v>
      </c>
      <c r="I164">
        <v>49.35</v>
      </c>
      <c r="J164">
        <v>5.2826000000000004</v>
      </c>
    </row>
    <row r="165" spans="2:10" x14ac:dyDescent="0.3">
      <c r="B165" s="10">
        <f t="shared" si="4"/>
        <v>2025</v>
      </c>
      <c r="C165" s="10">
        <f t="shared" si="5"/>
        <v>9</v>
      </c>
      <c r="D165" s="20">
        <v>45922</v>
      </c>
      <c r="E165">
        <v>421.75</v>
      </c>
      <c r="F165">
        <v>1011</v>
      </c>
      <c r="G165">
        <v>278.89999999999998</v>
      </c>
      <c r="H165">
        <v>510.75</v>
      </c>
      <c r="I165">
        <v>49.17</v>
      </c>
      <c r="J165">
        <v>5.3345000000000002</v>
      </c>
    </row>
    <row r="166" spans="2:10" x14ac:dyDescent="0.3">
      <c r="B166" s="10">
        <f t="shared" si="4"/>
        <v>2025</v>
      </c>
      <c r="C166" s="10">
        <f t="shared" si="5"/>
        <v>9</v>
      </c>
      <c r="D166" s="20">
        <v>45919</v>
      </c>
      <c r="E166">
        <v>424</v>
      </c>
      <c r="F166">
        <v>1025.5</v>
      </c>
      <c r="G166">
        <v>282.89999999999998</v>
      </c>
      <c r="H166">
        <v>522.5</v>
      </c>
      <c r="I166">
        <v>50.03</v>
      </c>
      <c r="J166">
        <v>5.3231999999999999</v>
      </c>
    </row>
    <row r="167" spans="2:10" x14ac:dyDescent="0.3">
      <c r="B167" s="10">
        <f t="shared" si="4"/>
        <v>2025</v>
      </c>
      <c r="C167" s="10">
        <f t="shared" si="5"/>
        <v>9</v>
      </c>
      <c r="D167" s="20">
        <v>45918</v>
      </c>
      <c r="E167">
        <v>423.75</v>
      </c>
      <c r="F167">
        <v>1037.5</v>
      </c>
      <c r="G167">
        <v>283</v>
      </c>
      <c r="H167">
        <v>524.25</v>
      </c>
      <c r="I167">
        <v>50.57</v>
      </c>
      <c r="J167">
        <v>5.3132000000000001</v>
      </c>
    </row>
    <row r="168" spans="2:10" x14ac:dyDescent="0.3">
      <c r="B168" s="10">
        <f t="shared" si="4"/>
        <v>2025</v>
      </c>
      <c r="C168" s="10">
        <f t="shared" si="5"/>
        <v>9</v>
      </c>
      <c r="D168" s="20">
        <v>45917</v>
      </c>
      <c r="E168">
        <v>426.75</v>
      </c>
      <c r="F168">
        <v>1043.75</v>
      </c>
      <c r="G168">
        <v>283.89999999999998</v>
      </c>
      <c r="H168">
        <v>528.25</v>
      </c>
      <c r="I168">
        <v>51.24</v>
      </c>
      <c r="J168">
        <v>5.3052000000000001</v>
      </c>
    </row>
    <row r="169" spans="2:10" x14ac:dyDescent="0.3">
      <c r="B169" s="10">
        <f t="shared" si="4"/>
        <v>2025</v>
      </c>
      <c r="C169" s="10">
        <f t="shared" si="5"/>
        <v>9</v>
      </c>
      <c r="D169" s="20">
        <v>45916</v>
      </c>
      <c r="E169">
        <v>429.5</v>
      </c>
      <c r="F169">
        <v>1049.75</v>
      </c>
      <c r="G169">
        <v>285.8</v>
      </c>
      <c r="H169">
        <v>534</v>
      </c>
      <c r="I169">
        <v>52.69</v>
      </c>
      <c r="J169">
        <v>5.2957000000000001</v>
      </c>
    </row>
    <row r="170" spans="2:10" x14ac:dyDescent="0.3">
      <c r="B170" s="10">
        <f t="shared" si="4"/>
        <v>2025</v>
      </c>
      <c r="C170" s="10">
        <f t="shared" si="5"/>
        <v>9</v>
      </c>
      <c r="D170" s="20">
        <v>45915</v>
      </c>
      <c r="E170">
        <v>423.25</v>
      </c>
      <c r="F170">
        <v>1042.75</v>
      </c>
      <c r="G170">
        <v>285.2</v>
      </c>
      <c r="H170">
        <v>525</v>
      </c>
      <c r="I170">
        <v>51.76</v>
      </c>
      <c r="J170">
        <v>5.3163</v>
      </c>
    </row>
    <row r="171" spans="2:10" x14ac:dyDescent="0.3">
      <c r="B171" s="10">
        <f t="shared" si="4"/>
        <v>2025</v>
      </c>
      <c r="C171" s="10">
        <f t="shared" si="5"/>
        <v>9</v>
      </c>
      <c r="D171" s="20">
        <v>45912</v>
      </c>
      <c r="E171">
        <v>399</v>
      </c>
      <c r="F171">
        <v>1025.75</v>
      </c>
      <c r="G171">
        <v>288.3</v>
      </c>
      <c r="H171">
        <v>503</v>
      </c>
      <c r="I171">
        <v>51.38</v>
      </c>
      <c r="J171">
        <v>5.3544999999999998</v>
      </c>
    </row>
    <row r="172" spans="2:10" x14ac:dyDescent="0.3">
      <c r="B172" s="10">
        <f t="shared" si="4"/>
        <v>2025</v>
      </c>
      <c r="C172" s="10">
        <f t="shared" si="5"/>
        <v>9</v>
      </c>
      <c r="D172" s="20">
        <v>45911</v>
      </c>
      <c r="E172">
        <v>399</v>
      </c>
      <c r="F172">
        <v>1015.25</v>
      </c>
      <c r="G172">
        <v>288.3</v>
      </c>
      <c r="H172">
        <v>503</v>
      </c>
      <c r="I172">
        <v>50.82</v>
      </c>
      <c r="J172">
        <v>5.3898999999999999</v>
      </c>
    </row>
    <row r="173" spans="2:10" x14ac:dyDescent="0.3">
      <c r="B173" s="10">
        <f t="shared" si="4"/>
        <v>2025</v>
      </c>
      <c r="C173" s="10">
        <f t="shared" si="5"/>
        <v>9</v>
      </c>
      <c r="D173" s="20">
        <v>45910</v>
      </c>
      <c r="E173">
        <v>397.25</v>
      </c>
      <c r="F173">
        <v>1005.5</v>
      </c>
      <c r="G173">
        <v>286.39999999999998</v>
      </c>
      <c r="H173">
        <v>495</v>
      </c>
      <c r="I173">
        <v>50.22</v>
      </c>
      <c r="J173">
        <v>5.4084000000000003</v>
      </c>
    </row>
    <row r="174" spans="2:10" x14ac:dyDescent="0.3">
      <c r="B174" s="10">
        <f t="shared" si="4"/>
        <v>2025</v>
      </c>
      <c r="C174" s="10">
        <f t="shared" si="5"/>
        <v>9</v>
      </c>
      <c r="D174" s="20">
        <v>45909</v>
      </c>
      <c r="E174">
        <v>401.25</v>
      </c>
      <c r="F174">
        <v>1011.5</v>
      </c>
      <c r="G174">
        <v>291.7</v>
      </c>
      <c r="H174">
        <v>500.75</v>
      </c>
      <c r="I174">
        <v>49.7</v>
      </c>
      <c r="J174">
        <v>5.4394</v>
      </c>
    </row>
    <row r="175" spans="2:10" x14ac:dyDescent="0.3">
      <c r="B175" s="10">
        <f t="shared" si="4"/>
        <v>2025</v>
      </c>
      <c r="C175" s="10">
        <f t="shared" si="5"/>
        <v>9</v>
      </c>
      <c r="D175" s="20">
        <v>45908</v>
      </c>
      <c r="E175">
        <v>403</v>
      </c>
      <c r="F175">
        <v>1013.5</v>
      </c>
      <c r="G175">
        <v>284.7</v>
      </c>
      <c r="H175">
        <v>505.5</v>
      </c>
      <c r="I175">
        <v>50.73</v>
      </c>
      <c r="J175">
        <v>5.4192</v>
      </c>
    </row>
    <row r="176" spans="2:10" x14ac:dyDescent="0.3">
      <c r="B176" s="10">
        <f t="shared" si="4"/>
        <v>2025</v>
      </c>
      <c r="C176" s="10">
        <f t="shared" si="5"/>
        <v>9</v>
      </c>
      <c r="D176" s="20">
        <v>45905</v>
      </c>
      <c r="E176">
        <v>399</v>
      </c>
      <c r="F176">
        <v>1006.5</v>
      </c>
      <c r="G176">
        <v>280.5</v>
      </c>
      <c r="H176">
        <v>501</v>
      </c>
      <c r="I176">
        <v>50.56</v>
      </c>
      <c r="J176">
        <v>5.4127000000000001</v>
      </c>
    </row>
    <row r="177" spans="2:10" x14ac:dyDescent="0.3">
      <c r="B177" s="10">
        <f t="shared" si="4"/>
        <v>2025</v>
      </c>
      <c r="C177" s="10">
        <f t="shared" si="5"/>
        <v>9</v>
      </c>
      <c r="D177" s="20">
        <v>45904</v>
      </c>
      <c r="E177">
        <v>399.75</v>
      </c>
      <c r="F177">
        <v>1012</v>
      </c>
      <c r="G177">
        <v>279.39999999999998</v>
      </c>
      <c r="H177">
        <v>502.25</v>
      </c>
      <c r="I177">
        <v>51.23</v>
      </c>
      <c r="J177">
        <v>5.4457000000000004</v>
      </c>
    </row>
    <row r="178" spans="2:10" x14ac:dyDescent="0.3">
      <c r="B178" s="10">
        <f t="shared" si="4"/>
        <v>2025</v>
      </c>
      <c r="C178" s="10">
        <f t="shared" si="5"/>
        <v>9</v>
      </c>
      <c r="D178" s="20">
        <v>45903</v>
      </c>
      <c r="E178">
        <v>397.75</v>
      </c>
      <c r="F178">
        <v>1016</v>
      </c>
      <c r="G178">
        <v>275.89999999999998</v>
      </c>
      <c r="H178">
        <v>504</v>
      </c>
      <c r="I178">
        <v>51.16</v>
      </c>
      <c r="J178">
        <v>5.4512999999999998</v>
      </c>
    </row>
    <row r="179" spans="2:10" x14ac:dyDescent="0.3">
      <c r="B179" s="10">
        <f t="shared" si="4"/>
        <v>2025</v>
      </c>
      <c r="C179" s="10">
        <f t="shared" si="5"/>
        <v>9</v>
      </c>
      <c r="D179" s="20">
        <v>45902</v>
      </c>
      <c r="E179">
        <v>403</v>
      </c>
      <c r="F179">
        <v>1025.75</v>
      </c>
      <c r="G179">
        <v>275.5</v>
      </c>
      <c r="H179">
        <v>513</v>
      </c>
      <c r="I179">
        <v>51.97</v>
      </c>
      <c r="J179">
        <v>5.4645999999999999</v>
      </c>
    </row>
    <row r="180" spans="2:10" x14ac:dyDescent="0.3">
      <c r="B180" s="10">
        <f t="shared" si="4"/>
        <v>2025</v>
      </c>
      <c r="C180" s="10">
        <f t="shared" si="5"/>
        <v>9</v>
      </c>
      <c r="D180" s="20">
        <v>45901</v>
      </c>
      <c r="J180">
        <v>5.4398999999999997</v>
      </c>
    </row>
    <row r="181" spans="2:10" x14ac:dyDescent="0.3">
      <c r="B181" s="10">
        <f t="shared" si="4"/>
        <v>2025</v>
      </c>
      <c r="C181" s="10">
        <f t="shared" si="5"/>
        <v>8</v>
      </c>
      <c r="D181" s="20">
        <v>45898</v>
      </c>
      <c r="E181">
        <v>398</v>
      </c>
      <c r="F181">
        <v>1036.75</v>
      </c>
      <c r="G181">
        <v>283.60000000000002</v>
      </c>
      <c r="H181">
        <v>518</v>
      </c>
      <c r="I181">
        <v>51.47</v>
      </c>
      <c r="J181">
        <v>5.4298999999999999</v>
      </c>
    </row>
    <row r="182" spans="2:10" x14ac:dyDescent="0.3">
      <c r="B182" s="10">
        <f t="shared" si="4"/>
        <v>2025</v>
      </c>
      <c r="C182" s="10">
        <f t="shared" si="5"/>
        <v>8</v>
      </c>
      <c r="D182" s="20">
        <v>45897</v>
      </c>
      <c r="E182">
        <v>385.5</v>
      </c>
      <c r="F182">
        <v>1028.25</v>
      </c>
      <c r="G182">
        <v>286.3</v>
      </c>
      <c r="H182">
        <v>510.25</v>
      </c>
      <c r="I182">
        <v>51.75</v>
      </c>
      <c r="J182">
        <v>5.4124999999999996</v>
      </c>
    </row>
    <row r="183" spans="2:10" x14ac:dyDescent="0.3">
      <c r="B183" s="10">
        <f t="shared" si="4"/>
        <v>2025</v>
      </c>
      <c r="C183" s="10">
        <f t="shared" si="5"/>
        <v>8</v>
      </c>
      <c r="D183" s="20">
        <v>45896</v>
      </c>
      <c r="E183">
        <v>382.5</v>
      </c>
      <c r="F183">
        <v>1027.25</v>
      </c>
      <c r="G183">
        <v>293.10000000000002</v>
      </c>
      <c r="H183">
        <v>502.25</v>
      </c>
      <c r="I183">
        <v>52.47</v>
      </c>
      <c r="J183">
        <v>5.4173</v>
      </c>
    </row>
    <row r="184" spans="2:10" x14ac:dyDescent="0.3">
      <c r="B184" s="10">
        <f t="shared" si="4"/>
        <v>2025</v>
      </c>
      <c r="C184" s="10">
        <f t="shared" si="5"/>
        <v>8</v>
      </c>
      <c r="D184" s="20">
        <v>45895</v>
      </c>
      <c r="E184">
        <v>387.5</v>
      </c>
      <c r="F184">
        <v>1028.75</v>
      </c>
      <c r="G184">
        <v>297.2</v>
      </c>
      <c r="H184">
        <v>509.5</v>
      </c>
      <c r="I184">
        <v>52.76</v>
      </c>
      <c r="J184">
        <v>5.4306999999999999</v>
      </c>
    </row>
    <row r="185" spans="2:10" x14ac:dyDescent="0.3">
      <c r="B185" s="10">
        <f t="shared" si="4"/>
        <v>2025</v>
      </c>
      <c r="C185" s="10">
        <f t="shared" si="5"/>
        <v>8</v>
      </c>
      <c r="D185" s="20">
        <v>45894</v>
      </c>
      <c r="E185">
        <v>389.25</v>
      </c>
      <c r="F185">
        <v>1025.5</v>
      </c>
      <c r="G185">
        <v>295.7</v>
      </c>
      <c r="H185">
        <v>506.75</v>
      </c>
      <c r="I185">
        <v>54.31</v>
      </c>
      <c r="J185">
        <v>5.4116</v>
      </c>
    </row>
    <row r="186" spans="2:10" x14ac:dyDescent="0.3">
      <c r="B186" s="10">
        <f t="shared" si="4"/>
        <v>2025</v>
      </c>
      <c r="C186" s="10">
        <f t="shared" si="5"/>
        <v>8</v>
      </c>
      <c r="D186" s="20">
        <v>45891</v>
      </c>
      <c r="E186">
        <v>388.25</v>
      </c>
      <c r="F186">
        <v>1036.5</v>
      </c>
      <c r="G186">
        <v>296.7</v>
      </c>
      <c r="H186">
        <v>504.75</v>
      </c>
      <c r="I186">
        <v>54.84</v>
      </c>
      <c r="J186">
        <v>5.4217000000000004</v>
      </c>
    </row>
    <row r="187" spans="2:10" x14ac:dyDescent="0.3">
      <c r="B187" s="10">
        <f t="shared" si="4"/>
        <v>2025</v>
      </c>
      <c r="C187" s="10">
        <f t="shared" si="5"/>
        <v>8</v>
      </c>
      <c r="D187" s="20">
        <v>45890</v>
      </c>
      <c r="E187">
        <v>387.25</v>
      </c>
      <c r="F187">
        <v>1034.5</v>
      </c>
      <c r="G187">
        <v>296.8</v>
      </c>
      <c r="H187">
        <v>507</v>
      </c>
      <c r="I187">
        <v>53.64</v>
      </c>
      <c r="J187">
        <v>5.4706999999999999</v>
      </c>
    </row>
    <row r="188" spans="2:10" x14ac:dyDescent="0.3">
      <c r="B188" s="10">
        <f t="shared" si="4"/>
        <v>2025</v>
      </c>
      <c r="C188" s="10">
        <f t="shared" si="5"/>
        <v>8</v>
      </c>
      <c r="D188" s="20">
        <v>45889</v>
      </c>
      <c r="E188">
        <v>380</v>
      </c>
      <c r="F188">
        <v>1015</v>
      </c>
      <c r="G188">
        <v>292</v>
      </c>
      <c r="H188">
        <v>505.5</v>
      </c>
      <c r="I188">
        <v>51.2</v>
      </c>
      <c r="J188">
        <v>5.4824000000000002</v>
      </c>
    </row>
    <row r="189" spans="2:10" x14ac:dyDescent="0.3">
      <c r="B189" s="10">
        <f t="shared" si="4"/>
        <v>2025</v>
      </c>
      <c r="C189" s="10">
        <f t="shared" si="5"/>
        <v>8</v>
      </c>
      <c r="D189" s="20">
        <v>45888</v>
      </c>
      <c r="E189">
        <v>379.5</v>
      </c>
      <c r="F189">
        <v>1013</v>
      </c>
      <c r="G189">
        <v>287.39999999999998</v>
      </c>
      <c r="H189">
        <v>498.5</v>
      </c>
      <c r="I189">
        <v>51.68</v>
      </c>
      <c r="J189">
        <v>5.5035999999999996</v>
      </c>
    </row>
    <row r="190" spans="2:10" x14ac:dyDescent="0.3">
      <c r="B190" s="10">
        <f t="shared" si="4"/>
        <v>2025</v>
      </c>
      <c r="C190" s="10">
        <f t="shared" si="5"/>
        <v>8</v>
      </c>
      <c r="D190" s="20">
        <v>45887</v>
      </c>
      <c r="E190">
        <v>383</v>
      </c>
      <c r="F190">
        <v>1020.75</v>
      </c>
      <c r="G190">
        <v>280.39999999999998</v>
      </c>
      <c r="H190">
        <v>502.75</v>
      </c>
      <c r="I190">
        <v>53.27</v>
      </c>
      <c r="J190">
        <v>5.4363000000000001</v>
      </c>
    </row>
    <row r="191" spans="2:10" x14ac:dyDescent="0.3">
      <c r="B191" s="10">
        <f t="shared" si="4"/>
        <v>2025</v>
      </c>
      <c r="C191" s="10">
        <f t="shared" si="5"/>
        <v>8</v>
      </c>
      <c r="D191" s="20">
        <v>45884</v>
      </c>
      <c r="E191">
        <v>383.75</v>
      </c>
      <c r="F191">
        <v>1022.25</v>
      </c>
      <c r="G191">
        <v>283.39999999999998</v>
      </c>
      <c r="H191">
        <v>506.5</v>
      </c>
      <c r="I191">
        <v>53.18</v>
      </c>
      <c r="J191">
        <v>5.4005000000000001</v>
      </c>
    </row>
    <row r="192" spans="2:10" x14ac:dyDescent="0.3">
      <c r="B192" s="10">
        <f t="shared" si="4"/>
        <v>2025</v>
      </c>
      <c r="C192" s="10">
        <f t="shared" si="5"/>
        <v>8</v>
      </c>
      <c r="D192" s="20">
        <v>45883</v>
      </c>
      <c r="E192">
        <v>375</v>
      </c>
      <c r="F192">
        <v>1008.5</v>
      </c>
      <c r="G192">
        <v>282.10000000000002</v>
      </c>
      <c r="H192">
        <v>503.5</v>
      </c>
      <c r="I192">
        <v>51.99</v>
      </c>
      <c r="J192">
        <v>5.4154999999999998</v>
      </c>
    </row>
    <row r="193" spans="2:10" x14ac:dyDescent="0.3">
      <c r="B193" s="10">
        <f t="shared" si="4"/>
        <v>2025</v>
      </c>
      <c r="C193" s="10">
        <f t="shared" si="5"/>
        <v>8</v>
      </c>
      <c r="D193" s="20">
        <v>45882</v>
      </c>
      <c r="E193">
        <v>374</v>
      </c>
      <c r="F193">
        <v>1023.5</v>
      </c>
      <c r="G193">
        <v>284.10000000000002</v>
      </c>
      <c r="H193">
        <v>507.25</v>
      </c>
      <c r="I193">
        <v>53.35</v>
      </c>
      <c r="J193">
        <v>5.3986000000000001</v>
      </c>
    </row>
    <row r="194" spans="2:10" x14ac:dyDescent="0.3">
      <c r="B194" s="10">
        <f t="shared" si="4"/>
        <v>2025</v>
      </c>
      <c r="C194" s="10">
        <f t="shared" si="5"/>
        <v>8</v>
      </c>
      <c r="D194" s="20">
        <v>45881</v>
      </c>
      <c r="E194">
        <v>371.5</v>
      </c>
      <c r="F194">
        <v>1011.75</v>
      </c>
      <c r="G194">
        <v>278.39999999999998</v>
      </c>
      <c r="H194">
        <v>505</v>
      </c>
      <c r="I194">
        <v>53.3</v>
      </c>
      <c r="J194">
        <v>5.3890000000000002</v>
      </c>
    </row>
    <row r="195" spans="2:10" x14ac:dyDescent="0.3">
      <c r="B195" s="10">
        <f t="shared" si="4"/>
        <v>2025</v>
      </c>
      <c r="C195" s="10">
        <f t="shared" si="5"/>
        <v>8</v>
      </c>
      <c r="D195" s="20">
        <v>45880</v>
      </c>
      <c r="E195">
        <v>385</v>
      </c>
      <c r="F195">
        <v>989.5</v>
      </c>
      <c r="G195">
        <v>277.7</v>
      </c>
      <c r="H195">
        <v>515</v>
      </c>
      <c r="I195">
        <v>53.29</v>
      </c>
      <c r="J195">
        <v>5.4419000000000004</v>
      </c>
    </row>
    <row r="196" spans="2:10" x14ac:dyDescent="0.3">
      <c r="B196" s="10">
        <f t="shared" si="4"/>
        <v>2025</v>
      </c>
      <c r="C196" s="10">
        <f t="shared" si="5"/>
        <v>8</v>
      </c>
      <c r="D196" s="20">
        <v>45877</v>
      </c>
      <c r="E196">
        <v>382.75</v>
      </c>
      <c r="F196">
        <v>966.75</v>
      </c>
      <c r="G196">
        <v>273.39999999999998</v>
      </c>
      <c r="H196">
        <v>514.5</v>
      </c>
      <c r="I196">
        <v>52.76</v>
      </c>
      <c r="J196">
        <v>5.4333</v>
      </c>
    </row>
    <row r="197" spans="2:10" x14ac:dyDescent="0.3">
      <c r="B197" s="10">
        <f t="shared" si="4"/>
        <v>2025</v>
      </c>
      <c r="C197" s="10">
        <f t="shared" si="5"/>
        <v>8</v>
      </c>
      <c r="D197" s="20">
        <v>45876</v>
      </c>
      <c r="E197">
        <v>384.5</v>
      </c>
      <c r="F197">
        <v>971.75</v>
      </c>
      <c r="G197">
        <v>272.7</v>
      </c>
      <c r="H197">
        <v>518.25</v>
      </c>
      <c r="I197">
        <v>53.54</v>
      </c>
      <c r="J197">
        <v>5.4230999999999998</v>
      </c>
    </row>
    <row r="198" spans="2:10" x14ac:dyDescent="0.3">
      <c r="B198" s="10">
        <f t="shared" ref="B198:B261" si="6">YEAR(D198)</f>
        <v>2025</v>
      </c>
      <c r="C198" s="10">
        <f t="shared" ref="C198:C261" si="7">MONTH(D198)</f>
        <v>8</v>
      </c>
      <c r="D198" s="20">
        <v>45875</v>
      </c>
      <c r="E198">
        <v>379.75</v>
      </c>
      <c r="F198">
        <v>961.5</v>
      </c>
      <c r="G198">
        <v>269.39999999999998</v>
      </c>
      <c r="H198">
        <v>508.5</v>
      </c>
      <c r="I198">
        <v>53.79</v>
      </c>
      <c r="J198">
        <v>5.4625000000000004</v>
      </c>
    </row>
    <row r="199" spans="2:10" x14ac:dyDescent="0.3">
      <c r="B199" s="10">
        <f t="shared" si="6"/>
        <v>2025</v>
      </c>
      <c r="C199" s="10">
        <f t="shared" si="7"/>
        <v>8</v>
      </c>
      <c r="D199" s="20">
        <v>45874</v>
      </c>
      <c r="E199">
        <v>381.5</v>
      </c>
      <c r="F199">
        <v>969</v>
      </c>
      <c r="G199">
        <v>273.60000000000002</v>
      </c>
      <c r="H199">
        <v>508.25</v>
      </c>
      <c r="I199">
        <v>53.84</v>
      </c>
      <c r="J199">
        <v>5.5069999999999997</v>
      </c>
    </row>
    <row r="200" spans="2:10" x14ac:dyDescent="0.3">
      <c r="B200" s="10">
        <f t="shared" si="6"/>
        <v>2025</v>
      </c>
      <c r="C200" s="10">
        <f t="shared" si="7"/>
        <v>8</v>
      </c>
      <c r="D200" s="20">
        <v>45873</v>
      </c>
      <c r="E200">
        <v>387</v>
      </c>
      <c r="F200">
        <v>969</v>
      </c>
      <c r="G200">
        <v>273.8</v>
      </c>
      <c r="H200">
        <v>516.75</v>
      </c>
      <c r="I200">
        <v>54.5</v>
      </c>
      <c r="J200">
        <v>5.4980000000000002</v>
      </c>
    </row>
    <row r="201" spans="2:10" x14ac:dyDescent="0.3">
      <c r="B201" s="10">
        <f t="shared" si="6"/>
        <v>2025</v>
      </c>
      <c r="C201" s="10">
        <f t="shared" si="7"/>
        <v>8</v>
      </c>
      <c r="D201" s="20">
        <v>45870</v>
      </c>
      <c r="E201">
        <v>389.5</v>
      </c>
      <c r="F201">
        <v>961.75</v>
      </c>
      <c r="G201">
        <v>267.5</v>
      </c>
      <c r="H201">
        <v>516.75</v>
      </c>
      <c r="I201">
        <v>54.72</v>
      </c>
      <c r="J201">
        <v>5.5412999999999997</v>
      </c>
    </row>
    <row r="202" spans="2:10" x14ac:dyDescent="0.3">
      <c r="B202" s="10">
        <f t="shared" si="6"/>
        <v>2025</v>
      </c>
      <c r="C202" s="10">
        <f t="shared" si="7"/>
        <v>7</v>
      </c>
      <c r="D202" s="20">
        <v>45869</v>
      </c>
      <c r="E202">
        <v>394</v>
      </c>
      <c r="F202">
        <v>961.75</v>
      </c>
      <c r="G202">
        <v>261.8</v>
      </c>
      <c r="H202">
        <v>523.25</v>
      </c>
      <c r="I202">
        <v>55.58</v>
      </c>
      <c r="J202">
        <v>5.6007999999999996</v>
      </c>
    </row>
    <row r="203" spans="2:10" x14ac:dyDescent="0.3">
      <c r="B203" s="10">
        <f t="shared" si="6"/>
        <v>2025</v>
      </c>
      <c r="C203" s="10">
        <f t="shared" si="7"/>
        <v>7</v>
      </c>
      <c r="D203" s="20">
        <v>45868</v>
      </c>
      <c r="E203">
        <v>391.75</v>
      </c>
      <c r="F203">
        <v>967.75</v>
      </c>
      <c r="G203">
        <v>260.7</v>
      </c>
      <c r="H203">
        <v>523.75</v>
      </c>
      <c r="I203">
        <v>56.5</v>
      </c>
      <c r="J203">
        <v>5.5690999999999997</v>
      </c>
    </row>
    <row r="204" spans="2:10" x14ac:dyDescent="0.3">
      <c r="B204" s="10">
        <f t="shared" si="6"/>
        <v>2025</v>
      </c>
      <c r="C204" s="10">
        <f t="shared" si="7"/>
        <v>7</v>
      </c>
      <c r="D204" s="20">
        <v>45867</v>
      </c>
      <c r="E204">
        <v>389.25</v>
      </c>
      <c r="F204">
        <v>981.75</v>
      </c>
      <c r="G204">
        <v>261.7</v>
      </c>
      <c r="H204">
        <v>529.75</v>
      </c>
      <c r="I204">
        <v>57.54</v>
      </c>
      <c r="J204">
        <v>5.5742000000000003</v>
      </c>
    </row>
    <row r="205" spans="2:10" x14ac:dyDescent="0.3">
      <c r="B205" s="10">
        <f t="shared" si="6"/>
        <v>2025</v>
      </c>
      <c r="C205" s="10">
        <f t="shared" si="7"/>
        <v>7</v>
      </c>
      <c r="D205" s="20">
        <v>45866</v>
      </c>
      <c r="E205">
        <v>393.75</v>
      </c>
      <c r="F205">
        <v>988.75</v>
      </c>
      <c r="G205">
        <v>264.89999999999998</v>
      </c>
      <c r="H205">
        <v>538.5</v>
      </c>
      <c r="I205">
        <v>56.55</v>
      </c>
      <c r="J205">
        <v>5.5883000000000003</v>
      </c>
    </row>
    <row r="206" spans="2:10" x14ac:dyDescent="0.3">
      <c r="B206" s="10">
        <f t="shared" si="6"/>
        <v>2025</v>
      </c>
      <c r="C206" s="10">
        <f t="shared" si="7"/>
        <v>7</v>
      </c>
      <c r="D206" s="20">
        <v>45863</v>
      </c>
      <c r="E206">
        <v>399.5</v>
      </c>
      <c r="F206">
        <v>998.75</v>
      </c>
      <c r="G206">
        <v>267.8</v>
      </c>
      <c r="H206">
        <v>538.25</v>
      </c>
      <c r="I206">
        <v>56.49</v>
      </c>
      <c r="J206">
        <v>5.5628000000000002</v>
      </c>
    </row>
    <row r="207" spans="2:10" x14ac:dyDescent="0.3">
      <c r="B207" s="10">
        <f t="shared" si="6"/>
        <v>2025</v>
      </c>
      <c r="C207" s="10">
        <f t="shared" si="7"/>
        <v>7</v>
      </c>
      <c r="D207" s="20">
        <v>45862</v>
      </c>
      <c r="E207">
        <v>401.75</v>
      </c>
      <c r="F207">
        <v>1004.25</v>
      </c>
      <c r="G207">
        <v>269.7</v>
      </c>
      <c r="H207">
        <v>541.5</v>
      </c>
      <c r="I207">
        <v>56.67</v>
      </c>
      <c r="J207">
        <v>5.5209999999999999</v>
      </c>
    </row>
    <row r="208" spans="2:10" x14ac:dyDescent="0.3">
      <c r="B208" s="10">
        <f t="shared" si="6"/>
        <v>2025</v>
      </c>
      <c r="C208" s="10">
        <f t="shared" si="7"/>
        <v>7</v>
      </c>
      <c r="D208" s="20">
        <v>45861</v>
      </c>
      <c r="E208">
        <v>398.5</v>
      </c>
      <c r="F208">
        <v>1005.75</v>
      </c>
      <c r="G208">
        <v>272</v>
      </c>
      <c r="H208">
        <v>540.5</v>
      </c>
      <c r="I208">
        <v>56.14</v>
      </c>
      <c r="J208">
        <v>5.5198999999999998</v>
      </c>
    </row>
    <row r="209" spans="2:10" x14ac:dyDescent="0.3">
      <c r="B209" s="10">
        <f t="shared" si="6"/>
        <v>2025</v>
      </c>
      <c r="C209" s="10">
        <f t="shared" si="7"/>
        <v>7</v>
      </c>
      <c r="D209" s="20">
        <v>45860</v>
      </c>
      <c r="E209">
        <v>399.25</v>
      </c>
      <c r="F209">
        <v>1010.25</v>
      </c>
      <c r="G209">
        <v>273.8</v>
      </c>
      <c r="H209">
        <v>549.5</v>
      </c>
      <c r="I209">
        <v>55.63</v>
      </c>
      <c r="J209">
        <v>5.5648999999999997</v>
      </c>
    </row>
    <row r="210" spans="2:10" x14ac:dyDescent="0.3">
      <c r="B210" s="10">
        <f t="shared" si="6"/>
        <v>2025</v>
      </c>
      <c r="C210" s="10">
        <f t="shared" si="7"/>
        <v>7</v>
      </c>
      <c r="D210" s="20">
        <v>45859</v>
      </c>
      <c r="E210">
        <v>403.75</v>
      </c>
      <c r="F210">
        <v>1015</v>
      </c>
      <c r="G210">
        <v>270.5</v>
      </c>
      <c r="H210">
        <v>542.25</v>
      </c>
      <c r="I210">
        <v>56.07</v>
      </c>
      <c r="J210">
        <v>5.5666000000000002</v>
      </c>
    </row>
    <row r="211" spans="2:10" x14ac:dyDescent="0.3">
      <c r="B211" s="10">
        <f t="shared" si="6"/>
        <v>2025</v>
      </c>
      <c r="C211" s="10">
        <f t="shared" si="7"/>
        <v>7</v>
      </c>
      <c r="D211" s="20">
        <v>45856</v>
      </c>
      <c r="E211">
        <v>408.5</v>
      </c>
      <c r="F211">
        <v>1027.75</v>
      </c>
      <c r="G211">
        <v>274</v>
      </c>
      <c r="H211">
        <v>546.25</v>
      </c>
      <c r="I211">
        <v>55.82</v>
      </c>
      <c r="J211">
        <v>5.5785</v>
      </c>
    </row>
    <row r="212" spans="2:10" x14ac:dyDescent="0.3">
      <c r="B212" s="10">
        <f t="shared" si="6"/>
        <v>2025</v>
      </c>
      <c r="C212" s="10">
        <f t="shared" si="7"/>
        <v>7</v>
      </c>
      <c r="D212" s="20">
        <v>45855</v>
      </c>
      <c r="E212">
        <v>402</v>
      </c>
      <c r="F212">
        <v>1021.5</v>
      </c>
      <c r="G212">
        <v>268.7</v>
      </c>
      <c r="H212">
        <v>533.5</v>
      </c>
      <c r="I212">
        <v>56.22</v>
      </c>
      <c r="J212">
        <v>5.5435999999999996</v>
      </c>
    </row>
    <row r="213" spans="2:10" x14ac:dyDescent="0.3">
      <c r="B213" s="10">
        <f t="shared" si="6"/>
        <v>2025</v>
      </c>
      <c r="C213" s="10">
        <f t="shared" si="7"/>
        <v>7</v>
      </c>
      <c r="D213" s="20">
        <v>45854</v>
      </c>
      <c r="E213">
        <v>405.25</v>
      </c>
      <c r="F213">
        <v>1013.5</v>
      </c>
      <c r="G213">
        <v>268.39999999999998</v>
      </c>
      <c r="H213">
        <v>541.25</v>
      </c>
      <c r="I213">
        <v>54.82</v>
      </c>
      <c r="J213">
        <v>5.5682999999999998</v>
      </c>
    </row>
    <row r="214" spans="2:10" x14ac:dyDescent="0.3">
      <c r="B214" s="10">
        <f t="shared" si="6"/>
        <v>2025</v>
      </c>
      <c r="C214" s="10">
        <f t="shared" si="7"/>
        <v>7</v>
      </c>
      <c r="D214" s="20">
        <v>45853</v>
      </c>
      <c r="E214">
        <v>401.25</v>
      </c>
      <c r="F214">
        <v>995</v>
      </c>
      <c r="G214">
        <v>265.3</v>
      </c>
      <c r="H214">
        <v>538</v>
      </c>
      <c r="I214">
        <v>54.56</v>
      </c>
      <c r="J214">
        <v>5.5566000000000004</v>
      </c>
    </row>
    <row r="215" spans="2:10" x14ac:dyDescent="0.3">
      <c r="B215" s="10">
        <f t="shared" si="6"/>
        <v>2025</v>
      </c>
      <c r="C215" s="10">
        <f t="shared" si="7"/>
        <v>7</v>
      </c>
      <c r="D215" s="20">
        <v>45852</v>
      </c>
      <c r="E215">
        <v>412.75</v>
      </c>
      <c r="F215">
        <v>997</v>
      </c>
      <c r="G215">
        <v>265.2</v>
      </c>
      <c r="H215">
        <v>534</v>
      </c>
      <c r="I215">
        <v>54.41</v>
      </c>
      <c r="J215">
        <v>5.5888</v>
      </c>
    </row>
    <row r="216" spans="2:10" x14ac:dyDescent="0.3">
      <c r="B216" s="10">
        <f t="shared" si="6"/>
        <v>2025</v>
      </c>
      <c r="C216" s="10">
        <f t="shared" si="7"/>
        <v>7</v>
      </c>
      <c r="D216" s="20">
        <v>45849</v>
      </c>
      <c r="E216">
        <v>403</v>
      </c>
      <c r="F216">
        <v>1004</v>
      </c>
      <c r="G216">
        <v>267.60000000000002</v>
      </c>
      <c r="H216">
        <v>540.75</v>
      </c>
      <c r="I216">
        <v>54.41</v>
      </c>
      <c r="J216">
        <v>5.5583999999999998</v>
      </c>
    </row>
    <row r="217" spans="2:10" x14ac:dyDescent="0.3">
      <c r="B217" s="10">
        <f t="shared" si="6"/>
        <v>2025</v>
      </c>
      <c r="C217" s="10">
        <f t="shared" si="7"/>
        <v>7</v>
      </c>
      <c r="D217" s="20">
        <v>45848</v>
      </c>
      <c r="E217">
        <v>407.25</v>
      </c>
      <c r="F217">
        <v>1012.5</v>
      </c>
      <c r="G217">
        <v>268.5</v>
      </c>
      <c r="H217">
        <v>550.25</v>
      </c>
      <c r="I217">
        <v>53.67</v>
      </c>
      <c r="J217">
        <v>5.5312999999999999</v>
      </c>
    </row>
    <row r="218" spans="2:10" x14ac:dyDescent="0.3">
      <c r="B218" s="10">
        <f t="shared" si="6"/>
        <v>2025</v>
      </c>
      <c r="C218" s="10">
        <f t="shared" si="7"/>
        <v>7</v>
      </c>
      <c r="D218" s="20">
        <v>45847</v>
      </c>
      <c r="E218">
        <v>412.5</v>
      </c>
      <c r="F218">
        <v>1012.25</v>
      </c>
      <c r="G218">
        <v>266.10000000000002</v>
      </c>
      <c r="H218">
        <v>542.75</v>
      </c>
      <c r="I218">
        <v>53.35</v>
      </c>
      <c r="J218">
        <v>5.5757000000000003</v>
      </c>
    </row>
    <row r="219" spans="2:10" x14ac:dyDescent="0.3">
      <c r="B219" s="10">
        <f t="shared" si="6"/>
        <v>2025</v>
      </c>
      <c r="C219" s="10">
        <f t="shared" si="7"/>
        <v>7</v>
      </c>
      <c r="D219" s="20">
        <v>45846</v>
      </c>
      <c r="E219">
        <v>411</v>
      </c>
      <c r="F219">
        <v>1024.25</v>
      </c>
      <c r="G219">
        <v>267.2</v>
      </c>
      <c r="H219">
        <v>543</v>
      </c>
      <c r="I219">
        <v>54.11</v>
      </c>
      <c r="J219">
        <v>5.4466000000000001</v>
      </c>
    </row>
    <row r="220" spans="2:10" x14ac:dyDescent="0.3">
      <c r="B220" s="10">
        <f t="shared" si="6"/>
        <v>2025</v>
      </c>
      <c r="C220" s="10">
        <f t="shared" si="7"/>
        <v>7</v>
      </c>
      <c r="D220" s="20">
        <v>45845</v>
      </c>
      <c r="E220">
        <v>418</v>
      </c>
      <c r="F220">
        <v>1031.75</v>
      </c>
      <c r="G220">
        <v>268.5</v>
      </c>
      <c r="H220">
        <v>539.75</v>
      </c>
      <c r="I220">
        <v>54.07</v>
      </c>
      <c r="J220">
        <v>5.4871999999999996</v>
      </c>
    </row>
    <row r="221" spans="2:10" x14ac:dyDescent="0.3">
      <c r="B221" s="10">
        <f t="shared" si="6"/>
        <v>2025</v>
      </c>
      <c r="C221" s="10">
        <f t="shared" si="7"/>
        <v>7</v>
      </c>
      <c r="D221" s="20">
        <v>45842</v>
      </c>
      <c r="J221">
        <v>5.4207000000000001</v>
      </c>
    </row>
    <row r="222" spans="2:10" x14ac:dyDescent="0.3">
      <c r="B222" s="10">
        <f t="shared" si="6"/>
        <v>2025</v>
      </c>
      <c r="C222" s="10">
        <f t="shared" si="7"/>
        <v>7</v>
      </c>
      <c r="D222" s="20">
        <v>45841</v>
      </c>
      <c r="E222">
        <v>431.5</v>
      </c>
      <c r="F222">
        <v>1056.25</v>
      </c>
      <c r="G222">
        <v>273.8</v>
      </c>
      <c r="H222">
        <v>547.75</v>
      </c>
      <c r="I222">
        <v>54.7</v>
      </c>
      <c r="J222">
        <v>5.4081999999999999</v>
      </c>
    </row>
    <row r="223" spans="2:10" x14ac:dyDescent="0.3">
      <c r="B223" s="10">
        <f t="shared" si="6"/>
        <v>2025</v>
      </c>
      <c r="C223" s="10">
        <f t="shared" si="7"/>
        <v>7</v>
      </c>
      <c r="D223" s="20">
        <v>45840</v>
      </c>
      <c r="E223">
        <v>429.25</v>
      </c>
      <c r="F223">
        <v>1050.5</v>
      </c>
      <c r="G223">
        <v>272.39999999999998</v>
      </c>
      <c r="H223">
        <v>556</v>
      </c>
      <c r="I223">
        <v>55.06</v>
      </c>
      <c r="J223">
        <v>5.4234999999999998</v>
      </c>
    </row>
    <row r="224" spans="2:10" x14ac:dyDescent="0.3">
      <c r="B224" s="10">
        <f t="shared" si="6"/>
        <v>2025</v>
      </c>
      <c r="C224" s="10">
        <f t="shared" si="7"/>
        <v>7</v>
      </c>
      <c r="D224" s="20">
        <v>45839</v>
      </c>
      <c r="E224">
        <v>420</v>
      </c>
      <c r="F224">
        <v>1024.75</v>
      </c>
      <c r="G224">
        <v>269.2</v>
      </c>
      <c r="H224">
        <v>537.25</v>
      </c>
      <c r="I224">
        <v>53.76</v>
      </c>
      <c r="J224">
        <v>5.4580000000000002</v>
      </c>
    </row>
    <row r="225" spans="2:10" x14ac:dyDescent="0.3">
      <c r="B225" s="10">
        <f t="shared" si="6"/>
        <v>2025</v>
      </c>
      <c r="C225" s="10">
        <f t="shared" si="7"/>
        <v>6</v>
      </c>
      <c r="D225" s="20">
        <v>45838</v>
      </c>
      <c r="E225">
        <v>420.5</v>
      </c>
      <c r="F225">
        <v>1024.25</v>
      </c>
      <c r="G225">
        <v>271.3</v>
      </c>
      <c r="H225">
        <v>528.75</v>
      </c>
      <c r="I225">
        <v>52.51</v>
      </c>
      <c r="J225">
        <v>5.4321000000000002</v>
      </c>
    </row>
    <row r="226" spans="2:10" x14ac:dyDescent="0.3">
      <c r="B226" s="10">
        <f t="shared" si="6"/>
        <v>2025</v>
      </c>
      <c r="C226" s="10">
        <f t="shared" si="7"/>
        <v>6</v>
      </c>
      <c r="D226" s="20">
        <v>45835</v>
      </c>
      <c r="E226">
        <v>417.5</v>
      </c>
      <c r="F226">
        <v>1027.75</v>
      </c>
      <c r="G226">
        <v>271.10000000000002</v>
      </c>
      <c r="H226">
        <v>524.75</v>
      </c>
      <c r="I226">
        <v>52.45</v>
      </c>
      <c r="J226">
        <v>5.4846000000000004</v>
      </c>
    </row>
    <row r="227" spans="2:10" x14ac:dyDescent="0.3">
      <c r="B227" s="10">
        <f t="shared" si="6"/>
        <v>2025</v>
      </c>
      <c r="C227" s="10">
        <f t="shared" si="7"/>
        <v>6</v>
      </c>
      <c r="D227" s="20">
        <v>45834</v>
      </c>
      <c r="E227">
        <v>409.5</v>
      </c>
      <c r="F227">
        <v>1022.75</v>
      </c>
      <c r="G227">
        <v>270.89999999999998</v>
      </c>
      <c r="H227">
        <v>521</v>
      </c>
      <c r="I227">
        <v>52.52</v>
      </c>
      <c r="J227">
        <v>5.4885000000000002</v>
      </c>
    </row>
    <row r="228" spans="2:10" x14ac:dyDescent="0.3">
      <c r="B228" s="10">
        <f t="shared" si="6"/>
        <v>2025</v>
      </c>
      <c r="C228" s="10">
        <f t="shared" si="7"/>
        <v>6</v>
      </c>
      <c r="D228" s="20">
        <v>45833</v>
      </c>
      <c r="E228">
        <v>410.25</v>
      </c>
      <c r="F228">
        <v>1025.25</v>
      </c>
      <c r="G228">
        <v>276</v>
      </c>
      <c r="H228">
        <v>528.25</v>
      </c>
      <c r="I228">
        <v>51.82</v>
      </c>
      <c r="J228">
        <v>5.5629</v>
      </c>
    </row>
    <row r="229" spans="2:10" x14ac:dyDescent="0.3">
      <c r="B229" s="10">
        <f t="shared" si="6"/>
        <v>2025</v>
      </c>
      <c r="C229" s="10">
        <f t="shared" si="7"/>
        <v>6</v>
      </c>
      <c r="D229" s="20">
        <v>45832</v>
      </c>
      <c r="E229">
        <v>416.25</v>
      </c>
      <c r="F229">
        <v>1046.75</v>
      </c>
      <c r="G229">
        <v>280.5</v>
      </c>
      <c r="H229">
        <v>535.75</v>
      </c>
      <c r="I229">
        <v>52.17</v>
      </c>
      <c r="J229">
        <v>5.5106000000000002</v>
      </c>
    </row>
    <row r="230" spans="2:10" x14ac:dyDescent="0.3">
      <c r="B230" s="10">
        <f t="shared" si="6"/>
        <v>2025</v>
      </c>
      <c r="C230" s="10">
        <f t="shared" si="7"/>
        <v>6</v>
      </c>
      <c r="D230" s="20">
        <v>45831</v>
      </c>
      <c r="E230">
        <v>419.25</v>
      </c>
      <c r="F230">
        <v>1058.75</v>
      </c>
      <c r="G230">
        <v>282.39999999999998</v>
      </c>
      <c r="H230">
        <v>552.75</v>
      </c>
      <c r="I230">
        <v>53.24</v>
      </c>
      <c r="J230">
        <v>5.4957000000000003</v>
      </c>
    </row>
    <row r="231" spans="2:10" x14ac:dyDescent="0.3">
      <c r="B231" s="10">
        <f t="shared" si="6"/>
        <v>2025</v>
      </c>
      <c r="C231" s="10">
        <f t="shared" si="7"/>
        <v>6</v>
      </c>
      <c r="D231" s="20">
        <v>45828</v>
      </c>
      <c r="E231">
        <v>428.75</v>
      </c>
      <c r="F231">
        <v>1068</v>
      </c>
      <c r="G231">
        <v>284.10000000000002</v>
      </c>
      <c r="H231">
        <v>567.75</v>
      </c>
      <c r="I231">
        <v>54.47</v>
      </c>
      <c r="J231">
        <v>5.5126999999999997</v>
      </c>
    </row>
    <row r="232" spans="2:10" x14ac:dyDescent="0.3">
      <c r="B232" s="10">
        <f t="shared" si="6"/>
        <v>2025</v>
      </c>
      <c r="C232" s="10">
        <f t="shared" si="7"/>
        <v>6</v>
      </c>
      <c r="D232" s="20">
        <v>45827</v>
      </c>
      <c r="J232">
        <v>5.4909999999999997</v>
      </c>
    </row>
    <row r="233" spans="2:10" x14ac:dyDescent="0.3">
      <c r="B233" s="10">
        <f t="shared" si="6"/>
        <v>2025</v>
      </c>
      <c r="C233" s="10">
        <f t="shared" si="7"/>
        <v>6</v>
      </c>
      <c r="D233" s="20">
        <v>45826</v>
      </c>
      <c r="E233">
        <v>433.5</v>
      </c>
      <c r="F233">
        <v>1074.75</v>
      </c>
      <c r="G233">
        <v>284.89999999999998</v>
      </c>
      <c r="H233">
        <v>574.25</v>
      </c>
      <c r="I233">
        <v>54.77</v>
      </c>
      <c r="J233">
        <v>5.4908999999999999</v>
      </c>
    </row>
    <row r="234" spans="2:10" x14ac:dyDescent="0.3">
      <c r="B234" s="10">
        <f t="shared" si="6"/>
        <v>2025</v>
      </c>
      <c r="C234" s="10">
        <f t="shared" si="7"/>
        <v>6</v>
      </c>
      <c r="D234" s="20">
        <v>45825</v>
      </c>
      <c r="E234">
        <v>431.5</v>
      </c>
      <c r="F234">
        <v>1074</v>
      </c>
      <c r="G234">
        <v>285.10000000000002</v>
      </c>
      <c r="H234">
        <v>549</v>
      </c>
      <c r="I234">
        <v>54.79</v>
      </c>
      <c r="J234">
        <v>5.4992000000000001</v>
      </c>
    </row>
    <row r="235" spans="2:10" x14ac:dyDescent="0.3">
      <c r="B235" s="10">
        <f t="shared" si="6"/>
        <v>2025</v>
      </c>
      <c r="C235" s="10">
        <f t="shared" si="7"/>
        <v>6</v>
      </c>
      <c r="D235" s="20">
        <v>45824</v>
      </c>
      <c r="E235">
        <v>434.75</v>
      </c>
      <c r="F235">
        <v>1069.75</v>
      </c>
      <c r="G235">
        <v>283.7</v>
      </c>
      <c r="H235">
        <v>536.5</v>
      </c>
      <c r="I235">
        <v>55.11</v>
      </c>
      <c r="J235">
        <v>5.4912000000000001</v>
      </c>
    </row>
    <row r="236" spans="2:10" x14ac:dyDescent="0.3">
      <c r="B236" s="10">
        <f t="shared" si="6"/>
        <v>2025</v>
      </c>
      <c r="C236" s="10">
        <f t="shared" si="7"/>
        <v>6</v>
      </c>
      <c r="D236" s="20">
        <v>45821</v>
      </c>
      <c r="E236">
        <v>444.5</v>
      </c>
      <c r="F236">
        <v>1069.75</v>
      </c>
      <c r="G236">
        <v>291.89999999999998</v>
      </c>
      <c r="H236">
        <v>543.75</v>
      </c>
      <c r="I236">
        <v>50.61</v>
      </c>
      <c r="J236">
        <v>5.5434000000000001</v>
      </c>
    </row>
    <row r="237" spans="2:10" x14ac:dyDescent="0.3">
      <c r="B237" s="10">
        <f t="shared" si="6"/>
        <v>2025</v>
      </c>
      <c r="C237" s="10">
        <f t="shared" si="7"/>
        <v>6</v>
      </c>
      <c r="D237" s="20">
        <v>45820</v>
      </c>
      <c r="E237">
        <v>438.5</v>
      </c>
      <c r="F237">
        <v>1042.25</v>
      </c>
      <c r="G237">
        <v>294.5</v>
      </c>
      <c r="H237">
        <v>526.5</v>
      </c>
      <c r="I237">
        <v>47.61</v>
      </c>
      <c r="J237">
        <v>5.5369999999999999</v>
      </c>
    </row>
    <row r="238" spans="2:10" x14ac:dyDescent="0.3">
      <c r="B238" s="10">
        <f t="shared" si="6"/>
        <v>2025</v>
      </c>
      <c r="C238" s="10">
        <f t="shared" si="7"/>
        <v>6</v>
      </c>
      <c r="D238" s="20">
        <v>45819</v>
      </c>
      <c r="E238">
        <v>437</v>
      </c>
      <c r="F238">
        <v>1050.5</v>
      </c>
      <c r="G238">
        <v>294.2</v>
      </c>
      <c r="H238">
        <v>534.25</v>
      </c>
      <c r="I238">
        <v>48.02</v>
      </c>
      <c r="J238">
        <v>5.5359999999999996</v>
      </c>
    </row>
    <row r="239" spans="2:10" x14ac:dyDescent="0.3">
      <c r="B239" s="10">
        <f t="shared" si="6"/>
        <v>2025</v>
      </c>
      <c r="C239" s="10">
        <f t="shared" si="7"/>
        <v>6</v>
      </c>
      <c r="D239" s="20">
        <v>45818</v>
      </c>
      <c r="E239">
        <v>438.75</v>
      </c>
      <c r="F239">
        <v>1057.75</v>
      </c>
      <c r="G239">
        <v>295.89999999999998</v>
      </c>
      <c r="H239">
        <v>534.5</v>
      </c>
      <c r="I239">
        <v>47.79</v>
      </c>
      <c r="J239">
        <v>5.5739000000000001</v>
      </c>
    </row>
    <row r="240" spans="2:10" x14ac:dyDescent="0.3">
      <c r="B240" s="10">
        <f t="shared" si="6"/>
        <v>2025</v>
      </c>
      <c r="C240" s="10">
        <f t="shared" si="7"/>
        <v>6</v>
      </c>
      <c r="D240" s="20">
        <v>45817</v>
      </c>
      <c r="E240">
        <v>433.5</v>
      </c>
      <c r="F240">
        <v>1056</v>
      </c>
      <c r="G240">
        <v>295.5</v>
      </c>
      <c r="H240">
        <v>542</v>
      </c>
      <c r="I240">
        <v>47.38</v>
      </c>
      <c r="J240">
        <v>5.5583999999999998</v>
      </c>
    </row>
    <row r="241" spans="2:10" x14ac:dyDescent="0.3">
      <c r="B241" s="10">
        <f t="shared" si="6"/>
        <v>2025</v>
      </c>
      <c r="C241" s="10">
        <f t="shared" si="7"/>
        <v>6</v>
      </c>
      <c r="D241" s="20">
        <v>45814</v>
      </c>
      <c r="E241">
        <v>442.5</v>
      </c>
      <c r="F241">
        <v>1057.25</v>
      </c>
      <c r="G241">
        <v>295.7</v>
      </c>
      <c r="H241">
        <v>554.75</v>
      </c>
      <c r="I241">
        <v>47.5</v>
      </c>
      <c r="J241">
        <v>5.5587</v>
      </c>
    </row>
    <row r="242" spans="2:10" x14ac:dyDescent="0.3">
      <c r="B242" s="10">
        <f t="shared" si="6"/>
        <v>2025</v>
      </c>
      <c r="C242" s="10">
        <f t="shared" si="7"/>
        <v>6</v>
      </c>
      <c r="D242" s="20">
        <v>45813</v>
      </c>
      <c r="E242">
        <v>439.5</v>
      </c>
      <c r="F242">
        <v>1051.75</v>
      </c>
      <c r="G242">
        <v>297.10000000000002</v>
      </c>
      <c r="H242">
        <v>545.5</v>
      </c>
      <c r="I242">
        <v>46.65</v>
      </c>
      <c r="J242">
        <v>5.5884999999999998</v>
      </c>
    </row>
    <row r="243" spans="2:10" x14ac:dyDescent="0.3">
      <c r="B243" s="10">
        <f t="shared" si="6"/>
        <v>2025</v>
      </c>
      <c r="C243" s="10">
        <f t="shared" si="7"/>
        <v>6</v>
      </c>
      <c r="D243" s="20">
        <v>45812</v>
      </c>
      <c r="E243">
        <v>438.75</v>
      </c>
      <c r="F243">
        <v>1045</v>
      </c>
      <c r="G243">
        <v>297.10000000000002</v>
      </c>
      <c r="H243">
        <v>543.25</v>
      </c>
      <c r="I243">
        <v>46.81</v>
      </c>
      <c r="J243">
        <v>5.6361999999999997</v>
      </c>
    </row>
    <row r="244" spans="2:10" x14ac:dyDescent="0.3">
      <c r="B244" s="10">
        <f t="shared" si="6"/>
        <v>2025</v>
      </c>
      <c r="C244" s="10">
        <f t="shared" si="7"/>
        <v>6</v>
      </c>
      <c r="D244" s="20">
        <v>45811</v>
      </c>
      <c r="E244">
        <v>438.5</v>
      </c>
      <c r="F244">
        <v>1040.75</v>
      </c>
      <c r="G244">
        <v>294.5</v>
      </c>
      <c r="H244">
        <v>536</v>
      </c>
      <c r="I244">
        <v>46.81</v>
      </c>
      <c r="J244">
        <v>5.6383000000000001</v>
      </c>
    </row>
    <row r="245" spans="2:10" x14ac:dyDescent="0.3">
      <c r="B245" s="10">
        <f t="shared" si="6"/>
        <v>2025</v>
      </c>
      <c r="C245" s="10">
        <f t="shared" si="7"/>
        <v>6</v>
      </c>
      <c r="D245" s="20">
        <v>45810</v>
      </c>
      <c r="E245">
        <v>438.25</v>
      </c>
      <c r="F245">
        <v>1033.5</v>
      </c>
      <c r="G245">
        <v>293.89999999999998</v>
      </c>
      <c r="H245">
        <v>539</v>
      </c>
      <c r="I245">
        <v>46.28</v>
      </c>
      <c r="J245">
        <v>5.6726000000000001</v>
      </c>
    </row>
    <row r="246" spans="2:10" x14ac:dyDescent="0.3">
      <c r="B246" s="10">
        <f t="shared" si="6"/>
        <v>2025</v>
      </c>
      <c r="C246" s="10">
        <f t="shared" si="7"/>
        <v>5</v>
      </c>
      <c r="D246" s="20">
        <v>45807</v>
      </c>
      <c r="E246">
        <v>444</v>
      </c>
      <c r="F246">
        <v>1041.75</v>
      </c>
      <c r="G246">
        <v>296.3</v>
      </c>
      <c r="H246">
        <v>534</v>
      </c>
      <c r="I246">
        <v>46.89</v>
      </c>
      <c r="J246">
        <v>5.7224000000000004</v>
      </c>
    </row>
    <row r="247" spans="2:10" x14ac:dyDescent="0.3">
      <c r="B247" s="10">
        <f t="shared" si="6"/>
        <v>2025</v>
      </c>
      <c r="C247" s="10">
        <f t="shared" si="7"/>
        <v>5</v>
      </c>
      <c r="D247" s="20">
        <v>45806</v>
      </c>
      <c r="E247">
        <v>447</v>
      </c>
      <c r="F247">
        <v>1051.75</v>
      </c>
      <c r="G247">
        <v>296.39999999999998</v>
      </c>
      <c r="H247">
        <v>534</v>
      </c>
      <c r="I247">
        <v>48.39</v>
      </c>
      <c r="J247">
        <v>5.6661999999999999</v>
      </c>
    </row>
    <row r="248" spans="2:10" x14ac:dyDescent="0.3">
      <c r="B248" s="10">
        <f t="shared" si="6"/>
        <v>2025</v>
      </c>
      <c r="C248" s="10">
        <f t="shared" si="7"/>
        <v>5</v>
      </c>
      <c r="D248" s="20">
        <v>45805</v>
      </c>
      <c r="E248">
        <v>451</v>
      </c>
      <c r="F248">
        <v>1048.5</v>
      </c>
      <c r="G248">
        <v>293.7</v>
      </c>
      <c r="H248">
        <v>530.25</v>
      </c>
      <c r="I248">
        <v>48.93</v>
      </c>
      <c r="J248">
        <v>5.6886999999999999</v>
      </c>
    </row>
    <row r="249" spans="2:10" x14ac:dyDescent="0.3">
      <c r="B249" s="10">
        <f t="shared" si="6"/>
        <v>2025</v>
      </c>
      <c r="C249" s="10">
        <f t="shared" si="7"/>
        <v>5</v>
      </c>
      <c r="D249" s="20">
        <v>45804</v>
      </c>
      <c r="E249">
        <v>459.5</v>
      </c>
      <c r="F249">
        <v>1062.5</v>
      </c>
      <c r="G249">
        <v>296.3</v>
      </c>
      <c r="H249">
        <v>528.5</v>
      </c>
      <c r="I249">
        <v>49.57</v>
      </c>
      <c r="J249">
        <v>5.6414</v>
      </c>
    </row>
    <row r="250" spans="2:10" x14ac:dyDescent="0.3">
      <c r="B250" s="10">
        <f t="shared" si="6"/>
        <v>2025</v>
      </c>
      <c r="C250" s="10">
        <f t="shared" si="7"/>
        <v>5</v>
      </c>
      <c r="D250" s="20">
        <v>45803</v>
      </c>
      <c r="J250">
        <v>5.6688000000000001</v>
      </c>
    </row>
    <row r="251" spans="2:10" x14ac:dyDescent="0.3">
      <c r="B251" s="10">
        <f t="shared" si="6"/>
        <v>2025</v>
      </c>
      <c r="C251" s="10">
        <f t="shared" si="7"/>
        <v>5</v>
      </c>
      <c r="D251" s="20">
        <v>45800</v>
      </c>
      <c r="E251">
        <v>459.5</v>
      </c>
      <c r="F251">
        <v>1060.25</v>
      </c>
      <c r="G251">
        <v>296.2</v>
      </c>
      <c r="H251">
        <v>542.5</v>
      </c>
      <c r="I251">
        <v>49.35</v>
      </c>
      <c r="J251">
        <v>5.6463000000000001</v>
      </c>
    </row>
    <row r="252" spans="2:10" x14ac:dyDescent="0.3">
      <c r="B252" s="10">
        <f t="shared" si="6"/>
        <v>2025</v>
      </c>
      <c r="C252" s="10">
        <f t="shared" si="7"/>
        <v>5</v>
      </c>
      <c r="D252" s="20">
        <v>45799</v>
      </c>
      <c r="E252">
        <v>463</v>
      </c>
      <c r="F252">
        <v>1067.5</v>
      </c>
      <c r="G252">
        <v>298.5</v>
      </c>
      <c r="H252">
        <v>544.5</v>
      </c>
      <c r="I252">
        <v>49.11</v>
      </c>
      <c r="J252">
        <v>5.7145000000000001</v>
      </c>
    </row>
    <row r="253" spans="2:10" x14ac:dyDescent="0.3">
      <c r="B253" s="10">
        <f t="shared" si="6"/>
        <v>2025</v>
      </c>
      <c r="C253" s="10">
        <f t="shared" si="7"/>
        <v>5</v>
      </c>
      <c r="D253" s="20">
        <v>45798</v>
      </c>
      <c r="E253">
        <v>461</v>
      </c>
      <c r="F253">
        <v>1062.75</v>
      </c>
      <c r="G253">
        <v>294.10000000000002</v>
      </c>
      <c r="H253">
        <v>549.25</v>
      </c>
      <c r="I253">
        <v>49.83</v>
      </c>
      <c r="J253">
        <v>5.6448</v>
      </c>
    </row>
    <row r="254" spans="2:10" x14ac:dyDescent="0.3">
      <c r="B254" s="10">
        <f t="shared" si="6"/>
        <v>2025</v>
      </c>
      <c r="C254" s="10">
        <f t="shared" si="7"/>
        <v>5</v>
      </c>
      <c r="D254" s="20">
        <v>45797</v>
      </c>
      <c r="E254">
        <v>454.5</v>
      </c>
      <c r="F254">
        <v>1053</v>
      </c>
      <c r="G254">
        <v>292.60000000000002</v>
      </c>
      <c r="H254">
        <v>546</v>
      </c>
      <c r="I254">
        <v>49.5</v>
      </c>
      <c r="J254">
        <v>5.6677</v>
      </c>
    </row>
    <row r="255" spans="2:10" x14ac:dyDescent="0.3">
      <c r="B255" s="10">
        <f t="shared" si="6"/>
        <v>2025</v>
      </c>
      <c r="C255" s="10">
        <f t="shared" si="7"/>
        <v>5</v>
      </c>
      <c r="D255" s="20">
        <v>45796</v>
      </c>
      <c r="E255">
        <v>447.5</v>
      </c>
      <c r="F255">
        <v>1050.75</v>
      </c>
      <c r="G255">
        <v>291.10000000000002</v>
      </c>
      <c r="H255">
        <v>529</v>
      </c>
      <c r="I255">
        <v>49.44</v>
      </c>
      <c r="J255">
        <v>5.6512000000000002</v>
      </c>
    </row>
    <row r="256" spans="2:10" x14ac:dyDescent="0.3">
      <c r="B256" s="10">
        <f t="shared" si="6"/>
        <v>2025</v>
      </c>
      <c r="C256" s="10">
        <f t="shared" si="7"/>
        <v>5</v>
      </c>
      <c r="D256" s="20">
        <v>45793</v>
      </c>
      <c r="E256">
        <v>443.5</v>
      </c>
      <c r="F256">
        <v>1050</v>
      </c>
      <c r="G256">
        <v>291.89999999999998</v>
      </c>
      <c r="H256">
        <v>525</v>
      </c>
      <c r="I256">
        <v>48.93</v>
      </c>
      <c r="J256">
        <v>5.6624999999999996</v>
      </c>
    </row>
    <row r="257" spans="2:10" x14ac:dyDescent="0.3">
      <c r="B257" s="10">
        <f t="shared" si="6"/>
        <v>2025</v>
      </c>
      <c r="C257" s="10">
        <f t="shared" si="7"/>
        <v>5</v>
      </c>
      <c r="D257" s="20">
        <v>45792</v>
      </c>
      <c r="E257">
        <v>448.5</v>
      </c>
      <c r="F257">
        <v>1051.25</v>
      </c>
      <c r="G257">
        <v>296.39999999999998</v>
      </c>
      <c r="H257">
        <v>532.75</v>
      </c>
      <c r="I257">
        <v>49.32</v>
      </c>
      <c r="J257">
        <v>5.6813000000000002</v>
      </c>
    </row>
    <row r="258" spans="2:10" x14ac:dyDescent="0.3">
      <c r="B258" s="10">
        <f t="shared" si="6"/>
        <v>2025</v>
      </c>
      <c r="C258" s="10">
        <f t="shared" si="7"/>
        <v>5</v>
      </c>
      <c r="D258" s="20">
        <v>45791</v>
      </c>
      <c r="E258">
        <v>438.5</v>
      </c>
      <c r="F258">
        <v>1067</v>
      </c>
      <c r="G258">
        <v>285.39999999999998</v>
      </c>
      <c r="H258">
        <v>508.75</v>
      </c>
      <c r="I258">
        <v>51.62</v>
      </c>
      <c r="J258">
        <v>5.6380999999999997</v>
      </c>
    </row>
    <row r="259" spans="2:10" x14ac:dyDescent="0.3">
      <c r="B259" s="10">
        <f t="shared" si="6"/>
        <v>2025</v>
      </c>
      <c r="C259" s="10">
        <f t="shared" si="7"/>
        <v>5</v>
      </c>
      <c r="D259" s="20">
        <v>45790</v>
      </c>
      <c r="E259">
        <v>436</v>
      </c>
      <c r="F259">
        <v>1067.25</v>
      </c>
      <c r="G259">
        <v>285.89999999999998</v>
      </c>
      <c r="H259">
        <v>501.5</v>
      </c>
      <c r="I259">
        <v>51.1</v>
      </c>
      <c r="J259">
        <v>5.6079999999999997</v>
      </c>
    </row>
    <row r="260" spans="2:10" x14ac:dyDescent="0.3">
      <c r="B260" s="10">
        <f t="shared" si="6"/>
        <v>2025</v>
      </c>
      <c r="C260" s="10">
        <f t="shared" si="7"/>
        <v>5</v>
      </c>
      <c r="D260" s="20">
        <v>45789</v>
      </c>
      <c r="E260">
        <v>440.25</v>
      </c>
      <c r="F260">
        <v>1066</v>
      </c>
      <c r="G260">
        <v>291.10000000000002</v>
      </c>
      <c r="H260">
        <v>499</v>
      </c>
      <c r="I260">
        <v>49.49</v>
      </c>
      <c r="J260">
        <v>5.6746999999999996</v>
      </c>
    </row>
    <row r="261" spans="2:10" x14ac:dyDescent="0.3">
      <c r="B261" s="10">
        <f t="shared" si="6"/>
        <v>2025</v>
      </c>
      <c r="C261" s="10">
        <f t="shared" si="7"/>
        <v>5</v>
      </c>
      <c r="D261" s="20">
        <v>45786</v>
      </c>
      <c r="E261">
        <v>441.5</v>
      </c>
      <c r="F261">
        <v>1044</v>
      </c>
      <c r="G261">
        <v>287.2</v>
      </c>
      <c r="H261">
        <v>505.5</v>
      </c>
      <c r="I261">
        <v>48.15</v>
      </c>
      <c r="J261">
        <v>5.6553000000000004</v>
      </c>
    </row>
    <row r="262" spans="2:10" x14ac:dyDescent="0.3">
      <c r="B262" s="10">
        <f t="shared" ref="B262:B325" si="8">YEAR(D262)</f>
        <v>2025</v>
      </c>
      <c r="C262" s="10">
        <f t="shared" ref="C262:C325" si="9">MONTH(D262)</f>
        <v>5</v>
      </c>
      <c r="D262" s="20">
        <v>45785</v>
      </c>
      <c r="E262">
        <v>439</v>
      </c>
      <c r="F262">
        <v>1036.75</v>
      </c>
      <c r="G262">
        <v>287.8</v>
      </c>
      <c r="H262">
        <v>513</v>
      </c>
      <c r="I262">
        <v>48.03</v>
      </c>
      <c r="J262">
        <v>5.6604000000000001</v>
      </c>
    </row>
    <row r="263" spans="2:10" x14ac:dyDescent="0.3">
      <c r="B263" s="10">
        <f t="shared" si="8"/>
        <v>2025</v>
      </c>
      <c r="C263" s="10">
        <f t="shared" si="9"/>
        <v>5</v>
      </c>
      <c r="D263" s="20">
        <v>45784</v>
      </c>
      <c r="E263">
        <v>441</v>
      </c>
      <c r="F263">
        <v>1030.5</v>
      </c>
      <c r="G263">
        <v>288</v>
      </c>
      <c r="H263">
        <v>518</v>
      </c>
      <c r="I263">
        <v>46.95</v>
      </c>
      <c r="J263">
        <v>5.7453000000000003</v>
      </c>
    </row>
    <row r="264" spans="2:10" x14ac:dyDescent="0.3">
      <c r="B264" s="10">
        <f t="shared" si="8"/>
        <v>2025</v>
      </c>
      <c r="C264" s="10">
        <f t="shared" si="9"/>
        <v>5</v>
      </c>
      <c r="D264" s="20">
        <v>45783</v>
      </c>
      <c r="E264">
        <v>447.5</v>
      </c>
      <c r="F264">
        <v>1034.75</v>
      </c>
      <c r="G264">
        <v>286.10000000000002</v>
      </c>
      <c r="H264">
        <v>519</v>
      </c>
      <c r="I264">
        <v>47.98</v>
      </c>
      <c r="J264">
        <v>5.7127999999999997</v>
      </c>
    </row>
    <row r="265" spans="2:10" x14ac:dyDescent="0.3">
      <c r="B265" s="10">
        <f t="shared" si="8"/>
        <v>2025</v>
      </c>
      <c r="C265" s="10">
        <f t="shared" si="9"/>
        <v>5</v>
      </c>
      <c r="D265" s="20">
        <v>45782</v>
      </c>
      <c r="E265">
        <v>446.5</v>
      </c>
      <c r="F265">
        <v>1038</v>
      </c>
      <c r="G265">
        <v>288.7</v>
      </c>
      <c r="H265">
        <v>514.25</v>
      </c>
      <c r="I265">
        <v>48.37</v>
      </c>
      <c r="J265">
        <v>5.6878000000000002</v>
      </c>
    </row>
    <row r="266" spans="2:10" x14ac:dyDescent="0.3">
      <c r="B266" s="10">
        <f t="shared" si="8"/>
        <v>2025</v>
      </c>
      <c r="C266" s="10">
        <f t="shared" si="9"/>
        <v>5</v>
      </c>
      <c r="D266" s="20">
        <v>45779</v>
      </c>
      <c r="E266">
        <v>461.25</v>
      </c>
      <c r="F266">
        <v>1048.75</v>
      </c>
      <c r="G266">
        <v>290.2</v>
      </c>
      <c r="H266">
        <v>526.5</v>
      </c>
      <c r="I266">
        <v>49.08</v>
      </c>
      <c r="J266">
        <v>5.6570999999999998</v>
      </c>
    </row>
    <row r="267" spans="2:10" x14ac:dyDescent="0.3">
      <c r="B267" s="10">
        <f t="shared" si="8"/>
        <v>2025</v>
      </c>
      <c r="C267" s="10">
        <f t="shared" si="9"/>
        <v>5</v>
      </c>
      <c r="D267" s="20">
        <v>45778</v>
      </c>
      <c r="E267">
        <v>464.25</v>
      </c>
      <c r="F267">
        <v>1040.25</v>
      </c>
      <c r="G267">
        <v>286.5</v>
      </c>
      <c r="H267">
        <v>515.25</v>
      </c>
      <c r="I267">
        <v>49.36</v>
      </c>
      <c r="J267">
        <v>5.6729000000000003</v>
      </c>
    </row>
    <row r="268" spans="2:10" x14ac:dyDescent="0.3">
      <c r="B268" s="10">
        <f t="shared" si="8"/>
        <v>2025</v>
      </c>
      <c r="C268" s="10">
        <f t="shared" si="9"/>
        <v>4</v>
      </c>
      <c r="D268" s="20">
        <v>45777</v>
      </c>
      <c r="E268">
        <v>467.25</v>
      </c>
      <c r="F268">
        <v>1034.75</v>
      </c>
      <c r="G268">
        <v>290</v>
      </c>
      <c r="H268">
        <v>513</v>
      </c>
      <c r="I268">
        <v>48.58</v>
      </c>
      <c r="J268">
        <v>5.6740000000000004</v>
      </c>
    </row>
    <row r="269" spans="2:10" x14ac:dyDescent="0.3">
      <c r="B269" s="10">
        <f t="shared" si="8"/>
        <v>2025</v>
      </c>
      <c r="C269" s="10">
        <f t="shared" si="9"/>
        <v>4</v>
      </c>
      <c r="D269" s="20">
        <v>45776</v>
      </c>
      <c r="E269">
        <v>460.5</v>
      </c>
      <c r="F269">
        <v>1041</v>
      </c>
      <c r="G269">
        <v>290.5</v>
      </c>
      <c r="H269">
        <v>505.75</v>
      </c>
      <c r="I269">
        <v>48.85</v>
      </c>
      <c r="J269">
        <v>5.6204999999999998</v>
      </c>
    </row>
    <row r="270" spans="2:10" x14ac:dyDescent="0.3">
      <c r="B270" s="10">
        <f t="shared" si="8"/>
        <v>2025</v>
      </c>
      <c r="C270" s="10">
        <f t="shared" si="9"/>
        <v>4</v>
      </c>
      <c r="D270" s="20">
        <v>45775</v>
      </c>
      <c r="E270">
        <v>475.5</v>
      </c>
      <c r="F270">
        <v>1052</v>
      </c>
      <c r="G270">
        <v>287</v>
      </c>
      <c r="H270">
        <v>515.5</v>
      </c>
      <c r="I270">
        <v>49.91</v>
      </c>
      <c r="J270">
        <v>5.6542000000000003</v>
      </c>
    </row>
    <row r="271" spans="2:10" x14ac:dyDescent="0.3">
      <c r="B271" s="10">
        <f t="shared" si="8"/>
        <v>2025</v>
      </c>
      <c r="C271" s="10">
        <f t="shared" si="9"/>
        <v>4</v>
      </c>
      <c r="D271" s="20">
        <v>45772</v>
      </c>
      <c r="E271">
        <v>478.75</v>
      </c>
      <c r="F271">
        <v>1049.75</v>
      </c>
      <c r="G271">
        <v>290</v>
      </c>
      <c r="H271">
        <v>530</v>
      </c>
      <c r="I271">
        <v>49.28</v>
      </c>
      <c r="J271">
        <v>5.6833</v>
      </c>
    </row>
    <row r="272" spans="2:10" x14ac:dyDescent="0.3">
      <c r="B272" s="10">
        <f t="shared" si="8"/>
        <v>2025</v>
      </c>
      <c r="C272" s="10">
        <f t="shared" si="9"/>
        <v>4</v>
      </c>
      <c r="D272" s="20">
        <v>45771</v>
      </c>
      <c r="E272">
        <v>477.25</v>
      </c>
      <c r="F272">
        <v>1053</v>
      </c>
      <c r="G272">
        <v>288.7</v>
      </c>
      <c r="H272">
        <v>529.25</v>
      </c>
      <c r="I272">
        <v>49.65</v>
      </c>
      <c r="J272">
        <v>5.6825000000000001</v>
      </c>
    </row>
    <row r="273" spans="2:10" x14ac:dyDescent="0.3">
      <c r="B273" s="10">
        <f t="shared" si="8"/>
        <v>2025</v>
      </c>
      <c r="C273" s="10">
        <f t="shared" si="9"/>
        <v>4</v>
      </c>
      <c r="D273" s="20">
        <v>45770</v>
      </c>
      <c r="E273">
        <v>472</v>
      </c>
      <c r="F273">
        <v>1040.25</v>
      </c>
      <c r="G273">
        <v>290.8</v>
      </c>
      <c r="H273">
        <v>528.25</v>
      </c>
      <c r="I273">
        <v>47.91</v>
      </c>
      <c r="J273">
        <v>5.7089999999999996</v>
      </c>
    </row>
    <row r="274" spans="2:10" x14ac:dyDescent="0.3">
      <c r="B274" s="10">
        <f t="shared" si="8"/>
        <v>2025</v>
      </c>
      <c r="C274" s="10">
        <f t="shared" si="9"/>
        <v>4</v>
      </c>
      <c r="D274" s="20">
        <v>45769</v>
      </c>
      <c r="E274">
        <v>475.75</v>
      </c>
      <c r="F274">
        <v>1035</v>
      </c>
      <c r="G274">
        <v>291.89999999999998</v>
      </c>
      <c r="H274">
        <v>535.5</v>
      </c>
      <c r="I274">
        <v>47.58</v>
      </c>
      <c r="J274">
        <v>5.7249999999999996</v>
      </c>
    </row>
    <row r="275" spans="2:10" x14ac:dyDescent="0.3">
      <c r="B275" s="10">
        <f t="shared" si="8"/>
        <v>2025</v>
      </c>
      <c r="C275" s="10">
        <f t="shared" si="9"/>
        <v>4</v>
      </c>
      <c r="D275" s="20">
        <v>45768</v>
      </c>
      <c r="E275">
        <v>481.75</v>
      </c>
      <c r="F275">
        <v>1029.5</v>
      </c>
      <c r="G275">
        <v>292.89999999999998</v>
      </c>
      <c r="H275">
        <v>538.5</v>
      </c>
      <c r="I275">
        <v>47.82</v>
      </c>
      <c r="J275">
        <v>5.8067000000000002</v>
      </c>
    </row>
    <row r="276" spans="2:10" x14ac:dyDescent="0.3">
      <c r="B276" s="10">
        <f t="shared" si="8"/>
        <v>2025</v>
      </c>
      <c r="C276" s="10">
        <f t="shared" si="9"/>
        <v>4</v>
      </c>
      <c r="D276" s="20">
        <v>45765</v>
      </c>
      <c r="J276">
        <v>5.8067000000000002</v>
      </c>
    </row>
    <row r="277" spans="2:10" x14ac:dyDescent="0.3">
      <c r="B277" s="10">
        <f t="shared" si="8"/>
        <v>2025</v>
      </c>
      <c r="C277" s="10">
        <f t="shared" si="9"/>
        <v>4</v>
      </c>
      <c r="D277" s="20">
        <v>45764</v>
      </c>
      <c r="E277">
        <v>482.25</v>
      </c>
      <c r="F277">
        <v>1036.5</v>
      </c>
      <c r="G277">
        <v>295.60000000000002</v>
      </c>
      <c r="H277">
        <v>548.75</v>
      </c>
      <c r="I277">
        <v>47.87</v>
      </c>
      <c r="J277">
        <v>5.8063000000000002</v>
      </c>
    </row>
    <row r="278" spans="2:10" x14ac:dyDescent="0.3">
      <c r="B278" s="10">
        <f t="shared" si="8"/>
        <v>2025</v>
      </c>
      <c r="C278" s="10">
        <f t="shared" si="9"/>
        <v>4</v>
      </c>
      <c r="D278" s="20">
        <v>45763</v>
      </c>
      <c r="E278">
        <v>484.25</v>
      </c>
      <c r="F278">
        <v>1038.75</v>
      </c>
      <c r="G278">
        <v>296.7</v>
      </c>
      <c r="H278">
        <v>547.75</v>
      </c>
      <c r="I278">
        <v>47.48</v>
      </c>
      <c r="J278">
        <v>5.8663999999999996</v>
      </c>
    </row>
    <row r="279" spans="2:10" x14ac:dyDescent="0.3">
      <c r="B279" s="10">
        <f t="shared" si="8"/>
        <v>2025</v>
      </c>
      <c r="C279" s="10">
        <f t="shared" si="9"/>
        <v>4</v>
      </c>
      <c r="D279" s="20">
        <v>45762</v>
      </c>
      <c r="E279">
        <v>481.25</v>
      </c>
      <c r="F279">
        <v>1036</v>
      </c>
      <c r="G279">
        <v>294.2</v>
      </c>
      <c r="H279">
        <v>542</v>
      </c>
      <c r="I279">
        <v>47.33</v>
      </c>
      <c r="J279">
        <v>5.8859000000000004</v>
      </c>
    </row>
    <row r="280" spans="2:10" x14ac:dyDescent="0.3">
      <c r="B280" s="10">
        <f t="shared" si="8"/>
        <v>2025</v>
      </c>
      <c r="C280" s="10">
        <f t="shared" si="9"/>
        <v>4</v>
      </c>
      <c r="D280" s="20">
        <v>45761</v>
      </c>
      <c r="E280">
        <v>485</v>
      </c>
      <c r="F280">
        <v>1041.75</v>
      </c>
      <c r="G280">
        <v>297.10000000000002</v>
      </c>
      <c r="H280">
        <v>547.5</v>
      </c>
      <c r="I280">
        <v>46.32</v>
      </c>
      <c r="J280">
        <v>5.8551000000000002</v>
      </c>
    </row>
    <row r="281" spans="2:10" x14ac:dyDescent="0.3">
      <c r="B281" s="10">
        <f t="shared" si="8"/>
        <v>2025</v>
      </c>
      <c r="C281" s="10">
        <f t="shared" si="9"/>
        <v>4</v>
      </c>
      <c r="D281" s="20">
        <v>45758</v>
      </c>
      <c r="E281">
        <v>490.25</v>
      </c>
      <c r="F281">
        <v>1042.75</v>
      </c>
      <c r="G281">
        <v>299.60000000000002</v>
      </c>
      <c r="H281">
        <v>555.75</v>
      </c>
      <c r="I281">
        <v>47.35</v>
      </c>
      <c r="J281">
        <v>5.8647999999999998</v>
      </c>
    </row>
    <row r="282" spans="2:10" x14ac:dyDescent="0.3">
      <c r="B282" s="10">
        <f t="shared" si="8"/>
        <v>2025</v>
      </c>
      <c r="C282" s="10">
        <f t="shared" si="9"/>
        <v>4</v>
      </c>
      <c r="D282" s="20">
        <v>45757</v>
      </c>
      <c r="E282">
        <v>483</v>
      </c>
      <c r="F282">
        <v>1029</v>
      </c>
      <c r="G282">
        <v>297.89999999999998</v>
      </c>
      <c r="H282">
        <v>538</v>
      </c>
      <c r="I282">
        <v>46.32</v>
      </c>
      <c r="J282">
        <v>5.8856000000000002</v>
      </c>
    </row>
    <row r="283" spans="2:10" x14ac:dyDescent="0.3">
      <c r="B283" s="10">
        <f t="shared" si="8"/>
        <v>2025</v>
      </c>
      <c r="C283" s="10">
        <f t="shared" si="9"/>
        <v>4</v>
      </c>
      <c r="D283" s="20">
        <v>45756</v>
      </c>
      <c r="E283">
        <v>474</v>
      </c>
      <c r="F283">
        <v>1012.75</v>
      </c>
      <c r="G283">
        <v>294.5</v>
      </c>
      <c r="H283">
        <v>542.25</v>
      </c>
      <c r="I283">
        <v>46.19</v>
      </c>
      <c r="J283">
        <v>5.8215000000000003</v>
      </c>
    </row>
    <row r="284" spans="2:10" x14ac:dyDescent="0.3">
      <c r="B284" s="10">
        <f t="shared" si="8"/>
        <v>2025</v>
      </c>
      <c r="C284" s="10">
        <f t="shared" si="9"/>
        <v>4</v>
      </c>
      <c r="D284" s="20">
        <v>45755</v>
      </c>
      <c r="E284">
        <v>469</v>
      </c>
      <c r="F284">
        <v>992.75</v>
      </c>
      <c r="G284">
        <v>291</v>
      </c>
      <c r="H284">
        <v>540</v>
      </c>
      <c r="I284">
        <v>44.94</v>
      </c>
      <c r="J284">
        <v>6.0109000000000004</v>
      </c>
    </row>
    <row r="285" spans="2:10" x14ac:dyDescent="0.3">
      <c r="B285" s="10">
        <f t="shared" si="8"/>
        <v>2025</v>
      </c>
      <c r="C285" s="10">
        <f t="shared" si="9"/>
        <v>4</v>
      </c>
      <c r="D285" s="20">
        <v>45754</v>
      </c>
      <c r="E285">
        <v>464.5</v>
      </c>
      <c r="F285">
        <v>983</v>
      </c>
      <c r="G285">
        <v>288.39999999999998</v>
      </c>
      <c r="H285">
        <v>536.5</v>
      </c>
      <c r="I285">
        <v>45.15</v>
      </c>
      <c r="J285">
        <v>5.9138999999999999</v>
      </c>
    </row>
    <row r="286" spans="2:10" x14ac:dyDescent="0.3">
      <c r="B286" s="10">
        <f t="shared" si="8"/>
        <v>2025</v>
      </c>
      <c r="C286" s="10">
        <f t="shared" si="9"/>
        <v>4</v>
      </c>
      <c r="D286" s="20">
        <v>45751</v>
      </c>
      <c r="E286">
        <v>460.25</v>
      </c>
      <c r="F286">
        <v>977</v>
      </c>
      <c r="G286">
        <v>283.10000000000002</v>
      </c>
      <c r="H286">
        <v>529</v>
      </c>
      <c r="I286">
        <v>45.84</v>
      </c>
      <c r="J286">
        <v>5.8425000000000002</v>
      </c>
    </row>
    <row r="287" spans="2:10" x14ac:dyDescent="0.3">
      <c r="B287" s="10">
        <f t="shared" si="8"/>
        <v>2025</v>
      </c>
      <c r="C287" s="10">
        <f t="shared" si="9"/>
        <v>4</v>
      </c>
      <c r="D287" s="20">
        <v>45750</v>
      </c>
      <c r="E287">
        <v>457.5</v>
      </c>
      <c r="F287">
        <v>1011.5</v>
      </c>
      <c r="G287">
        <v>288</v>
      </c>
      <c r="H287">
        <v>536</v>
      </c>
      <c r="I287">
        <v>47.06</v>
      </c>
      <c r="J287">
        <v>5.6289999999999996</v>
      </c>
    </row>
    <row r="288" spans="2:10" x14ac:dyDescent="0.3">
      <c r="B288" s="10">
        <f t="shared" si="8"/>
        <v>2025</v>
      </c>
      <c r="C288" s="10">
        <f t="shared" si="9"/>
        <v>4</v>
      </c>
      <c r="D288" s="20">
        <v>45749</v>
      </c>
      <c r="E288">
        <v>457.75</v>
      </c>
      <c r="F288">
        <v>1029.5</v>
      </c>
      <c r="G288">
        <v>287.2</v>
      </c>
      <c r="H288">
        <v>539.25</v>
      </c>
      <c r="I288">
        <v>48.5</v>
      </c>
      <c r="J288">
        <v>5.6607000000000003</v>
      </c>
    </row>
    <row r="289" spans="2:10" x14ac:dyDescent="0.3">
      <c r="B289" s="10">
        <f t="shared" si="8"/>
        <v>2025</v>
      </c>
      <c r="C289" s="10">
        <f t="shared" si="9"/>
        <v>4</v>
      </c>
      <c r="D289" s="20">
        <v>45748</v>
      </c>
      <c r="E289">
        <v>461.75</v>
      </c>
      <c r="F289">
        <v>1034.25</v>
      </c>
      <c r="G289">
        <v>292.3</v>
      </c>
      <c r="H289">
        <v>540.5</v>
      </c>
      <c r="I289">
        <v>47.44</v>
      </c>
      <c r="J289">
        <v>5.6814999999999998</v>
      </c>
    </row>
    <row r="290" spans="2:10" x14ac:dyDescent="0.3">
      <c r="B290" s="10">
        <f t="shared" si="8"/>
        <v>2025</v>
      </c>
      <c r="C290" s="10">
        <f t="shared" si="9"/>
        <v>3</v>
      </c>
      <c r="D290" s="20">
        <v>45747</v>
      </c>
      <c r="E290">
        <v>457.25</v>
      </c>
      <c r="F290">
        <v>1014.75</v>
      </c>
      <c r="G290">
        <v>292.7</v>
      </c>
      <c r="H290">
        <v>537</v>
      </c>
      <c r="I290">
        <v>44.89</v>
      </c>
      <c r="J290">
        <v>5.7046999999999999</v>
      </c>
    </row>
    <row r="291" spans="2:10" x14ac:dyDescent="0.3">
      <c r="B291" s="10">
        <f t="shared" si="8"/>
        <v>2025</v>
      </c>
      <c r="C291" s="10">
        <f t="shared" si="9"/>
        <v>3</v>
      </c>
      <c r="D291" s="20">
        <v>45744</v>
      </c>
      <c r="E291">
        <v>453.25</v>
      </c>
      <c r="F291">
        <v>1023</v>
      </c>
      <c r="G291">
        <v>293.5</v>
      </c>
      <c r="H291">
        <v>528.25</v>
      </c>
      <c r="I291">
        <v>45.16</v>
      </c>
      <c r="J291">
        <v>5.7603999999999997</v>
      </c>
    </row>
    <row r="292" spans="2:10" x14ac:dyDescent="0.3">
      <c r="B292" s="10">
        <f t="shared" si="8"/>
        <v>2025</v>
      </c>
      <c r="C292" s="10">
        <f t="shared" si="9"/>
        <v>3</v>
      </c>
      <c r="D292" s="20">
        <v>45743</v>
      </c>
      <c r="E292">
        <v>450</v>
      </c>
      <c r="F292">
        <v>1016.75</v>
      </c>
      <c r="G292">
        <v>294.5</v>
      </c>
      <c r="H292">
        <v>532</v>
      </c>
      <c r="I292">
        <v>44.27</v>
      </c>
      <c r="J292">
        <v>5.7451999999999996</v>
      </c>
    </row>
    <row r="293" spans="2:10" x14ac:dyDescent="0.3">
      <c r="B293" s="10">
        <f t="shared" si="8"/>
        <v>2025</v>
      </c>
      <c r="C293" s="10">
        <f t="shared" si="9"/>
        <v>3</v>
      </c>
      <c r="D293" s="20">
        <v>45742</v>
      </c>
      <c r="E293">
        <v>451.25</v>
      </c>
      <c r="F293">
        <v>1001</v>
      </c>
      <c r="G293">
        <v>293.60000000000002</v>
      </c>
      <c r="H293">
        <v>535.25</v>
      </c>
      <c r="I293">
        <v>42.64</v>
      </c>
      <c r="J293">
        <v>5.7359</v>
      </c>
    </row>
    <row r="294" spans="2:10" x14ac:dyDescent="0.3">
      <c r="B294" s="10">
        <f t="shared" si="8"/>
        <v>2025</v>
      </c>
      <c r="C294" s="10">
        <f t="shared" si="9"/>
        <v>3</v>
      </c>
      <c r="D294" s="20">
        <v>45741</v>
      </c>
      <c r="E294">
        <v>457.75</v>
      </c>
      <c r="F294">
        <v>1001.75</v>
      </c>
      <c r="G294">
        <v>295.10000000000002</v>
      </c>
      <c r="H294">
        <v>543.25</v>
      </c>
      <c r="I294">
        <v>42.3</v>
      </c>
      <c r="J294">
        <v>5.6989000000000001</v>
      </c>
    </row>
    <row r="295" spans="2:10" x14ac:dyDescent="0.3">
      <c r="B295" s="10">
        <f t="shared" si="8"/>
        <v>2025</v>
      </c>
      <c r="C295" s="10">
        <f t="shared" si="9"/>
        <v>3</v>
      </c>
      <c r="D295" s="20">
        <v>45740</v>
      </c>
      <c r="E295">
        <v>464.5</v>
      </c>
      <c r="F295">
        <v>1007.25</v>
      </c>
      <c r="G295">
        <v>297.60000000000002</v>
      </c>
      <c r="H295">
        <v>548.25</v>
      </c>
      <c r="I295">
        <v>42.15</v>
      </c>
      <c r="J295">
        <v>5.7645999999999997</v>
      </c>
    </row>
    <row r="296" spans="2:10" x14ac:dyDescent="0.3">
      <c r="B296" s="10">
        <f t="shared" si="8"/>
        <v>2025</v>
      </c>
      <c r="C296" s="10">
        <f t="shared" si="9"/>
        <v>3</v>
      </c>
      <c r="D296" s="20">
        <v>45737</v>
      </c>
      <c r="E296">
        <v>464.25</v>
      </c>
      <c r="F296">
        <v>1009.75</v>
      </c>
      <c r="G296">
        <v>300.3</v>
      </c>
      <c r="H296">
        <v>558.25</v>
      </c>
      <c r="I296">
        <v>42.01</v>
      </c>
      <c r="J296">
        <v>5.7290999999999999</v>
      </c>
    </row>
    <row r="297" spans="2:10" x14ac:dyDescent="0.3">
      <c r="B297" s="10">
        <f t="shared" si="8"/>
        <v>2025</v>
      </c>
      <c r="C297" s="10">
        <f t="shared" si="9"/>
        <v>3</v>
      </c>
      <c r="D297" s="20">
        <v>45736</v>
      </c>
      <c r="E297">
        <v>469</v>
      </c>
      <c r="F297">
        <v>1013</v>
      </c>
      <c r="G297">
        <v>297.10000000000002</v>
      </c>
      <c r="H297">
        <v>557.25</v>
      </c>
      <c r="I297">
        <v>42.71</v>
      </c>
      <c r="J297">
        <v>5.6797000000000004</v>
      </c>
    </row>
    <row r="298" spans="2:10" x14ac:dyDescent="0.3">
      <c r="B298" s="10">
        <f t="shared" si="8"/>
        <v>2025</v>
      </c>
      <c r="C298" s="10">
        <f t="shared" si="9"/>
        <v>3</v>
      </c>
      <c r="D298" s="20">
        <v>45735</v>
      </c>
      <c r="E298">
        <v>462</v>
      </c>
      <c r="F298">
        <v>1008.25</v>
      </c>
      <c r="G298">
        <v>297.7</v>
      </c>
      <c r="H298">
        <v>563.5</v>
      </c>
      <c r="I298">
        <v>42.36</v>
      </c>
      <c r="J298">
        <v>5.6485000000000003</v>
      </c>
    </row>
    <row r="299" spans="2:10" x14ac:dyDescent="0.3">
      <c r="B299" s="10">
        <f t="shared" si="8"/>
        <v>2025</v>
      </c>
      <c r="C299" s="10">
        <f t="shared" si="9"/>
        <v>3</v>
      </c>
      <c r="D299" s="20">
        <v>45734</v>
      </c>
      <c r="E299">
        <v>458.75</v>
      </c>
      <c r="F299">
        <v>1012.75</v>
      </c>
      <c r="G299">
        <v>299.89999999999998</v>
      </c>
      <c r="H299">
        <v>565</v>
      </c>
      <c r="I299">
        <v>42.54</v>
      </c>
      <c r="J299">
        <v>5.6704999999999997</v>
      </c>
    </row>
    <row r="300" spans="2:10" x14ac:dyDescent="0.3">
      <c r="B300" s="10">
        <f t="shared" si="8"/>
        <v>2025</v>
      </c>
      <c r="C300" s="10">
        <f t="shared" si="9"/>
        <v>3</v>
      </c>
      <c r="D300" s="20">
        <v>45733</v>
      </c>
      <c r="E300">
        <v>461</v>
      </c>
      <c r="F300">
        <v>1015.5</v>
      </c>
      <c r="G300">
        <v>304.3</v>
      </c>
      <c r="H300">
        <v>568.5</v>
      </c>
      <c r="I300">
        <v>42.1</v>
      </c>
      <c r="J300">
        <v>5.6835000000000004</v>
      </c>
    </row>
    <row r="301" spans="2:10" x14ac:dyDescent="0.3">
      <c r="B301" s="10">
        <f t="shared" si="8"/>
        <v>2025</v>
      </c>
      <c r="C301" s="10">
        <f t="shared" si="9"/>
        <v>3</v>
      </c>
      <c r="D301" s="20">
        <v>45730</v>
      </c>
      <c r="E301">
        <v>445.5</v>
      </c>
      <c r="F301">
        <v>999.25</v>
      </c>
      <c r="G301">
        <v>298.89999999999998</v>
      </c>
      <c r="H301">
        <v>545.75</v>
      </c>
      <c r="I301">
        <v>41</v>
      </c>
      <c r="J301">
        <v>5.7385000000000002</v>
      </c>
    </row>
    <row r="302" spans="2:10" x14ac:dyDescent="0.3">
      <c r="B302" s="10">
        <f t="shared" si="8"/>
        <v>2025</v>
      </c>
      <c r="C302" s="10">
        <f t="shared" si="9"/>
        <v>3</v>
      </c>
      <c r="D302" s="20">
        <v>45729</v>
      </c>
      <c r="E302">
        <v>453.5</v>
      </c>
      <c r="F302">
        <v>996.75</v>
      </c>
      <c r="G302">
        <v>300.3</v>
      </c>
      <c r="H302">
        <v>547.25</v>
      </c>
      <c r="I302">
        <v>40.78</v>
      </c>
      <c r="J302">
        <v>5.7990000000000004</v>
      </c>
    </row>
    <row r="303" spans="2:10" x14ac:dyDescent="0.3">
      <c r="B303" s="10">
        <f t="shared" si="8"/>
        <v>2025</v>
      </c>
      <c r="C303" s="10">
        <f t="shared" si="9"/>
        <v>3</v>
      </c>
      <c r="D303" s="20">
        <v>45728</v>
      </c>
      <c r="E303">
        <v>448.75</v>
      </c>
      <c r="F303">
        <v>987.5</v>
      </c>
      <c r="G303">
        <v>292.39999999999998</v>
      </c>
      <c r="H303">
        <v>538.75</v>
      </c>
      <c r="I303">
        <v>41.18</v>
      </c>
      <c r="J303">
        <v>5.7977999999999996</v>
      </c>
    </row>
    <row r="304" spans="2:10" x14ac:dyDescent="0.3">
      <c r="B304" s="10">
        <f t="shared" si="8"/>
        <v>2025</v>
      </c>
      <c r="C304" s="10">
        <f t="shared" si="9"/>
        <v>3</v>
      </c>
      <c r="D304" s="20">
        <v>45727</v>
      </c>
      <c r="E304">
        <v>456.5</v>
      </c>
      <c r="F304">
        <v>997.75</v>
      </c>
      <c r="G304">
        <v>294.10000000000002</v>
      </c>
      <c r="H304">
        <v>541</v>
      </c>
      <c r="I304">
        <v>41.43</v>
      </c>
      <c r="J304">
        <v>5.8102999999999998</v>
      </c>
    </row>
    <row r="305" spans="2:10" x14ac:dyDescent="0.3">
      <c r="B305" s="10">
        <f t="shared" si="8"/>
        <v>2025</v>
      </c>
      <c r="C305" s="10">
        <f t="shared" si="9"/>
        <v>3</v>
      </c>
      <c r="D305" s="20">
        <v>45726</v>
      </c>
      <c r="E305">
        <v>458.75</v>
      </c>
      <c r="F305">
        <v>999.75</v>
      </c>
      <c r="G305">
        <v>294.39999999999998</v>
      </c>
      <c r="H305">
        <v>545.25</v>
      </c>
      <c r="I305">
        <v>41.71</v>
      </c>
      <c r="J305">
        <v>5.8555000000000001</v>
      </c>
    </row>
    <row r="306" spans="2:10" x14ac:dyDescent="0.3">
      <c r="B306" s="10">
        <f t="shared" si="8"/>
        <v>2025</v>
      </c>
      <c r="C306" s="10">
        <f t="shared" si="9"/>
        <v>3</v>
      </c>
      <c r="D306" s="20">
        <v>45723</v>
      </c>
      <c r="E306">
        <v>455.25</v>
      </c>
      <c r="F306">
        <v>1010.25</v>
      </c>
      <c r="G306">
        <v>296.5</v>
      </c>
      <c r="H306">
        <v>533.75</v>
      </c>
      <c r="I306">
        <v>42.87</v>
      </c>
      <c r="J306">
        <v>5.7873999999999999</v>
      </c>
    </row>
    <row r="307" spans="2:10" x14ac:dyDescent="0.3">
      <c r="B307" s="10">
        <f t="shared" si="8"/>
        <v>2025</v>
      </c>
      <c r="C307" s="10">
        <f t="shared" si="9"/>
        <v>3</v>
      </c>
      <c r="D307" s="20">
        <v>45722</v>
      </c>
      <c r="E307">
        <v>449.5</v>
      </c>
      <c r="F307">
        <v>1014</v>
      </c>
      <c r="G307">
        <v>297.10000000000002</v>
      </c>
      <c r="H307">
        <v>537</v>
      </c>
      <c r="I307">
        <v>42.6</v>
      </c>
      <c r="J307">
        <v>5.7638999999999996</v>
      </c>
    </row>
    <row r="308" spans="2:10" x14ac:dyDescent="0.3">
      <c r="B308" s="10">
        <f t="shared" si="8"/>
        <v>2025</v>
      </c>
      <c r="C308" s="10">
        <f t="shared" si="9"/>
        <v>3</v>
      </c>
      <c r="D308" s="20">
        <v>45721</v>
      </c>
      <c r="E308">
        <v>440.25</v>
      </c>
      <c r="F308">
        <v>997.75</v>
      </c>
      <c r="G308">
        <v>293</v>
      </c>
      <c r="H308">
        <v>530.75</v>
      </c>
      <c r="I308">
        <v>42.44</v>
      </c>
      <c r="J308">
        <v>5.7393999999999998</v>
      </c>
    </row>
    <row r="309" spans="2:10" x14ac:dyDescent="0.3">
      <c r="B309" s="10">
        <f t="shared" si="8"/>
        <v>2025</v>
      </c>
      <c r="C309" s="10">
        <f t="shared" si="9"/>
        <v>3</v>
      </c>
      <c r="D309" s="20">
        <v>45720</v>
      </c>
      <c r="E309">
        <v>436</v>
      </c>
      <c r="F309">
        <v>984</v>
      </c>
      <c r="G309">
        <v>285.89999999999998</v>
      </c>
      <c r="H309">
        <v>518.5</v>
      </c>
      <c r="I309">
        <v>42.27</v>
      </c>
      <c r="J309">
        <v>5.8852000000000002</v>
      </c>
    </row>
    <row r="310" spans="2:10" x14ac:dyDescent="0.3">
      <c r="B310" s="10">
        <f t="shared" si="8"/>
        <v>2025</v>
      </c>
      <c r="C310" s="10">
        <f t="shared" si="9"/>
        <v>3</v>
      </c>
      <c r="D310" s="20">
        <v>45719</v>
      </c>
      <c r="E310">
        <v>440.25</v>
      </c>
      <c r="F310">
        <v>998.25</v>
      </c>
      <c r="G310">
        <v>290.10000000000002</v>
      </c>
      <c r="H310">
        <v>532</v>
      </c>
      <c r="I310">
        <v>42.9</v>
      </c>
      <c r="J310">
        <v>5.8852000000000002</v>
      </c>
    </row>
    <row r="311" spans="2:10" x14ac:dyDescent="0.3">
      <c r="B311" s="10">
        <f t="shared" si="8"/>
        <v>2025</v>
      </c>
      <c r="C311" s="10">
        <f t="shared" si="9"/>
        <v>2</v>
      </c>
      <c r="D311" s="20">
        <v>45716</v>
      </c>
      <c r="E311">
        <v>453.5</v>
      </c>
      <c r="F311">
        <v>1011.5</v>
      </c>
      <c r="G311">
        <v>291.7</v>
      </c>
      <c r="H311">
        <v>537</v>
      </c>
      <c r="I311">
        <v>43.53</v>
      </c>
      <c r="J311">
        <v>5.8852000000000002</v>
      </c>
    </row>
    <row r="312" spans="2:10" x14ac:dyDescent="0.3">
      <c r="B312" s="10">
        <f t="shared" si="8"/>
        <v>2025</v>
      </c>
      <c r="C312" s="10">
        <f t="shared" si="9"/>
        <v>2</v>
      </c>
      <c r="D312" s="20">
        <v>45715</v>
      </c>
      <c r="E312">
        <v>464.75</v>
      </c>
      <c r="F312">
        <v>1022.75</v>
      </c>
      <c r="G312">
        <v>290.89999999999998</v>
      </c>
      <c r="H312">
        <v>546.75</v>
      </c>
      <c r="I312">
        <v>44.75</v>
      </c>
      <c r="J312">
        <v>5.8400999999999996</v>
      </c>
    </row>
    <row r="313" spans="2:10" x14ac:dyDescent="0.3">
      <c r="B313" s="10">
        <f t="shared" si="8"/>
        <v>2025</v>
      </c>
      <c r="C313" s="10">
        <f t="shared" si="9"/>
        <v>2</v>
      </c>
      <c r="D313" s="20">
        <v>45714</v>
      </c>
      <c r="E313">
        <v>478.25</v>
      </c>
      <c r="F313">
        <v>1024.5</v>
      </c>
      <c r="G313">
        <v>293.39999999999998</v>
      </c>
      <c r="H313">
        <v>566</v>
      </c>
      <c r="I313">
        <v>44.97</v>
      </c>
      <c r="J313">
        <v>5.8034999999999997</v>
      </c>
    </row>
    <row r="314" spans="2:10" x14ac:dyDescent="0.3">
      <c r="B314" s="10">
        <f t="shared" si="8"/>
        <v>2025</v>
      </c>
      <c r="C314" s="10">
        <f t="shared" si="9"/>
        <v>2</v>
      </c>
      <c r="D314" s="20">
        <v>45713</v>
      </c>
      <c r="E314">
        <v>479.75</v>
      </c>
      <c r="F314">
        <v>1031.25</v>
      </c>
      <c r="G314">
        <v>293.8</v>
      </c>
      <c r="H314">
        <v>572.75</v>
      </c>
      <c r="I314">
        <v>45.44</v>
      </c>
      <c r="J314">
        <v>5.7396000000000003</v>
      </c>
    </row>
    <row r="315" spans="2:10" x14ac:dyDescent="0.3">
      <c r="B315" s="10">
        <f t="shared" si="8"/>
        <v>2025</v>
      </c>
      <c r="C315" s="10">
        <f t="shared" si="9"/>
        <v>2</v>
      </c>
      <c r="D315" s="20">
        <v>45712</v>
      </c>
      <c r="E315">
        <v>482.5</v>
      </c>
      <c r="F315">
        <v>1029</v>
      </c>
      <c r="G315">
        <v>291.8</v>
      </c>
      <c r="H315">
        <v>579</v>
      </c>
      <c r="I315">
        <v>45.7</v>
      </c>
      <c r="J315">
        <v>5.7785000000000002</v>
      </c>
    </row>
    <row r="316" spans="2:10" x14ac:dyDescent="0.3">
      <c r="B316" s="10">
        <f t="shared" si="8"/>
        <v>2025</v>
      </c>
      <c r="C316" s="10">
        <f t="shared" si="9"/>
        <v>2</v>
      </c>
      <c r="D316" s="20">
        <v>45709</v>
      </c>
      <c r="E316">
        <v>491.25</v>
      </c>
      <c r="F316">
        <v>1039.5</v>
      </c>
      <c r="G316">
        <v>294.8</v>
      </c>
      <c r="H316">
        <v>590</v>
      </c>
      <c r="I316">
        <v>46.81</v>
      </c>
      <c r="J316">
        <v>5.7320000000000002</v>
      </c>
    </row>
    <row r="317" spans="2:10" x14ac:dyDescent="0.3">
      <c r="B317" s="10">
        <f t="shared" si="8"/>
        <v>2025</v>
      </c>
      <c r="C317" s="10">
        <f t="shared" si="9"/>
        <v>2</v>
      </c>
      <c r="D317" s="20">
        <v>45708</v>
      </c>
      <c r="E317">
        <v>498</v>
      </c>
      <c r="F317">
        <v>1045.5</v>
      </c>
      <c r="G317">
        <v>296</v>
      </c>
      <c r="H317">
        <v>585.5</v>
      </c>
      <c r="I317">
        <v>47.26</v>
      </c>
      <c r="J317">
        <v>5.7028999999999996</v>
      </c>
    </row>
    <row r="318" spans="2:10" x14ac:dyDescent="0.3">
      <c r="B318" s="10">
        <f t="shared" si="8"/>
        <v>2025</v>
      </c>
      <c r="C318" s="10">
        <f t="shared" si="9"/>
        <v>2</v>
      </c>
      <c r="D318" s="20">
        <v>45707</v>
      </c>
      <c r="E318">
        <v>497.5</v>
      </c>
      <c r="F318">
        <v>1031.75</v>
      </c>
      <c r="G318">
        <v>294.7</v>
      </c>
      <c r="H318">
        <v>592</v>
      </c>
      <c r="I318">
        <v>46.3</v>
      </c>
      <c r="J318">
        <v>5.7214</v>
      </c>
    </row>
    <row r="319" spans="2:10" x14ac:dyDescent="0.3">
      <c r="B319" s="10">
        <f t="shared" si="8"/>
        <v>2025</v>
      </c>
      <c r="C319" s="10">
        <f t="shared" si="9"/>
        <v>2</v>
      </c>
      <c r="D319" s="20">
        <v>45706</v>
      </c>
      <c r="E319">
        <v>502</v>
      </c>
      <c r="F319">
        <v>1038.5</v>
      </c>
      <c r="G319">
        <v>293.8</v>
      </c>
      <c r="H319">
        <v>604.75</v>
      </c>
      <c r="I319">
        <v>47.3</v>
      </c>
      <c r="J319">
        <v>5.6891999999999996</v>
      </c>
    </row>
    <row r="320" spans="2:10" x14ac:dyDescent="0.3">
      <c r="B320" s="10">
        <f t="shared" si="8"/>
        <v>2025</v>
      </c>
      <c r="C320" s="10">
        <f t="shared" si="9"/>
        <v>2</v>
      </c>
      <c r="D320" s="20">
        <v>45705</v>
      </c>
      <c r="J320">
        <v>5.7130000000000001</v>
      </c>
    </row>
    <row r="321" spans="2:10" x14ac:dyDescent="0.3">
      <c r="B321" s="10">
        <f t="shared" si="8"/>
        <v>2025</v>
      </c>
      <c r="C321" s="10">
        <f t="shared" si="9"/>
        <v>2</v>
      </c>
      <c r="D321" s="20">
        <v>45702</v>
      </c>
      <c r="E321">
        <v>496.25</v>
      </c>
      <c r="F321">
        <v>1036</v>
      </c>
      <c r="G321">
        <v>295.89999999999998</v>
      </c>
      <c r="H321">
        <v>600</v>
      </c>
      <c r="I321">
        <v>46.07</v>
      </c>
      <c r="J321">
        <v>5.7042000000000002</v>
      </c>
    </row>
    <row r="322" spans="2:10" x14ac:dyDescent="0.3">
      <c r="B322" s="10">
        <f t="shared" si="8"/>
        <v>2025</v>
      </c>
      <c r="C322" s="10">
        <f t="shared" si="9"/>
        <v>2</v>
      </c>
      <c r="D322" s="20">
        <v>45701</v>
      </c>
      <c r="E322">
        <v>493.5</v>
      </c>
      <c r="F322">
        <v>1030</v>
      </c>
      <c r="G322">
        <v>292.7</v>
      </c>
      <c r="H322">
        <v>577.75</v>
      </c>
      <c r="I322">
        <v>46.25</v>
      </c>
      <c r="J322">
        <v>5.7668999999999997</v>
      </c>
    </row>
    <row r="323" spans="2:10" x14ac:dyDescent="0.3">
      <c r="B323" s="10">
        <f t="shared" si="8"/>
        <v>2025</v>
      </c>
      <c r="C323" s="10">
        <f t="shared" si="9"/>
        <v>2</v>
      </c>
      <c r="D323" s="20">
        <v>45700</v>
      </c>
      <c r="E323">
        <v>490.25</v>
      </c>
      <c r="F323">
        <v>1027.75</v>
      </c>
      <c r="G323">
        <v>294.10000000000002</v>
      </c>
      <c r="H323">
        <v>574.25</v>
      </c>
      <c r="I323">
        <v>45.66</v>
      </c>
      <c r="J323">
        <v>5.7648999999999999</v>
      </c>
    </row>
    <row r="324" spans="2:10" x14ac:dyDescent="0.3">
      <c r="B324" s="10">
        <f t="shared" si="8"/>
        <v>2025</v>
      </c>
      <c r="C324" s="10">
        <f t="shared" si="9"/>
        <v>2</v>
      </c>
      <c r="D324" s="20">
        <v>45699</v>
      </c>
      <c r="E324">
        <v>484</v>
      </c>
      <c r="F324">
        <v>1043.5</v>
      </c>
      <c r="G324">
        <v>296.60000000000002</v>
      </c>
      <c r="H324">
        <v>577</v>
      </c>
      <c r="I324">
        <v>46.13</v>
      </c>
      <c r="J324">
        <v>5.7634999999999996</v>
      </c>
    </row>
    <row r="325" spans="2:10" x14ac:dyDescent="0.3">
      <c r="B325" s="10">
        <f t="shared" si="8"/>
        <v>2025</v>
      </c>
      <c r="C325" s="10">
        <f t="shared" si="9"/>
        <v>2</v>
      </c>
      <c r="D325" s="20">
        <v>45698</v>
      </c>
      <c r="E325">
        <v>491.5</v>
      </c>
      <c r="F325">
        <v>1049.5</v>
      </c>
      <c r="G325">
        <v>300.5</v>
      </c>
      <c r="H325">
        <v>579.5</v>
      </c>
      <c r="I325">
        <v>45.73</v>
      </c>
      <c r="J325">
        <v>5.7873999999999999</v>
      </c>
    </row>
    <row r="326" spans="2:10" x14ac:dyDescent="0.3">
      <c r="B326" s="10">
        <f t="shared" ref="B326:B389" si="10">YEAR(D326)</f>
        <v>2025</v>
      </c>
      <c r="C326" s="10">
        <f t="shared" ref="C326:C389" si="11">MONTH(D326)</f>
        <v>2</v>
      </c>
      <c r="D326" s="20">
        <v>45695</v>
      </c>
      <c r="E326">
        <v>487.5</v>
      </c>
      <c r="F326">
        <v>1049.5</v>
      </c>
      <c r="G326">
        <v>301.39999999999998</v>
      </c>
      <c r="H326">
        <v>582.75</v>
      </c>
      <c r="I326">
        <v>45.98</v>
      </c>
      <c r="J326">
        <v>5.8057999999999996</v>
      </c>
    </row>
    <row r="327" spans="2:10" x14ac:dyDescent="0.3">
      <c r="B327" s="10">
        <f t="shared" si="10"/>
        <v>2025</v>
      </c>
      <c r="C327" s="10">
        <f t="shared" si="11"/>
        <v>2</v>
      </c>
      <c r="D327" s="20">
        <v>45694</v>
      </c>
      <c r="E327">
        <v>495.25</v>
      </c>
      <c r="F327">
        <v>1060.5</v>
      </c>
      <c r="G327">
        <v>306.39999999999998</v>
      </c>
      <c r="H327">
        <v>587.75</v>
      </c>
      <c r="I327">
        <v>45.4</v>
      </c>
      <c r="J327">
        <v>5.7617000000000003</v>
      </c>
    </row>
    <row r="328" spans="2:10" x14ac:dyDescent="0.3">
      <c r="B328" s="10">
        <f t="shared" si="10"/>
        <v>2025</v>
      </c>
      <c r="C328" s="10">
        <f t="shared" si="11"/>
        <v>2</v>
      </c>
      <c r="D328" s="20">
        <v>45693</v>
      </c>
      <c r="E328">
        <v>493.25</v>
      </c>
      <c r="F328">
        <v>1057</v>
      </c>
      <c r="G328">
        <v>308.3</v>
      </c>
      <c r="H328">
        <v>572.25</v>
      </c>
      <c r="I328">
        <v>45.09</v>
      </c>
      <c r="J328">
        <v>5.7972999999999999</v>
      </c>
    </row>
    <row r="329" spans="2:10" x14ac:dyDescent="0.3">
      <c r="B329" s="10">
        <f t="shared" si="10"/>
        <v>2025</v>
      </c>
      <c r="C329" s="10">
        <f t="shared" si="11"/>
        <v>2</v>
      </c>
      <c r="D329" s="20">
        <v>45692</v>
      </c>
      <c r="E329">
        <v>494.5</v>
      </c>
      <c r="F329">
        <v>1075</v>
      </c>
      <c r="G329">
        <v>314</v>
      </c>
      <c r="H329">
        <v>577</v>
      </c>
      <c r="I329">
        <v>45.76</v>
      </c>
      <c r="J329">
        <v>5.7539999999999996</v>
      </c>
    </row>
    <row r="330" spans="2:10" x14ac:dyDescent="0.3">
      <c r="B330" s="10">
        <f t="shared" si="10"/>
        <v>2025</v>
      </c>
      <c r="C330" s="10">
        <f t="shared" si="11"/>
        <v>2</v>
      </c>
      <c r="D330" s="20">
        <v>45691</v>
      </c>
      <c r="E330">
        <v>488.75</v>
      </c>
      <c r="F330">
        <v>1058.25</v>
      </c>
      <c r="G330">
        <v>303.7</v>
      </c>
      <c r="H330">
        <v>566.75</v>
      </c>
      <c r="I330">
        <v>46.51</v>
      </c>
      <c r="J330">
        <v>5.8066000000000004</v>
      </c>
    </row>
    <row r="331" spans="2:10" x14ac:dyDescent="0.3">
      <c r="B331" s="10">
        <f t="shared" si="10"/>
        <v>2025</v>
      </c>
      <c r="C331" s="10">
        <f t="shared" si="11"/>
        <v>1</v>
      </c>
      <c r="D331" s="20">
        <v>45688</v>
      </c>
      <c r="E331">
        <v>482</v>
      </c>
      <c r="F331">
        <v>1042</v>
      </c>
      <c r="G331">
        <v>301.10000000000002</v>
      </c>
      <c r="H331">
        <v>559.5</v>
      </c>
      <c r="I331">
        <v>46.11</v>
      </c>
      <c r="J331">
        <v>5.8410000000000002</v>
      </c>
    </row>
    <row r="332" spans="2:10" x14ac:dyDescent="0.3">
      <c r="B332" s="10">
        <f t="shared" si="10"/>
        <v>2025</v>
      </c>
      <c r="C332" s="10">
        <f t="shared" si="11"/>
        <v>1</v>
      </c>
      <c r="D332" s="20">
        <v>45687</v>
      </c>
      <c r="E332">
        <v>490.25</v>
      </c>
      <c r="F332">
        <v>1044</v>
      </c>
      <c r="G332">
        <v>304.7</v>
      </c>
      <c r="H332">
        <v>566.5</v>
      </c>
      <c r="I332">
        <v>44.98</v>
      </c>
      <c r="J332">
        <v>5.8739999999999997</v>
      </c>
    </row>
    <row r="333" spans="2:10" x14ac:dyDescent="0.3">
      <c r="B333" s="10">
        <f t="shared" si="10"/>
        <v>2025</v>
      </c>
      <c r="C333" s="10">
        <f t="shared" si="11"/>
        <v>1</v>
      </c>
      <c r="D333" s="20">
        <v>45686</v>
      </c>
      <c r="E333">
        <v>497</v>
      </c>
      <c r="F333">
        <v>1060.5</v>
      </c>
      <c r="G333">
        <v>309.8</v>
      </c>
      <c r="H333">
        <v>562.5</v>
      </c>
      <c r="I333">
        <v>44.97</v>
      </c>
      <c r="J333">
        <v>5.8563000000000001</v>
      </c>
    </row>
    <row r="334" spans="2:10" x14ac:dyDescent="0.3">
      <c r="B334" s="10">
        <f t="shared" si="10"/>
        <v>2025</v>
      </c>
      <c r="C334" s="10">
        <f t="shared" si="11"/>
        <v>1</v>
      </c>
      <c r="D334" s="20">
        <v>45685</v>
      </c>
      <c r="E334">
        <v>485.25</v>
      </c>
      <c r="F334">
        <v>1045</v>
      </c>
      <c r="G334">
        <v>301.60000000000002</v>
      </c>
      <c r="H334">
        <v>545.25</v>
      </c>
      <c r="I334">
        <v>45.13</v>
      </c>
      <c r="J334">
        <v>5.8571</v>
      </c>
    </row>
    <row r="335" spans="2:10" x14ac:dyDescent="0.3">
      <c r="B335" s="10">
        <f t="shared" si="10"/>
        <v>2025</v>
      </c>
      <c r="C335" s="10">
        <f t="shared" si="11"/>
        <v>1</v>
      </c>
      <c r="D335" s="20">
        <v>45684</v>
      </c>
      <c r="E335">
        <v>482</v>
      </c>
      <c r="F335">
        <v>1045</v>
      </c>
      <c r="G335">
        <v>300.8</v>
      </c>
      <c r="H335">
        <v>535.5</v>
      </c>
      <c r="I335">
        <v>45</v>
      </c>
      <c r="J335">
        <v>5.8925999999999998</v>
      </c>
    </row>
    <row r="336" spans="2:10" x14ac:dyDescent="0.3">
      <c r="B336" s="10">
        <f t="shared" si="10"/>
        <v>2025</v>
      </c>
      <c r="C336" s="10">
        <f t="shared" si="11"/>
        <v>1</v>
      </c>
      <c r="D336" s="20">
        <v>45681</v>
      </c>
      <c r="E336">
        <v>486.5</v>
      </c>
      <c r="F336">
        <v>1055.75</v>
      </c>
      <c r="G336">
        <v>304.89999999999998</v>
      </c>
      <c r="H336">
        <v>544</v>
      </c>
      <c r="I336">
        <v>45.22</v>
      </c>
      <c r="J336">
        <v>5.9108999999999998</v>
      </c>
    </row>
    <row r="337" spans="2:10" x14ac:dyDescent="0.3">
      <c r="B337" s="10">
        <f t="shared" si="10"/>
        <v>2025</v>
      </c>
      <c r="C337" s="10">
        <f t="shared" si="11"/>
        <v>1</v>
      </c>
      <c r="D337" s="20">
        <v>45680</v>
      </c>
      <c r="E337">
        <v>489.75</v>
      </c>
      <c r="F337">
        <v>1065.5</v>
      </c>
      <c r="G337">
        <v>315.3</v>
      </c>
      <c r="H337">
        <v>554</v>
      </c>
      <c r="I337">
        <v>45.04</v>
      </c>
      <c r="J337">
        <v>5.9242999999999997</v>
      </c>
    </row>
    <row r="338" spans="2:10" x14ac:dyDescent="0.3">
      <c r="B338" s="10">
        <f t="shared" si="10"/>
        <v>2025</v>
      </c>
      <c r="C338" s="10">
        <f t="shared" si="11"/>
        <v>1</v>
      </c>
      <c r="D338" s="20">
        <v>45679</v>
      </c>
      <c r="E338">
        <v>484.25</v>
      </c>
      <c r="F338">
        <v>1056</v>
      </c>
      <c r="G338">
        <v>315.8</v>
      </c>
      <c r="H338">
        <v>554</v>
      </c>
      <c r="I338">
        <v>44.42</v>
      </c>
      <c r="J338">
        <v>5.9414999999999996</v>
      </c>
    </row>
    <row r="339" spans="2:10" x14ac:dyDescent="0.3">
      <c r="B339" s="10">
        <f t="shared" si="10"/>
        <v>2025</v>
      </c>
      <c r="C339" s="10">
        <f t="shared" si="11"/>
        <v>1</v>
      </c>
      <c r="D339" s="20">
        <v>45678</v>
      </c>
      <c r="E339">
        <v>490</v>
      </c>
      <c r="F339">
        <v>1067.25</v>
      </c>
      <c r="G339">
        <v>311</v>
      </c>
      <c r="H339">
        <v>558.75</v>
      </c>
      <c r="I339">
        <v>45.77</v>
      </c>
      <c r="J339">
        <v>6.0220000000000002</v>
      </c>
    </row>
    <row r="340" spans="2:10" x14ac:dyDescent="0.3">
      <c r="B340" s="10">
        <f t="shared" si="10"/>
        <v>2025</v>
      </c>
      <c r="C340" s="10">
        <f t="shared" si="11"/>
        <v>1</v>
      </c>
      <c r="D340" s="20">
        <v>45677</v>
      </c>
      <c r="J340">
        <v>6.0315000000000003</v>
      </c>
    </row>
    <row r="341" spans="2:10" x14ac:dyDescent="0.3">
      <c r="B341" s="10">
        <f t="shared" si="10"/>
        <v>2025</v>
      </c>
      <c r="C341" s="10">
        <f t="shared" si="11"/>
        <v>1</v>
      </c>
      <c r="D341" s="20">
        <v>45674</v>
      </c>
      <c r="E341">
        <v>484.25</v>
      </c>
      <c r="F341">
        <v>1034</v>
      </c>
      <c r="G341">
        <v>297.2</v>
      </c>
      <c r="H341">
        <v>538.75</v>
      </c>
      <c r="I341">
        <v>45.69</v>
      </c>
      <c r="J341">
        <v>6.0704000000000002</v>
      </c>
    </row>
    <row r="342" spans="2:10" x14ac:dyDescent="0.3">
      <c r="B342" s="10">
        <f t="shared" si="10"/>
        <v>2025</v>
      </c>
      <c r="C342" s="10">
        <f t="shared" si="11"/>
        <v>1</v>
      </c>
      <c r="D342" s="20">
        <v>45673</v>
      </c>
      <c r="E342">
        <v>474.5</v>
      </c>
      <c r="F342">
        <v>1019</v>
      </c>
      <c r="G342">
        <v>294.39999999999998</v>
      </c>
      <c r="H342">
        <v>537.5</v>
      </c>
      <c r="I342">
        <v>45.03</v>
      </c>
      <c r="J342">
        <v>6.0499000000000001</v>
      </c>
    </row>
    <row r="343" spans="2:10" x14ac:dyDescent="0.3">
      <c r="B343" s="10">
        <f t="shared" si="10"/>
        <v>2025</v>
      </c>
      <c r="C343" s="10">
        <f t="shared" si="11"/>
        <v>1</v>
      </c>
      <c r="D343" s="20">
        <v>45672</v>
      </c>
      <c r="E343">
        <v>478.75</v>
      </c>
      <c r="F343">
        <v>1042.75</v>
      </c>
      <c r="G343">
        <v>302</v>
      </c>
      <c r="H343">
        <v>547</v>
      </c>
      <c r="I343">
        <v>46.27</v>
      </c>
      <c r="J343">
        <v>6.0098000000000003</v>
      </c>
    </row>
    <row r="344" spans="2:10" x14ac:dyDescent="0.3">
      <c r="B344" s="10">
        <f t="shared" si="10"/>
        <v>2025</v>
      </c>
      <c r="C344" s="10">
        <f t="shared" si="11"/>
        <v>1</v>
      </c>
      <c r="D344" s="20">
        <v>45671</v>
      </c>
      <c r="E344">
        <v>474.5</v>
      </c>
      <c r="F344">
        <v>1043</v>
      </c>
      <c r="G344">
        <v>298.39999999999998</v>
      </c>
      <c r="H344">
        <v>546.25</v>
      </c>
      <c r="I344">
        <v>45.73</v>
      </c>
      <c r="J344">
        <v>6.0559000000000003</v>
      </c>
    </row>
    <row r="345" spans="2:10" x14ac:dyDescent="0.3">
      <c r="B345" s="10">
        <f t="shared" si="10"/>
        <v>2025</v>
      </c>
      <c r="C345" s="10">
        <f t="shared" si="11"/>
        <v>1</v>
      </c>
      <c r="D345" s="20">
        <v>45670</v>
      </c>
      <c r="E345">
        <v>476.5</v>
      </c>
      <c r="F345">
        <v>1041.5</v>
      </c>
      <c r="G345">
        <v>300.2</v>
      </c>
      <c r="H345">
        <v>545</v>
      </c>
      <c r="I345">
        <v>45.47</v>
      </c>
      <c r="J345">
        <v>6.0944000000000003</v>
      </c>
    </row>
    <row r="346" spans="2:10" x14ac:dyDescent="0.3">
      <c r="B346" s="10">
        <f t="shared" si="10"/>
        <v>2025</v>
      </c>
      <c r="C346" s="10">
        <f t="shared" si="11"/>
        <v>1</v>
      </c>
      <c r="D346" s="20">
        <v>45667</v>
      </c>
      <c r="E346">
        <v>470.5</v>
      </c>
      <c r="F346">
        <v>1013.5</v>
      </c>
      <c r="G346">
        <v>290.60000000000002</v>
      </c>
      <c r="H346">
        <v>530.75</v>
      </c>
      <c r="I346">
        <v>45.05</v>
      </c>
      <c r="J346">
        <v>6.1052999999999997</v>
      </c>
    </row>
    <row r="347" spans="2:10" x14ac:dyDescent="0.3">
      <c r="B347" s="10">
        <f t="shared" si="10"/>
        <v>2025</v>
      </c>
      <c r="C347" s="10">
        <f t="shared" si="11"/>
        <v>1</v>
      </c>
      <c r="D347" s="20">
        <v>45666</v>
      </c>
      <c r="E347">
        <v>456</v>
      </c>
      <c r="F347">
        <v>992.25</v>
      </c>
      <c r="G347">
        <v>291.8</v>
      </c>
      <c r="H347">
        <v>534</v>
      </c>
      <c r="I347">
        <v>42.28</v>
      </c>
      <c r="J347">
        <v>6.0364000000000004</v>
      </c>
    </row>
    <row r="348" spans="2:10" x14ac:dyDescent="0.3">
      <c r="B348" s="10">
        <f t="shared" si="10"/>
        <v>2025</v>
      </c>
      <c r="C348" s="10">
        <f t="shared" si="11"/>
        <v>1</v>
      </c>
      <c r="D348" s="20">
        <v>45665</v>
      </c>
      <c r="E348">
        <v>454</v>
      </c>
      <c r="F348">
        <v>987.5</v>
      </c>
      <c r="G348">
        <v>292.60000000000002</v>
      </c>
      <c r="H348">
        <v>536.25</v>
      </c>
      <c r="I348">
        <v>41.11</v>
      </c>
      <c r="J348">
        <v>6.1055000000000001</v>
      </c>
    </row>
    <row r="349" spans="2:10" x14ac:dyDescent="0.3">
      <c r="B349" s="10">
        <f t="shared" si="10"/>
        <v>2025</v>
      </c>
      <c r="C349" s="10">
        <f t="shared" si="11"/>
        <v>1</v>
      </c>
      <c r="D349" s="20">
        <v>45664</v>
      </c>
      <c r="E349">
        <v>458</v>
      </c>
      <c r="F349">
        <v>992.25</v>
      </c>
      <c r="G349">
        <v>295.3</v>
      </c>
      <c r="H349">
        <v>542.5</v>
      </c>
      <c r="I349">
        <v>40.72</v>
      </c>
      <c r="J349">
        <v>6.101</v>
      </c>
    </row>
    <row r="350" spans="2:10" x14ac:dyDescent="0.3">
      <c r="B350" s="10">
        <f t="shared" si="10"/>
        <v>2025</v>
      </c>
      <c r="C350" s="10">
        <f t="shared" si="11"/>
        <v>1</v>
      </c>
      <c r="D350" s="20">
        <v>45663</v>
      </c>
      <c r="E350">
        <v>457.75</v>
      </c>
      <c r="F350">
        <v>992.5</v>
      </c>
      <c r="G350">
        <v>298.60000000000002</v>
      </c>
      <c r="H350">
        <v>540.5</v>
      </c>
      <c r="I350">
        <v>39.76</v>
      </c>
      <c r="J350">
        <v>6.1151999999999997</v>
      </c>
    </row>
    <row r="351" spans="2:10" x14ac:dyDescent="0.3">
      <c r="B351" s="10">
        <f t="shared" si="10"/>
        <v>2025</v>
      </c>
      <c r="C351" s="10">
        <f t="shared" si="11"/>
        <v>1</v>
      </c>
      <c r="D351" s="20">
        <v>45660</v>
      </c>
      <c r="E351">
        <v>450.75</v>
      </c>
      <c r="F351">
        <v>981</v>
      </c>
      <c r="G351">
        <v>299.89999999999998</v>
      </c>
      <c r="H351">
        <v>529.25</v>
      </c>
      <c r="I351">
        <v>39.4</v>
      </c>
      <c r="J351">
        <v>6.1798000000000002</v>
      </c>
    </row>
    <row r="352" spans="2:10" x14ac:dyDescent="0.3">
      <c r="B352" s="10">
        <f t="shared" si="10"/>
        <v>2025</v>
      </c>
      <c r="C352" s="10">
        <f t="shared" si="11"/>
        <v>1</v>
      </c>
      <c r="D352" s="20">
        <v>45659</v>
      </c>
      <c r="E352">
        <v>459.5</v>
      </c>
      <c r="F352">
        <v>999.5</v>
      </c>
      <c r="G352">
        <v>310.89999999999998</v>
      </c>
      <c r="H352">
        <v>545.75</v>
      </c>
      <c r="I352">
        <v>39.72</v>
      </c>
      <c r="J352">
        <v>6.1519000000000004</v>
      </c>
    </row>
    <row r="353" spans="2:10" x14ac:dyDescent="0.3">
      <c r="B353" s="10">
        <f t="shared" si="10"/>
        <v>2025</v>
      </c>
      <c r="C353" s="10">
        <f t="shared" si="11"/>
        <v>1</v>
      </c>
      <c r="D353" s="20">
        <v>45658</v>
      </c>
      <c r="J353">
        <v>6.1840000000000002</v>
      </c>
    </row>
    <row r="354" spans="2:10" x14ac:dyDescent="0.3">
      <c r="B354" s="10">
        <f t="shared" si="10"/>
        <v>2024</v>
      </c>
      <c r="C354" s="10">
        <f t="shared" si="11"/>
        <v>12</v>
      </c>
      <c r="D354" s="20">
        <v>45657</v>
      </c>
      <c r="E354">
        <v>458.5</v>
      </c>
      <c r="F354">
        <v>998.25</v>
      </c>
      <c r="G354">
        <v>307.60000000000002</v>
      </c>
      <c r="H354">
        <v>551.5</v>
      </c>
      <c r="I354">
        <v>39.78</v>
      </c>
      <c r="J354">
        <v>6.1778000000000004</v>
      </c>
    </row>
    <row r="355" spans="2:10" x14ac:dyDescent="0.3">
      <c r="B355" s="10">
        <f t="shared" si="10"/>
        <v>2024</v>
      </c>
      <c r="C355" s="10">
        <f t="shared" si="11"/>
        <v>12</v>
      </c>
      <c r="D355" s="20">
        <v>45656</v>
      </c>
      <c r="E355">
        <v>452.25</v>
      </c>
      <c r="F355">
        <v>982</v>
      </c>
      <c r="G355">
        <v>302.60000000000002</v>
      </c>
      <c r="H355">
        <v>548.25</v>
      </c>
      <c r="I355">
        <v>39.72</v>
      </c>
      <c r="J355">
        <v>6.1778000000000004</v>
      </c>
    </row>
    <row r="356" spans="2:10" x14ac:dyDescent="0.3">
      <c r="B356" s="10">
        <f t="shared" si="10"/>
        <v>2024</v>
      </c>
      <c r="C356" s="10">
        <f t="shared" si="11"/>
        <v>12</v>
      </c>
      <c r="D356" s="20">
        <v>45653</v>
      </c>
      <c r="E356">
        <v>454</v>
      </c>
      <c r="F356">
        <v>980</v>
      </c>
      <c r="G356">
        <v>300.89999999999998</v>
      </c>
      <c r="H356">
        <v>546.5</v>
      </c>
      <c r="I356">
        <v>39.520000000000003</v>
      </c>
      <c r="J356">
        <v>6.1963999999999997</v>
      </c>
    </row>
    <row r="357" spans="2:10" x14ac:dyDescent="0.3">
      <c r="B357" s="10">
        <f t="shared" si="10"/>
        <v>2024</v>
      </c>
      <c r="C357" s="10">
        <f t="shared" si="11"/>
        <v>12</v>
      </c>
      <c r="D357" s="20">
        <v>45652</v>
      </c>
      <c r="E357">
        <v>453.75</v>
      </c>
      <c r="F357">
        <v>988</v>
      </c>
      <c r="G357">
        <v>305.7</v>
      </c>
      <c r="H357">
        <v>541</v>
      </c>
      <c r="I357">
        <v>39.47</v>
      </c>
      <c r="J357">
        <v>6.1828000000000003</v>
      </c>
    </row>
    <row r="358" spans="2:10" x14ac:dyDescent="0.3">
      <c r="B358" s="10">
        <f t="shared" si="10"/>
        <v>2024</v>
      </c>
      <c r="C358" s="10">
        <f t="shared" si="11"/>
        <v>12</v>
      </c>
      <c r="D358" s="20">
        <v>45651</v>
      </c>
      <c r="J358">
        <v>6.1905999999999999</v>
      </c>
    </row>
    <row r="359" spans="2:10" x14ac:dyDescent="0.3">
      <c r="B359" s="10">
        <f t="shared" si="10"/>
        <v>2024</v>
      </c>
      <c r="C359" s="10">
        <f t="shared" si="11"/>
        <v>12</v>
      </c>
      <c r="D359" s="20">
        <v>45650</v>
      </c>
      <c r="E359">
        <v>448.5</v>
      </c>
      <c r="F359">
        <v>975.25</v>
      </c>
      <c r="G359">
        <v>292.89999999999998</v>
      </c>
      <c r="H359">
        <v>534.75</v>
      </c>
      <c r="I359">
        <v>39.840000000000003</v>
      </c>
      <c r="J359">
        <v>6.1905999999999999</v>
      </c>
    </row>
    <row r="360" spans="2:10" x14ac:dyDescent="0.3">
      <c r="B360" s="10">
        <f t="shared" si="10"/>
        <v>2024</v>
      </c>
      <c r="C360" s="10">
        <f t="shared" si="11"/>
        <v>12</v>
      </c>
      <c r="D360" s="20">
        <v>45649</v>
      </c>
      <c r="E360">
        <v>447.75</v>
      </c>
      <c r="F360">
        <v>969.5</v>
      </c>
      <c r="G360">
        <v>289.5</v>
      </c>
      <c r="H360">
        <v>540.5</v>
      </c>
      <c r="I360">
        <v>40.229999999999997</v>
      </c>
      <c r="J360">
        <v>6.1939000000000002</v>
      </c>
    </row>
    <row r="361" spans="2:10" x14ac:dyDescent="0.3">
      <c r="B361" s="10">
        <f t="shared" si="10"/>
        <v>2024</v>
      </c>
      <c r="C361" s="10">
        <f t="shared" si="11"/>
        <v>12</v>
      </c>
      <c r="D361" s="20">
        <v>45646</v>
      </c>
      <c r="E361">
        <v>446.25</v>
      </c>
      <c r="F361">
        <v>974.5</v>
      </c>
      <c r="G361">
        <v>294.5</v>
      </c>
      <c r="H361">
        <v>533</v>
      </c>
      <c r="I361">
        <v>39.479999999999997</v>
      </c>
      <c r="J361">
        <v>6.0853000000000002</v>
      </c>
    </row>
    <row r="362" spans="2:10" x14ac:dyDescent="0.3">
      <c r="B362" s="10">
        <f t="shared" si="10"/>
        <v>2024</v>
      </c>
      <c r="C362" s="10">
        <f t="shared" si="11"/>
        <v>12</v>
      </c>
      <c r="D362" s="20">
        <v>45645</v>
      </c>
      <c r="E362">
        <v>440.75</v>
      </c>
      <c r="F362">
        <v>963</v>
      </c>
      <c r="G362">
        <v>284.10000000000002</v>
      </c>
      <c r="H362">
        <v>533</v>
      </c>
      <c r="I362">
        <v>40.01</v>
      </c>
      <c r="J362">
        <v>6.1524999999999999</v>
      </c>
    </row>
    <row r="363" spans="2:10" x14ac:dyDescent="0.3">
      <c r="B363" s="10">
        <f t="shared" si="10"/>
        <v>2024</v>
      </c>
      <c r="C363" s="10">
        <f t="shared" si="11"/>
        <v>12</v>
      </c>
      <c r="D363" s="20">
        <v>45644</v>
      </c>
      <c r="E363">
        <v>437.25</v>
      </c>
      <c r="F363">
        <v>951.75</v>
      </c>
      <c r="G363">
        <v>279.5</v>
      </c>
      <c r="H363">
        <v>541.25</v>
      </c>
      <c r="I363">
        <v>39.549999999999997</v>
      </c>
      <c r="J363">
        <v>6.2896000000000001</v>
      </c>
    </row>
    <row r="364" spans="2:10" x14ac:dyDescent="0.3">
      <c r="B364" s="10">
        <f t="shared" si="10"/>
        <v>2024</v>
      </c>
      <c r="C364" s="10">
        <f t="shared" si="11"/>
        <v>12</v>
      </c>
      <c r="D364" s="20">
        <v>45643</v>
      </c>
      <c r="E364">
        <v>443.5</v>
      </c>
      <c r="F364">
        <v>976.75</v>
      </c>
      <c r="G364">
        <v>287.2</v>
      </c>
      <c r="H364">
        <v>545</v>
      </c>
      <c r="I364">
        <v>40.619999999999997</v>
      </c>
      <c r="J364">
        <v>6.1048</v>
      </c>
    </row>
    <row r="365" spans="2:10" x14ac:dyDescent="0.3">
      <c r="B365" s="10">
        <f t="shared" si="10"/>
        <v>2024</v>
      </c>
      <c r="C365" s="10">
        <f t="shared" si="11"/>
        <v>12</v>
      </c>
      <c r="D365" s="20">
        <v>45642</v>
      </c>
      <c r="E365">
        <v>445</v>
      </c>
      <c r="F365">
        <v>982</v>
      </c>
      <c r="G365">
        <v>286.89999999999998</v>
      </c>
      <c r="H365">
        <v>550</v>
      </c>
      <c r="I365">
        <v>41.72</v>
      </c>
      <c r="J365">
        <v>6.1478999999999999</v>
      </c>
    </row>
    <row r="366" spans="2:10" x14ac:dyDescent="0.3">
      <c r="B366" s="10">
        <f t="shared" si="10"/>
        <v>2024</v>
      </c>
      <c r="C366" s="10">
        <f t="shared" si="11"/>
        <v>12</v>
      </c>
      <c r="D366" s="20">
        <v>45639</v>
      </c>
      <c r="E366">
        <v>430</v>
      </c>
      <c r="F366">
        <v>988.25</v>
      </c>
      <c r="G366">
        <v>284.10000000000002</v>
      </c>
      <c r="H366">
        <v>526.5</v>
      </c>
      <c r="I366">
        <v>42.28</v>
      </c>
      <c r="J366">
        <v>6.0419</v>
      </c>
    </row>
    <row r="367" spans="2:10" x14ac:dyDescent="0.3">
      <c r="B367" s="10">
        <f t="shared" si="10"/>
        <v>2024</v>
      </c>
      <c r="C367" s="10">
        <f t="shared" si="11"/>
        <v>12</v>
      </c>
      <c r="D367" s="20">
        <v>45638</v>
      </c>
      <c r="E367">
        <v>431.75</v>
      </c>
      <c r="F367">
        <v>995.75</v>
      </c>
      <c r="G367">
        <v>286.5</v>
      </c>
      <c r="H367">
        <v>538.75</v>
      </c>
      <c r="I367">
        <v>42.47</v>
      </c>
      <c r="J367">
        <v>5.9915000000000003</v>
      </c>
    </row>
    <row r="368" spans="2:10" x14ac:dyDescent="0.3">
      <c r="B368" s="10">
        <f t="shared" si="10"/>
        <v>2024</v>
      </c>
      <c r="C368" s="10">
        <f t="shared" si="11"/>
        <v>12</v>
      </c>
      <c r="D368" s="20">
        <v>45637</v>
      </c>
      <c r="E368">
        <v>438</v>
      </c>
      <c r="F368">
        <v>995.5</v>
      </c>
      <c r="G368">
        <v>288</v>
      </c>
      <c r="H368">
        <v>543.5</v>
      </c>
      <c r="I368">
        <v>42.26</v>
      </c>
      <c r="J368">
        <v>5.9542999999999999</v>
      </c>
    </row>
    <row r="369" spans="2:10" x14ac:dyDescent="0.3">
      <c r="B369" s="10">
        <f t="shared" si="10"/>
        <v>2024</v>
      </c>
      <c r="C369" s="10">
        <f t="shared" si="11"/>
        <v>12</v>
      </c>
      <c r="D369" s="20">
        <v>45636</v>
      </c>
      <c r="E369">
        <v>440.5</v>
      </c>
      <c r="F369">
        <v>994.75</v>
      </c>
      <c r="G369">
        <v>288.8</v>
      </c>
      <c r="H369">
        <v>542</v>
      </c>
      <c r="I369">
        <v>42.56</v>
      </c>
      <c r="J369">
        <v>6.0449999999999999</v>
      </c>
    </row>
    <row r="370" spans="2:10" x14ac:dyDescent="0.3">
      <c r="B370" s="10">
        <f t="shared" si="10"/>
        <v>2024</v>
      </c>
      <c r="C370" s="10">
        <f t="shared" si="11"/>
        <v>12</v>
      </c>
      <c r="D370" s="20">
        <v>45635</v>
      </c>
      <c r="E370">
        <v>434</v>
      </c>
      <c r="F370">
        <v>990</v>
      </c>
      <c r="G370">
        <v>286.10000000000002</v>
      </c>
      <c r="H370">
        <v>541.25</v>
      </c>
      <c r="I370">
        <v>42.63</v>
      </c>
      <c r="J370">
        <v>6.0788000000000002</v>
      </c>
    </row>
    <row r="371" spans="2:10" x14ac:dyDescent="0.3">
      <c r="B371" s="10">
        <f t="shared" si="10"/>
        <v>2024</v>
      </c>
      <c r="C371" s="10">
        <f t="shared" si="11"/>
        <v>12</v>
      </c>
      <c r="D371" s="20">
        <v>45632</v>
      </c>
      <c r="E371">
        <v>430.75</v>
      </c>
      <c r="F371">
        <v>993.75</v>
      </c>
      <c r="G371">
        <v>283.8</v>
      </c>
      <c r="H371">
        <v>542.5</v>
      </c>
      <c r="I371">
        <v>42.78</v>
      </c>
      <c r="J371">
        <v>6.0894000000000004</v>
      </c>
    </row>
    <row r="372" spans="2:10" x14ac:dyDescent="0.3">
      <c r="B372" s="10">
        <f t="shared" si="10"/>
        <v>2024</v>
      </c>
      <c r="C372" s="10">
        <f t="shared" si="11"/>
        <v>12</v>
      </c>
      <c r="D372" s="20">
        <v>45631</v>
      </c>
      <c r="E372">
        <v>426.5</v>
      </c>
      <c r="F372">
        <v>993.75</v>
      </c>
      <c r="G372">
        <v>287.39999999999998</v>
      </c>
      <c r="H372">
        <v>546.75</v>
      </c>
      <c r="I372">
        <v>42.12</v>
      </c>
      <c r="J372">
        <v>6.0113000000000003</v>
      </c>
    </row>
    <row r="373" spans="2:10" x14ac:dyDescent="0.3">
      <c r="B373" s="10">
        <f t="shared" si="10"/>
        <v>2024</v>
      </c>
      <c r="C373" s="10">
        <f t="shared" si="11"/>
        <v>12</v>
      </c>
      <c r="D373" s="20">
        <v>45630</v>
      </c>
      <c r="E373">
        <v>422</v>
      </c>
      <c r="F373">
        <v>983.75</v>
      </c>
      <c r="G373">
        <v>288</v>
      </c>
      <c r="H373">
        <v>538</v>
      </c>
      <c r="I373">
        <v>41.23</v>
      </c>
      <c r="J373">
        <v>6.0408999999999997</v>
      </c>
    </row>
    <row r="374" spans="2:10" x14ac:dyDescent="0.3">
      <c r="B374" s="10">
        <f t="shared" si="10"/>
        <v>2024</v>
      </c>
      <c r="C374" s="10">
        <f t="shared" si="11"/>
        <v>12</v>
      </c>
      <c r="D374" s="20">
        <v>45629</v>
      </c>
      <c r="E374">
        <v>423.25</v>
      </c>
      <c r="F374">
        <v>991.75</v>
      </c>
      <c r="G374">
        <v>286</v>
      </c>
      <c r="H374">
        <v>536.75</v>
      </c>
      <c r="I374">
        <v>41.95</v>
      </c>
      <c r="J374">
        <v>6.0439999999999996</v>
      </c>
    </row>
    <row r="375" spans="2:10" x14ac:dyDescent="0.3">
      <c r="B375" s="10">
        <f t="shared" si="10"/>
        <v>2024</v>
      </c>
      <c r="C375" s="10">
        <f t="shared" si="11"/>
        <v>12</v>
      </c>
      <c r="D375" s="20">
        <v>45628</v>
      </c>
      <c r="E375">
        <v>424.5</v>
      </c>
      <c r="F375">
        <v>985.25</v>
      </c>
      <c r="G375">
        <v>283.39999999999998</v>
      </c>
      <c r="H375">
        <v>537.5</v>
      </c>
      <c r="I375">
        <v>41.27</v>
      </c>
      <c r="J375">
        <v>6.0579999999999998</v>
      </c>
    </row>
    <row r="376" spans="2:10" x14ac:dyDescent="0.3">
      <c r="B376" s="10">
        <f t="shared" si="10"/>
        <v>2024</v>
      </c>
      <c r="C376" s="10">
        <f t="shared" si="11"/>
        <v>11</v>
      </c>
      <c r="D376" s="20">
        <v>45625</v>
      </c>
      <c r="E376">
        <v>423</v>
      </c>
      <c r="F376">
        <v>989.5</v>
      </c>
      <c r="G376">
        <v>287.10000000000002</v>
      </c>
      <c r="H376">
        <v>532.25</v>
      </c>
      <c r="I376">
        <v>41.61</v>
      </c>
      <c r="J376">
        <v>5.9729999999999999</v>
      </c>
    </row>
    <row r="377" spans="2:10" x14ac:dyDescent="0.3">
      <c r="B377" s="10">
        <f t="shared" si="10"/>
        <v>2024</v>
      </c>
      <c r="C377" s="10">
        <f t="shared" si="11"/>
        <v>11</v>
      </c>
      <c r="D377" s="20">
        <v>45624</v>
      </c>
      <c r="J377">
        <v>6.0141999999999998</v>
      </c>
    </row>
    <row r="378" spans="2:10" x14ac:dyDescent="0.3">
      <c r="B378" s="10">
        <f t="shared" si="10"/>
        <v>2024</v>
      </c>
      <c r="C378" s="10">
        <f t="shared" si="11"/>
        <v>11</v>
      </c>
      <c r="D378" s="20">
        <v>45623</v>
      </c>
      <c r="E378">
        <v>415.75</v>
      </c>
      <c r="F378">
        <v>988.75</v>
      </c>
      <c r="G378">
        <v>290.5</v>
      </c>
      <c r="H378">
        <v>537.75</v>
      </c>
      <c r="I378">
        <v>40.75</v>
      </c>
      <c r="J378">
        <v>5.9377000000000004</v>
      </c>
    </row>
    <row r="379" spans="2:10" x14ac:dyDescent="0.3">
      <c r="B379" s="10">
        <f t="shared" si="10"/>
        <v>2024</v>
      </c>
      <c r="C379" s="10">
        <f t="shared" si="11"/>
        <v>11</v>
      </c>
      <c r="D379" s="20">
        <v>45622</v>
      </c>
      <c r="E379">
        <v>420</v>
      </c>
      <c r="F379">
        <v>983.5</v>
      </c>
      <c r="G379">
        <v>288.10000000000002</v>
      </c>
      <c r="H379">
        <v>539.5</v>
      </c>
      <c r="I379">
        <v>42.59</v>
      </c>
      <c r="J379">
        <v>5.8094999999999999</v>
      </c>
    </row>
    <row r="380" spans="2:10" x14ac:dyDescent="0.3">
      <c r="B380" s="10">
        <f t="shared" si="10"/>
        <v>2024</v>
      </c>
      <c r="C380" s="10">
        <f t="shared" si="11"/>
        <v>11</v>
      </c>
      <c r="D380" s="20">
        <v>45621</v>
      </c>
      <c r="E380">
        <v>424.75</v>
      </c>
      <c r="F380">
        <v>985.75</v>
      </c>
      <c r="G380">
        <v>293.7</v>
      </c>
      <c r="H380">
        <v>535.75</v>
      </c>
      <c r="I380">
        <v>41.21</v>
      </c>
      <c r="J380">
        <v>5.7983000000000002</v>
      </c>
    </row>
    <row r="381" spans="2:10" x14ac:dyDescent="0.3">
      <c r="B381" s="10">
        <f t="shared" si="10"/>
        <v>2024</v>
      </c>
      <c r="C381" s="10">
        <f t="shared" si="11"/>
        <v>11</v>
      </c>
      <c r="D381" s="20">
        <v>45618</v>
      </c>
      <c r="E381">
        <v>425.5</v>
      </c>
      <c r="F381">
        <v>983.5</v>
      </c>
      <c r="G381">
        <v>289.2</v>
      </c>
      <c r="H381">
        <v>544.25</v>
      </c>
      <c r="I381">
        <v>41.77</v>
      </c>
      <c r="J381">
        <v>5.8010000000000002</v>
      </c>
    </row>
    <row r="382" spans="2:10" x14ac:dyDescent="0.3">
      <c r="B382" s="10">
        <f t="shared" si="10"/>
        <v>2024</v>
      </c>
      <c r="C382" s="10">
        <f t="shared" si="11"/>
        <v>11</v>
      </c>
      <c r="D382" s="20">
        <v>45617</v>
      </c>
      <c r="E382">
        <v>426.75</v>
      </c>
      <c r="F382">
        <v>977.75</v>
      </c>
      <c r="G382">
        <v>287.7</v>
      </c>
      <c r="H382">
        <v>548.75</v>
      </c>
      <c r="I382">
        <v>42.18</v>
      </c>
      <c r="J382">
        <v>5.8144</v>
      </c>
    </row>
    <row r="383" spans="2:10" x14ac:dyDescent="0.3">
      <c r="B383" s="10">
        <f t="shared" si="10"/>
        <v>2024</v>
      </c>
      <c r="C383" s="10">
        <f t="shared" si="11"/>
        <v>11</v>
      </c>
      <c r="D383" s="20">
        <v>45616</v>
      </c>
      <c r="E383">
        <v>430.25</v>
      </c>
      <c r="F383">
        <v>990.5</v>
      </c>
      <c r="G383">
        <v>289.39999999999998</v>
      </c>
      <c r="H383">
        <v>552.5</v>
      </c>
      <c r="I383">
        <v>43.28</v>
      </c>
      <c r="J383">
        <v>5.7725</v>
      </c>
    </row>
    <row r="384" spans="2:10" x14ac:dyDescent="0.3">
      <c r="B384" s="10">
        <f t="shared" si="10"/>
        <v>2024</v>
      </c>
      <c r="C384" s="10">
        <f t="shared" si="11"/>
        <v>11</v>
      </c>
      <c r="D384" s="20">
        <v>45615</v>
      </c>
      <c r="E384">
        <v>427.25</v>
      </c>
      <c r="F384">
        <v>998.5</v>
      </c>
      <c r="G384">
        <v>288.60000000000002</v>
      </c>
      <c r="H384">
        <v>549.75</v>
      </c>
      <c r="I384">
        <v>44.84</v>
      </c>
      <c r="J384">
        <v>5.7694000000000001</v>
      </c>
    </row>
    <row r="385" spans="2:10" x14ac:dyDescent="0.3">
      <c r="B385" s="10">
        <f t="shared" si="10"/>
        <v>2024</v>
      </c>
      <c r="C385" s="10">
        <f t="shared" si="11"/>
        <v>11</v>
      </c>
      <c r="D385" s="20">
        <v>45614</v>
      </c>
      <c r="E385">
        <v>429.25</v>
      </c>
      <c r="F385">
        <v>1009.75</v>
      </c>
      <c r="G385">
        <v>290.3</v>
      </c>
      <c r="H385">
        <v>547.25</v>
      </c>
      <c r="I385">
        <v>45.52</v>
      </c>
      <c r="J385">
        <v>5.7473000000000001</v>
      </c>
    </row>
    <row r="386" spans="2:10" x14ac:dyDescent="0.3">
      <c r="B386" s="10">
        <f t="shared" si="10"/>
        <v>2024</v>
      </c>
      <c r="C386" s="10">
        <f t="shared" si="11"/>
        <v>11</v>
      </c>
      <c r="D386" s="20">
        <v>45611</v>
      </c>
      <c r="E386">
        <v>424</v>
      </c>
      <c r="F386">
        <v>998.5</v>
      </c>
      <c r="G386">
        <v>289.60000000000002</v>
      </c>
      <c r="H386">
        <v>536.5</v>
      </c>
      <c r="I386">
        <v>45.35</v>
      </c>
      <c r="J386">
        <v>5.7946999999999997</v>
      </c>
    </row>
    <row r="387" spans="2:10" x14ac:dyDescent="0.3">
      <c r="B387" s="10">
        <f t="shared" si="10"/>
        <v>2024</v>
      </c>
      <c r="C387" s="10">
        <f t="shared" si="11"/>
        <v>11</v>
      </c>
      <c r="D387" s="20">
        <v>45610</v>
      </c>
      <c r="E387">
        <v>419</v>
      </c>
      <c r="F387">
        <v>985.75</v>
      </c>
      <c r="G387">
        <v>287</v>
      </c>
      <c r="H387">
        <v>530.25</v>
      </c>
      <c r="I387">
        <v>44.44</v>
      </c>
      <c r="J387">
        <v>5.7889999999999997</v>
      </c>
    </row>
    <row r="388" spans="2:10" x14ac:dyDescent="0.3">
      <c r="B388" s="10">
        <f t="shared" si="10"/>
        <v>2024</v>
      </c>
      <c r="C388" s="10">
        <f t="shared" si="11"/>
        <v>11</v>
      </c>
      <c r="D388" s="20">
        <v>45609</v>
      </c>
      <c r="E388">
        <v>426.5</v>
      </c>
      <c r="F388">
        <v>1004.25</v>
      </c>
      <c r="G388">
        <v>291.60000000000002</v>
      </c>
      <c r="H388">
        <v>541</v>
      </c>
      <c r="I388">
        <v>45.18</v>
      </c>
      <c r="J388">
        <v>5.8060999999999998</v>
      </c>
    </row>
    <row r="389" spans="2:10" x14ac:dyDescent="0.3">
      <c r="B389" s="10">
        <f t="shared" si="10"/>
        <v>2024</v>
      </c>
      <c r="C389" s="10">
        <f t="shared" si="11"/>
        <v>11</v>
      </c>
      <c r="D389" s="20">
        <v>45608</v>
      </c>
      <c r="E389">
        <v>428.5</v>
      </c>
      <c r="F389">
        <v>1003.5</v>
      </c>
      <c r="G389">
        <v>292.89999999999998</v>
      </c>
      <c r="H389">
        <v>552.25</v>
      </c>
      <c r="I389">
        <v>46.23</v>
      </c>
      <c r="J389">
        <v>5.7489999999999997</v>
      </c>
    </row>
    <row r="390" spans="2:10" x14ac:dyDescent="0.3">
      <c r="B390" s="10">
        <f t="shared" ref="B390:B453" si="12">YEAR(D390)</f>
        <v>2024</v>
      </c>
      <c r="C390" s="10">
        <f t="shared" ref="C390:C453" si="13">MONTH(D390)</f>
        <v>11</v>
      </c>
      <c r="D390" s="20">
        <v>45607</v>
      </c>
      <c r="E390">
        <v>430</v>
      </c>
      <c r="F390">
        <v>1011.75</v>
      </c>
      <c r="G390">
        <v>295.10000000000002</v>
      </c>
      <c r="H390">
        <v>565.5</v>
      </c>
      <c r="I390">
        <v>48.14</v>
      </c>
      <c r="J390">
        <v>5.7558999999999996</v>
      </c>
    </row>
    <row r="391" spans="2:10" x14ac:dyDescent="0.3">
      <c r="B391" s="10">
        <f t="shared" si="12"/>
        <v>2024</v>
      </c>
      <c r="C391" s="10">
        <f t="shared" si="13"/>
        <v>11</v>
      </c>
      <c r="D391" s="20">
        <v>45604</v>
      </c>
      <c r="E391">
        <v>431</v>
      </c>
      <c r="F391">
        <v>1016.75</v>
      </c>
      <c r="G391">
        <v>296.2</v>
      </c>
      <c r="H391">
        <v>572.5</v>
      </c>
      <c r="I391">
        <v>48.77</v>
      </c>
      <c r="J391">
        <v>5.7375999999999996</v>
      </c>
    </row>
    <row r="392" spans="2:10" x14ac:dyDescent="0.3">
      <c r="B392" s="10">
        <f t="shared" si="12"/>
        <v>2024</v>
      </c>
      <c r="C392" s="10">
        <f t="shared" si="13"/>
        <v>11</v>
      </c>
      <c r="D392" s="20">
        <v>45603</v>
      </c>
      <c r="E392">
        <v>427.5</v>
      </c>
      <c r="F392">
        <v>1015.5</v>
      </c>
      <c r="G392">
        <v>298.5</v>
      </c>
      <c r="H392">
        <v>571.5</v>
      </c>
      <c r="I392">
        <v>48.32</v>
      </c>
      <c r="J392">
        <v>5.6923000000000004</v>
      </c>
    </row>
    <row r="393" spans="2:10" x14ac:dyDescent="0.3">
      <c r="B393" s="10">
        <f t="shared" si="12"/>
        <v>2024</v>
      </c>
      <c r="C393" s="10">
        <f t="shared" si="13"/>
        <v>11</v>
      </c>
      <c r="D393" s="20">
        <v>45602</v>
      </c>
      <c r="E393">
        <v>426.25</v>
      </c>
      <c r="F393">
        <v>994.5</v>
      </c>
      <c r="G393">
        <v>298.39999999999998</v>
      </c>
      <c r="H393">
        <v>573.25</v>
      </c>
      <c r="I393">
        <v>46.34</v>
      </c>
      <c r="J393">
        <v>5.6792999999999996</v>
      </c>
    </row>
    <row r="394" spans="2:10" x14ac:dyDescent="0.3">
      <c r="B394" s="10">
        <f t="shared" si="12"/>
        <v>2024</v>
      </c>
      <c r="C394" s="10">
        <f t="shared" si="13"/>
        <v>11</v>
      </c>
      <c r="D394" s="20">
        <v>45601</v>
      </c>
      <c r="E394">
        <v>418.5</v>
      </c>
      <c r="F394">
        <v>993.75</v>
      </c>
      <c r="G394">
        <v>299.5</v>
      </c>
      <c r="H394">
        <v>572.5</v>
      </c>
      <c r="I394">
        <v>44.99</v>
      </c>
      <c r="J394">
        <v>5.7507999999999999</v>
      </c>
    </row>
    <row r="395" spans="2:10" x14ac:dyDescent="0.3">
      <c r="B395" s="10">
        <f t="shared" si="12"/>
        <v>2024</v>
      </c>
      <c r="C395" s="10">
        <f t="shared" si="13"/>
        <v>11</v>
      </c>
      <c r="D395" s="20">
        <v>45600</v>
      </c>
      <c r="E395">
        <v>416.5</v>
      </c>
      <c r="F395">
        <v>987.25</v>
      </c>
      <c r="G395">
        <v>299.60000000000002</v>
      </c>
      <c r="H395">
        <v>568.75</v>
      </c>
      <c r="I395">
        <v>45.56</v>
      </c>
      <c r="J395">
        <v>5.7915999999999999</v>
      </c>
    </row>
    <row r="396" spans="2:10" x14ac:dyDescent="0.3">
      <c r="B396" s="10">
        <f t="shared" si="12"/>
        <v>2024</v>
      </c>
      <c r="C396" s="10">
        <f t="shared" si="13"/>
        <v>11</v>
      </c>
      <c r="D396" s="20">
        <v>45597</v>
      </c>
      <c r="E396">
        <v>414.5</v>
      </c>
      <c r="F396">
        <v>982.5</v>
      </c>
      <c r="G396">
        <v>295.3</v>
      </c>
      <c r="H396">
        <v>568</v>
      </c>
      <c r="I396">
        <v>46.3</v>
      </c>
      <c r="J396">
        <v>5.8681000000000001</v>
      </c>
    </row>
    <row r="397" spans="2:10" x14ac:dyDescent="0.3">
      <c r="B397" s="10">
        <f t="shared" si="12"/>
        <v>2024</v>
      </c>
      <c r="C397" s="10">
        <f t="shared" si="13"/>
        <v>10</v>
      </c>
      <c r="D397" s="20">
        <v>45596</v>
      </c>
      <c r="E397">
        <v>410.75</v>
      </c>
      <c r="F397">
        <v>982.5</v>
      </c>
      <c r="G397">
        <v>299.5</v>
      </c>
      <c r="H397">
        <v>570.5</v>
      </c>
      <c r="I397">
        <v>45.14</v>
      </c>
      <c r="J397">
        <v>5.7866999999999997</v>
      </c>
    </row>
    <row r="398" spans="2:10" x14ac:dyDescent="0.3">
      <c r="B398" s="10">
        <f t="shared" si="12"/>
        <v>2024</v>
      </c>
      <c r="C398" s="10">
        <f t="shared" si="13"/>
        <v>10</v>
      </c>
      <c r="D398" s="20">
        <v>45595</v>
      </c>
      <c r="E398">
        <v>411.5</v>
      </c>
      <c r="F398">
        <v>976.5</v>
      </c>
      <c r="G398">
        <v>301.60000000000002</v>
      </c>
      <c r="H398">
        <v>573.25</v>
      </c>
      <c r="I398">
        <v>43.81</v>
      </c>
      <c r="J398">
        <v>5.7629999999999999</v>
      </c>
    </row>
    <row r="399" spans="2:10" x14ac:dyDescent="0.3">
      <c r="B399" s="10">
        <f t="shared" si="12"/>
        <v>2024</v>
      </c>
      <c r="C399" s="10">
        <f t="shared" si="13"/>
        <v>10</v>
      </c>
      <c r="D399" s="20">
        <v>45594</v>
      </c>
      <c r="E399">
        <v>413.75</v>
      </c>
      <c r="F399">
        <v>965.25</v>
      </c>
      <c r="G399">
        <v>301.8</v>
      </c>
      <c r="H399">
        <v>570.5</v>
      </c>
      <c r="I399">
        <v>42.8</v>
      </c>
      <c r="J399">
        <v>5.7603999999999997</v>
      </c>
    </row>
    <row r="400" spans="2:10" x14ac:dyDescent="0.3">
      <c r="B400" s="10">
        <f t="shared" si="12"/>
        <v>2024</v>
      </c>
      <c r="C400" s="10">
        <f t="shared" si="13"/>
        <v>10</v>
      </c>
      <c r="D400" s="20">
        <v>45593</v>
      </c>
      <c r="E400">
        <v>410.75</v>
      </c>
      <c r="F400">
        <v>974</v>
      </c>
      <c r="G400">
        <v>304.8</v>
      </c>
      <c r="H400">
        <v>558.75</v>
      </c>
      <c r="I400">
        <v>42.69</v>
      </c>
      <c r="J400">
        <v>5.7096</v>
      </c>
    </row>
    <row r="401" spans="2:10" x14ac:dyDescent="0.3">
      <c r="B401" s="10">
        <f t="shared" si="12"/>
        <v>2024</v>
      </c>
      <c r="C401" s="10">
        <f t="shared" si="13"/>
        <v>10</v>
      </c>
      <c r="D401" s="20">
        <v>45590</v>
      </c>
      <c r="E401">
        <v>415.25</v>
      </c>
      <c r="F401">
        <v>987.75</v>
      </c>
      <c r="G401">
        <v>305.8</v>
      </c>
      <c r="H401">
        <v>569</v>
      </c>
      <c r="I401">
        <v>44.15</v>
      </c>
      <c r="J401">
        <v>5.7073</v>
      </c>
    </row>
    <row r="402" spans="2:10" x14ac:dyDescent="0.3">
      <c r="B402" s="10">
        <f t="shared" si="12"/>
        <v>2024</v>
      </c>
      <c r="C402" s="10">
        <f t="shared" si="13"/>
        <v>10</v>
      </c>
      <c r="D402" s="20">
        <v>45589</v>
      </c>
      <c r="E402">
        <v>421.5</v>
      </c>
      <c r="F402">
        <v>996.25</v>
      </c>
      <c r="G402">
        <v>310.39999999999998</v>
      </c>
      <c r="H402">
        <v>581.5</v>
      </c>
      <c r="I402">
        <v>44.33</v>
      </c>
      <c r="J402">
        <v>5.6642999999999999</v>
      </c>
    </row>
    <row r="403" spans="2:10" x14ac:dyDescent="0.3">
      <c r="B403" s="10">
        <f t="shared" si="12"/>
        <v>2024</v>
      </c>
      <c r="C403" s="10">
        <f t="shared" si="13"/>
        <v>10</v>
      </c>
      <c r="D403" s="20">
        <v>45588</v>
      </c>
      <c r="E403">
        <v>419</v>
      </c>
      <c r="F403">
        <v>997.5</v>
      </c>
      <c r="G403">
        <v>315</v>
      </c>
      <c r="H403">
        <v>578.5</v>
      </c>
      <c r="I403">
        <v>43.39</v>
      </c>
      <c r="J403">
        <v>5.6883999999999997</v>
      </c>
    </row>
    <row r="404" spans="2:10" x14ac:dyDescent="0.3">
      <c r="B404" s="10">
        <f t="shared" si="12"/>
        <v>2024</v>
      </c>
      <c r="C404" s="10">
        <f t="shared" si="13"/>
        <v>10</v>
      </c>
      <c r="D404" s="20">
        <v>45587</v>
      </c>
      <c r="E404">
        <v>416.5</v>
      </c>
      <c r="F404">
        <v>991.75</v>
      </c>
      <c r="G404">
        <v>317.7</v>
      </c>
      <c r="H404">
        <v>576</v>
      </c>
      <c r="I404">
        <v>43.69</v>
      </c>
      <c r="J404">
        <v>5.6894</v>
      </c>
    </row>
    <row r="405" spans="2:10" x14ac:dyDescent="0.3">
      <c r="B405" s="10">
        <f t="shared" si="12"/>
        <v>2024</v>
      </c>
      <c r="C405" s="10">
        <f t="shared" si="13"/>
        <v>10</v>
      </c>
      <c r="D405" s="20">
        <v>45586</v>
      </c>
      <c r="E405">
        <v>409.5</v>
      </c>
      <c r="F405">
        <v>981</v>
      </c>
      <c r="G405">
        <v>318.3</v>
      </c>
      <c r="H405">
        <v>572.25</v>
      </c>
      <c r="I405">
        <v>42.39</v>
      </c>
      <c r="J405">
        <v>5.6939000000000002</v>
      </c>
    </row>
    <row r="406" spans="2:10" x14ac:dyDescent="0.3">
      <c r="B406" s="10">
        <f t="shared" si="12"/>
        <v>2024</v>
      </c>
      <c r="C406" s="10">
        <f t="shared" si="13"/>
        <v>10</v>
      </c>
      <c r="D406" s="20">
        <v>45583</v>
      </c>
      <c r="E406">
        <v>404.75</v>
      </c>
      <c r="F406">
        <v>970</v>
      </c>
      <c r="G406">
        <v>315.60000000000002</v>
      </c>
      <c r="H406">
        <v>572.75</v>
      </c>
      <c r="I406">
        <v>41.82</v>
      </c>
      <c r="J406">
        <v>5.6912000000000003</v>
      </c>
    </row>
    <row r="407" spans="2:10" x14ac:dyDescent="0.3">
      <c r="B407" s="10">
        <f t="shared" si="12"/>
        <v>2024</v>
      </c>
      <c r="C407" s="10">
        <f t="shared" si="13"/>
        <v>10</v>
      </c>
      <c r="D407" s="20">
        <v>45582</v>
      </c>
      <c r="E407">
        <v>406.75</v>
      </c>
      <c r="F407">
        <v>988.75</v>
      </c>
      <c r="G407">
        <v>318.10000000000002</v>
      </c>
      <c r="H407">
        <v>589.5</v>
      </c>
      <c r="I407">
        <v>42.59</v>
      </c>
      <c r="J407">
        <v>5.6546000000000003</v>
      </c>
    </row>
    <row r="408" spans="2:10" x14ac:dyDescent="0.3">
      <c r="B408" s="10">
        <f t="shared" si="12"/>
        <v>2024</v>
      </c>
      <c r="C408" s="10">
        <f t="shared" si="13"/>
        <v>10</v>
      </c>
      <c r="D408" s="20">
        <v>45581</v>
      </c>
      <c r="E408">
        <v>404.75</v>
      </c>
      <c r="F408">
        <v>980</v>
      </c>
      <c r="G408">
        <v>313.7</v>
      </c>
      <c r="H408">
        <v>585</v>
      </c>
      <c r="I408">
        <v>41.68</v>
      </c>
      <c r="J408">
        <v>5.6651999999999996</v>
      </c>
    </row>
    <row r="409" spans="2:10" x14ac:dyDescent="0.3">
      <c r="B409" s="10">
        <f t="shared" si="12"/>
        <v>2024</v>
      </c>
      <c r="C409" s="10">
        <f t="shared" si="13"/>
        <v>10</v>
      </c>
      <c r="D409" s="20">
        <v>45580</v>
      </c>
      <c r="E409">
        <v>401.25</v>
      </c>
      <c r="F409">
        <v>991</v>
      </c>
      <c r="G409">
        <v>311.8</v>
      </c>
      <c r="H409">
        <v>579.5</v>
      </c>
      <c r="I409">
        <v>42.45</v>
      </c>
      <c r="J409">
        <v>5.6501999999999999</v>
      </c>
    </row>
    <row r="410" spans="2:10" x14ac:dyDescent="0.3">
      <c r="B410" s="10">
        <f t="shared" si="12"/>
        <v>2024</v>
      </c>
      <c r="C410" s="10">
        <f t="shared" si="13"/>
        <v>10</v>
      </c>
      <c r="D410" s="20">
        <v>45579</v>
      </c>
      <c r="E410">
        <v>408.25</v>
      </c>
      <c r="F410">
        <v>996</v>
      </c>
      <c r="G410">
        <v>316.5</v>
      </c>
      <c r="H410">
        <v>585.25</v>
      </c>
      <c r="I410">
        <v>42.16</v>
      </c>
      <c r="J410">
        <v>5.5928000000000004</v>
      </c>
    </row>
    <row r="411" spans="2:10" x14ac:dyDescent="0.3">
      <c r="B411" s="10">
        <f t="shared" si="12"/>
        <v>2024</v>
      </c>
      <c r="C411" s="10">
        <f t="shared" si="13"/>
        <v>10</v>
      </c>
      <c r="D411" s="20">
        <v>45576</v>
      </c>
      <c r="E411">
        <v>415.75</v>
      </c>
      <c r="F411">
        <v>1005.5</v>
      </c>
      <c r="G411">
        <v>316.5</v>
      </c>
      <c r="H411">
        <v>599</v>
      </c>
      <c r="I411">
        <v>43.44</v>
      </c>
      <c r="J411">
        <v>5.6125999999999996</v>
      </c>
    </row>
    <row r="412" spans="2:10" x14ac:dyDescent="0.3">
      <c r="B412" s="10">
        <f t="shared" si="12"/>
        <v>2024</v>
      </c>
      <c r="C412" s="10">
        <f t="shared" si="13"/>
        <v>10</v>
      </c>
      <c r="D412" s="20">
        <v>45575</v>
      </c>
      <c r="E412">
        <v>418.5</v>
      </c>
      <c r="F412">
        <v>1014.75</v>
      </c>
      <c r="G412">
        <v>317.5</v>
      </c>
      <c r="H412">
        <v>603.75</v>
      </c>
      <c r="I412">
        <v>43.87</v>
      </c>
      <c r="J412">
        <v>5.5820999999999996</v>
      </c>
    </row>
    <row r="413" spans="2:10" x14ac:dyDescent="0.3">
      <c r="B413" s="10">
        <f t="shared" si="12"/>
        <v>2024</v>
      </c>
      <c r="C413" s="10">
        <f t="shared" si="13"/>
        <v>10</v>
      </c>
      <c r="D413" s="20">
        <v>45574</v>
      </c>
      <c r="E413">
        <v>421</v>
      </c>
      <c r="F413">
        <v>1020.25</v>
      </c>
      <c r="G413">
        <v>322.5</v>
      </c>
      <c r="H413">
        <v>599</v>
      </c>
      <c r="I413">
        <v>43.26</v>
      </c>
      <c r="J413">
        <v>5.5941000000000001</v>
      </c>
    </row>
    <row r="414" spans="2:10" x14ac:dyDescent="0.3">
      <c r="B414" s="10">
        <f t="shared" si="12"/>
        <v>2024</v>
      </c>
      <c r="C414" s="10">
        <f t="shared" si="13"/>
        <v>10</v>
      </c>
      <c r="D414" s="20">
        <v>45573</v>
      </c>
      <c r="E414">
        <v>420.75</v>
      </c>
      <c r="F414">
        <v>1016.25</v>
      </c>
      <c r="G414">
        <v>323.60000000000002</v>
      </c>
      <c r="H414">
        <v>594.75</v>
      </c>
      <c r="I414">
        <v>43.37</v>
      </c>
      <c r="J414">
        <v>5.5349000000000004</v>
      </c>
    </row>
    <row r="415" spans="2:10" x14ac:dyDescent="0.3">
      <c r="B415" s="10">
        <f t="shared" si="12"/>
        <v>2024</v>
      </c>
      <c r="C415" s="10">
        <f t="shared" si="13"/>
        <v>10</v>
      </c>
      <c r="D415" s="20">
        <v>45572</v>
      </c>
      <c r="E415">
        <v>426</v>
      </c>
      <c r="F415">
        <v>1034</v>
      </c>
      <c r="G415">
        <v>324.8</v>
      </c>
      <c r="H415">
        <v>592.5</v>
      </c>
      <c r="I415">
        <v>44.56</v>
      </c>
      <c r="J415">
        <v>5.49</v>
      </c>
    </row>
    <row r="416" spans="2:10" x14ac:dyDescent="0.3">
      <c r="B416" s="10">
        <f t="shared" si="12"/>
        <v>2024</v>
      </c>
      <c r="C416" s="10">
        <f t="shared" si="13"/>
        <v>10</v>
      </c>
      <c r="D416" s="20">
        <v>45569</v>
      </c>
      <c r="E416">
        <v>424.75</v>
      </c>
      <c r="F416">
        <v>1037.75</v>
      </c>
      <c r="G416">
        <v>330.5</v>
      </c>
      <c r="H416">
        <v>589.75</v>
      </c>
      <c r="I416">
        <v>44.04</v>
      </c>
      <c r="J416">
        <v>5.4554999999999998</v>
      </c>
    </row>
    <row r="417" spans="2:10" x14ac:dyDescent="0.3">
      <c r="B417" s="10">
        <f t="shared" si="12"/>
        <v>2024</v>
      </c>
      <c r="C417" s="10">
        <f t="shared" si="13"/>
        <v>10</v>
      </c>
      <c r="D417" s="20">
        <v>45568</v>
      </c>
      <c r="E417">
        <v>428.25</v>
      </c>
      <c r="F417">
        <v>1046</v>
      </c>
      <c r="G417">
        <v>332.8</v>
      </c>
      <c r="H417">
        <v>603.5</v>
      </c>
      <c r="I417">
        <v>44.69</v>
      </c>
      <c r="J417">
        <v>5.4759000000000002</v>
      </c>
    </row>
    <row r="418" spans="2:10" x14ac:dyDescent="0.3">
      <c r="B418" s="10">
        <f t="shared" si="12"/>
        <v>2024</v>
      </c>
      <c r="C418" s="10">
        <f t="shared" si="13"/>
        <v>10</v>
      </c>
      <c r="D418" s="20">
        <v>45567</v>
      </c>
      <c r="E418">
        <v>432.5</v>
      </c>
      <c r="F418">
        <v>1056</v>
      </c>
      <c r="G418">
        <v>341.4</v>
      </c>
      <c r="H418">
        <v>615.25</v>
      </c>
      <c r="I418">
        <v>43.72</v>
      </c>
      <c r="J418">
        <v>5.4406999999999996</v>
      </c>
    </row>
    <row r="419" spans="2:10" x14ac:dyDescent="0.3">
      <c r="B419" s="10">
        <f t="shared" si="12"/>
        <v>2024</v>
      </c>
      <c r="C419" s="10">
        <f t="shared" si="13"/>
        <v>10</v>
      </c>
      <c r="D419" s="20">
        <v>45566</v>
      </c>
      <c r="E419">
        <v>429</v>
      </c>
      <c r="F419">
        <v>1057.25</v>
      </c>
      <c r="G419">
        <v>350</v>
      </c>
      <c r="H419">
        <v>599</v>
      </c>
      <c r="I419">
        <v>42.91</v>
      </c>
      <c r="J419">
        <v>5.4367999999999999</v>
      </c>
    </row>
    <row r="420" spans="2:10" x14ac:dyDescent="0.3">
      <c r="B420" s="10">
        <f t="shared" si="12"/>
        <v>2024</v>
      </c>
      <c r="C420" s="10">
        <f t="shared" si="13"/>
        <v>9</v>
      </c>
      <c r="D420" s="20">
        <v>45565</v>
      </c>
      <c r="E420">
        <v>424.75</v>
      </c>
      <c r="F420">
        <v>1057</v>
      </c>
      <c r="G420">
        <v>344.3</v>
      </c>
      <c r="H420">
        <v>584</v>
      </c>
      <c r="I420">
        <v>43.51</v>
      </c>
      <c r="J420">
        <v>5.4481999999999999</v>
      </c>
    </row>
    <row r="421" spans="2:10" x14ac:dyDescent="0.3">
      <c r="B421" s="10">
        <f t="shared" si="12"/>
        <v>2024</v>
      </c>
      <c r="C421" s="10">
        <f t="shared" si="13"/>
        <v>9</v>
      </c>
      <c r="D421" s="20">
        <v>45562</v>
      </c>
      <c r="E421">
        <v>418</v>
      </c>
      <c r="F421">
        <v>1065.75</v>
      </c>
      <c r="G421">
        <v>343.7</v>
      </c>
      <c r="H421">
        <v>580</v>
      </c>
      <c r="I421">
        <v>42.18</v>
      </c>
      <c r="J421">
        <v>5.4329000000000001</v>
      </c>
    </row>
    <row r="422" spans="2:10" x14ac:dyDescent="0.3">
      <c r="B422" s="10">
        <f t="shared" si="12"/>
        <v>2024</v>
      </c>
      <c r="C422" s="10">
        <f t="shared" si="13"/>
        <v>9</v>
      </c>
      <c r="D422" s="20">
        <v>45561</v>
      </c>
      <c r="E422">
        <v>413.25</v>
      </c>
      <c r="F422">
        <v>1041</v>
      </c>
      <c r="G422">
        <v>324.2</v>
      </c>
      <c r="H422">
        <v>584.25</v>
      </c>
      <c r="I422">
        <v>42.92</v>
      </c>
      <c r="J422">
        <v>5.4375</v>
      </c>
    </row>
    <row r="423" spans="2:10" x14ac:dyDescent="0.3">
      <c r="B423" s="10">
        <f t="shared" si="12"/>
        <v>2024</v>
      </c>
      <c r="C423" s="10">
        <f t="shared" si="13"/>
        <v>9</v>
      </c>
      <c r="D423" s="20">
        <v>45560</v>
      </c>
      <c r="E423">
        <v>415.25</v>
      </c>
      <c r="F423">
        <v>1053.25</v>
      </c>
      <c r="G423">
        <v>326.10000000000002</v>
      </c>
      <c r="H423">
        <v>589.25</v>
      </c>
      <c r="I423">
        <v>44.38</v>
      </c>
      <c r="J423">
        <v>5.4774000000000003</v>
      </c>
    </row>
    <row r="424" spans="2:10" x14ac:dyDescent="0.3">
      <c r="B424" s="10">
        <f t="shared" si="12"/>
        <v>2024</v>
      </c>
      <c r="C424" s="10">
        <f t="shared" si="13"/>
        <v>9</v>
      </c>
      <c r="D424" s="20">
        <v>45559</v>
      </c>
      <c r="E424">
        <v>411.75</v>
      </c>
      <c r="F424">
        <v>1042.25</v>
      </c>
      <c r="G424">
        <v>323.60000000000002</v>
      </c>
      <c r="H424">
        <v>578</v>
      </c>
      <c r="I424">
        <v>43.95</v>
      </c>
      <c r="J424">
        <v>5.4546999999999999</v>
      </c>
    </row>
    <row r="425" spans="2:10" x14ac:dyDescent="0.3">
      <c r="B425" s="10">
        <f t="shared" si="12"/>
        <v>2024</v>
      </c>
      <c r="C425" s="10">
        <f t="shared" si="13"/>
        <v>9</v>
      </c>
      <c r="D425" s="20">
        <v>45558</v>
      </c>
      <c r="E425">
        <v>413.5</v>
      </c>
      <c r="F425">
        <v>1039.25</v>
      </c>
      <c r="G425">
        <v>326.5</v>
      </c>
      <c r="H425">
        <v>582.5</v>
      </c>
      <c r="I425">
        <v>42.62</v>
      </c>
      <c r="J425">
        <v>5.5364000000000004</v>
      </c>
    </row>
    <row r="426" spans="2:10" x14ac:dyDescent="0.3">
      <c r="B426" s="10">
        <f t="shared" si="12"/>
        <v>2024</v>
      </c>
      <c r="C426" s="10">
        <f t="shared" si="13"/>
        <v>9</v>
      </c>
      <c r="D426" s="20">
        <v>45555</v>
      </c>
      <c r="E426">
        <v>401.75</v>
      </c>
      <c r="F426">
        <v>1012</v>
      </c>
      <c r="G426">
        <v>317.39999999999998</v>
      </c>
      <c r="H426">
        <v>568.5</v>
      </c>
      <c r="I426">
        <v>42.16</v>
      </c>
      <c r="J426">
        <v>5.5103</v>
      </c>
    </row>
    <row r="427" spans="2:10" x14ac:dyDescent="0.3">
      <c r="B427" s="10">
        <f t="shared" si="12"/>
        <v>2024</v>
      </c>
      <c r="C427" s="10">
        <f t="shared" si="13"/>
        <v>9</v>
      </c>
      <c r="D427" s="20">
        <v>45554</v>
      </c>
      <c r="E427">
        <v>405.75</v>
      </c>
      <c r="F427">
        <v>1013.25</v>
      </c>
      <c r="G427">
        <v>319.89999999999998</v>
      </c>
      <c r="H427">
        <v>565.5</v>
      </c>
      <c r="I427">
        <v>41.75</v>
      </c>
      <c r="J427">
        <v>5.4263000000000003</v>
      </c>
    </row>
    <row r="428" spans="2:10" x14ac:dyDescent="0.3">
      <c r="B428" s="10">
        <f t="shared" si="12"/>
        <v>2024</v>
      </c>
      <c r="C428" s="10">
        <f t="shared" si="13"/>
        <v>9</v>
      </c>
      <c r="D428" s="20">
        <v>45553</v>
      </c>
      <c r="E428">
        <v>412.75</v>
      </c>
      <c r="F428">
        <v>1014</v>
      </c>
      <c r="G428">
        <v>317.89999999999998</v>
      </c>
      <c r="H428">
        <v>575.75</v>
      </c>
      <c r="I428">
        <v>40.99</v>
      </c>
      <c r="J428">
        <v>5.4611999999999998</v>
      </c>
    </row>
    <row r="429" spans="2:10" x14ac:dyDescent="0.3">
      <c r="B429" s="10">
        <f t="shared" si="12"/>
        <v>2024</v>
      </c>
      <c r="C429" s="10">
        <f t="shared" si="13"/>
        <v>9</v>
      </c>
      <c r="D429" s="20">
        <v>45552</v>
      </c>
      <c r="E429">
        <v>412.5</v>
      </c>
      <c r="F429">
        <v>1006</v>
      </c>
      <c r="G429">
        <v>318</v>
      </c>
      <c r="H429">
        <v>575.75</v>
      </c>
      <c r="I429">
        <v>40.549999999999997</v>
      </c>
      <c r="J429">
        <v>5.4824999999999999</v>
      </c>
    </row>
    <row r="430" spans="2:10" x14ac:dyDescent="0.3">
      <c r="B430" s="10">
        <f t="shared" si="12"/>
        <v>2024</v>
      </c>
      <c r="C430" s="10">
        <f t="shared" si="13"/>
        <v>9</v>
      </c>
      <c r="D430" s="20">
        <v>45551</v>
      </c>
      <c r="E430">
        <v>410.75</v>
      </c>
      <c r="F430">
        <v>1004.5</v>
      </c>
      <c r="G430">
        <v>320.10000000000002</v>
      </c>
      <c r="H430">
        <v>578.5</v>
      </c>
      <c r="I430">
        <v>39.75</v>
      </c>
      <c r="J430">
        <v>5.51</v>
      </c>
    </row>
    <row r="431" spans="2:10" x14ac:dyDescent="0.3">
      <c r="B431" s="10">
        <f t="shared" si="12"/>
        <v>2024</v>
      </c>
      <c r="C431" s="10">
        <f t="shared" si="13"/>
        <v>9</v>
      </c>
      <c r="D431" s="20">
        <v>45548</v>
      </c>
      <c r="E431">
        <v>390.75</v>
      </c>
      <c r="F431">
        <v>986.75</v>
      </c>
      <c r="G431">
        <v>315.39999999999998</v>
      </c>
      <c r="H431">
        <v>571.25</v>
      </c>
      <c r="I431">
        <v>40.69</v>
      </c>
      <c r="J431">
        <v>5.5640000000000001</v>
      </c>
    </row>
    <row r="432" spans="2:10" x14ac:dyDescent="0.3">
      <c r="B432" s="10">
        <f t="shared" si="12"/>
        <v>2024</v>
      </c>
      <c r="C432" s="10">
        <f t="shared" si="13"/>
        <v>9</v>
      </c>
      <c r="D432" s="20">
        <v>45547</v>
      </c>
      <c r="E432">
        <v>386.25</v>
      </c>
      <c r="F432">
        <v>991.5</v>
      </c>
      <c r="G432">
        <v>316.5</v>
      </c>
      <c r="H432">
        <v>563</v>
      </c>
      <c r="I432">
        <v>40.81</v>
      </c>
      <c r="J432">
        <v>5.6276000000000002</v>
      </c>
    </row>
    <row r="433" spans="2:10" x14ac:dyDescent="0.3">
      <c r="B433" s="10">
        <f t="shared" si="12"/>
        <v>2024</v>
      </c>
      <c r="C433" s="10">
        <f t="shared" si="13"/>
        <v>9</v>
      </c>
      <c r="D433" s="20">
        <v>45546</v>
      </c>
      <c r="E433">
        <v>380.5</v>
      </c>
      <c r="F433">
        <v>979.75</v>
      </c>
      <c r="G433">
        <v>313.3</v>
      </c>
      <c r="H433">
        <v>563.75</v>
      </c>
      <c r="I433">
        <v>40.32</v>
      </c>
      <c r="J433">
        <v>5.6618000000000004</v>
      </c>
    </row>
    <row r="434" spans="2:10" x14ac:dyDescent="0.3">
      <c r="B434" s="10">
        <f t="shared" si="12"/>
        <v>2024</v>
      </c>
      <c r="C434" s="10">
        <f t="shared" si="13"/>
        <v>9</v>
      </c>
      <c r="D434" s="20">
        <v>45545</v>
      </c>
      <c r="E434">
        <v>379.5</v>
      </c>
      <c r="F434">
        <v>977.5</v>
      </c>
      <c r="G434">
        <v>310.60000000000002</v>
      </c>
      <c r="H434">
        <v>558.75</v>
      </c>
      <c r="I434">
        <v>40.85</v>
      </c>
      <c r="J434">
        <v>5.6581999999999999</v>
      </c>
    </row>
    <row r="435" spans="2:10" x14ac:dyDescent="0.3">
      <c r="B435" s="10">
        <f t="shared" si="12"/>
        <v>2024</v>
      </c>
      <c r="C435" s="10">
        <f t="shared" si="13"/>
        <v>9</v>
      </c>
      <c r="D435" s="20">
        <v>45544</v>
      </c>
      <c r="E435">
        <v>384.25</v>
      </c>
      <c r="F435">
        <v>1000</v>
      </c>
      <c r="G435">
        <v>317.8</v>
      </c>
      <c r="H435">
        <v>555.5</v>
      </c>
      <c r="I435">
        <v>41.61</v>
      </c>
      <c r="J435">
        <v>5.5842000000000001</v>
      </c>
    </row>
    <row r="436" spans="2:10" x14ac:dyDescent="0.3">
      <c r="B436" s="10">
        <f t="shared" si="12"/>
        <v>2024</v>
      </c>
      <c r="C436" s="10">
        <f t="shared" si="13"/>
        <v>9</v>
      </c>
      <c r="D436" s="20">
        <v>45541</v>
      </c>
      <c r="E436">
        <v>383.75</v>
      </c>
      <c r="F436">
        <v>989.25</v>
      </c>
      <c r="G436">
        <v>318.39999999999998</v>
      </c>
      <c r="H436">
        <v>553.25</v>
      </c>
      <c r="I436">
        <v>40.770000000000003</v>
      </c>
      <c r="J436">
        <v>5.5990000000000002</v>
      </c>
    </row>
    <row r="437" spans="2:10" x14ac:dyDescent="0.3">
      <c r="B437" s="10">
        <f t="shared" si="12"/>
        <v>2024</v>
      </c>
      <c r="C437" s="10">
        <f t="shared" si="13"/>
        <v>9</v>
      </c>
      <c r="D437" s="20">
        <v>45540</v>
      </c>
      <c r="E437">
        <v>390</v>
      </c>
      <c r="F437">
        <v>1008.25</v>
      </c>
      <c r="G437">
        <v>320.7</v>
      </c>
      <c r="H437">
        <v>561</v>
      </c>
      <c r="I437">
        <v>42.32</v>
      </c>
      <c r="J437">
        <v>5.5740999999999996</v>
      </c>
    </row>
    <row r="438" spans="2:10" x14ac:dyDescent="0.3">
      <c r="B438" s="10">
        <f t="shared" si="12"/>
        <v>2024</v>
      </c>
      <c r="C438" s="10">
        <f t="shared" si="13"/>
        <v>9</v>
      </c>
      <c r="D438" s="20">
        <v>45539</v>
      </c>
      <c r="E438">
        <v>390.5</v>
      </c>
      <c r="F438">
        <v>1006</v>
      </c>
      <c r="G438">
        <v>323.8</v>
      </c>
      <c r="H438">
        <v>565.25</v>
      </c>
      <c r="I438">
        <v>41.35</v>
      </c>
      <c r="J438">
        <v>5.6398999999999999</v>
      </c>
    </row>
    <row r="439" spans="2:10" x14ac:dyDescent="0.3">
      <c r="B439" s="10">
        <f t="shared" si="12"/>
        <v>2024</v>
      </c>
      <c r="C439" s="10">
        <f t="shared" si="13"/>
        <v>9</v>
      </c>
      <c r="D439" s="20">
        <v>45538</v>
      </c>
      <c r="E439">
        <v>386.5</v>
      </c>
      <c r="F439">
        <v>997</v>
      </c>
      <c r="G439">
        <v>319.7</v>
      </c>
      <c r="H439">
        <v>552</v>
      </c>
      <c r="I439">
        <v>42.07</v>
      </c>
      <c r="J439">
        <v>5.6454000000000004</v>
      </c>
    </row>
    <row r="440" spans="2:10" x14ac:dyDescent="0.3">
      <c r="B440" s="10">
        <f t="shared" si="12"/>
        <v>2024</v>
      </c>
      <c r="C440" s="10">
        <f t="shared" si="13"/>
        <v>9</v>
      </c>
      <c r="D440" s="20">
        <v>45537</v>
      </c>
      <c r="J440">
        <v>5.6177000000000001</v>
      </c>
    </row>
    <row r="441" spans="2:10" x14ac:dyDescent="0.3">
      <c r="B441" s="10">
        <f t="shared" si="12"/>
        <v>2024</v>
      </c>
      <c r="C441" s="10">
        <f t="shared" si="13"/>
        <v>8</v>
      </c>
      <c r="D441" s="20">
        <v>45534</v>
      </c>
      <c r="E441">
        <v>378</v>
      </c>
      <c r="F441">
        <v>982</v>
      </c>
      <c r="G441">
        <v>311.60000000000002</v>
      </c>
      <c r="H441">
        <v>532.75</v>
      </c>
      <c r="I441">
        <v>43.14</v>
      </c>
      <c r="J441">
        <v>5.6102999999999996</v>
      </c>
    </row>
    <row r="442" spans="2:10" x14ac:dyDescent="0.3">
      <c r="B442" s="10">
        <f t="shared" si="12"/>
        <v>2024</v>
      </c>
      <c r="C442" s="10">
        <f t="shared" si="13"/>
        <v>8</v>
      </c>
      <c r="D442" s="20">
        <v>45533</v>
      </c>
      <c r="E442">
        <v>371.75</v>
      </c>
      <c r="F442">
        <v>973.75</v>
      </c>
      <c r="G442">
        <v>308.60000000000002</v>
      </c>
      <c r="H442">
        <v>525</v>
      </c>
      <c r="I442">
        <v>43.17</v>
      </c>
      <c r="J442">
        <v>5.6265999999999998</v>
      </c>
    </row>
    <row r="443" spans="2:10" x14ac:dyDescent="0.3">
      <c r="B443" s="10">
        <f t="shared" si="12"/>
        <v>2024</v>
      </c>
      <c r="C443" s="10">
        <f t="shared" si="13"/>
        <v>8</v>
      </c>
      <c r="D443" s="20">
        <v>45532</v>
      </c>
      <c r="E443">
        <v>365.25</v>
      </c>
      <c r="F443">
        <v>958.5</v>
      </c>
      <c r="G443">
        <v>310.8</v>
      </c>
      <c r="H443">
        <v>514.25</v>
      </c>
      <c r="I443">
        <v>41.8</v>
      </c>
      <c r="J443">
        <v>5.5644</v>
      </c>
    </row>
    <row r="444" spans="2:10" x14ac:dyDescent="0.3">
      <c r="B444" s="10">
        <f t="shared" si="12"/>
        <v>2024</v>
      </c>
      <c r="C444" s="10">
        <f t="shared" si="13"/>
        <v>8</v>
      </c>
      <c r="D444" s="20">
        <v>45531</v>
      </c>
      <c r="E444">
        <v>367.25</v>
      </c>
      <c r="F444">
        <v>967.5</v>
      </c>
      <c r="G444">
        <v>317.3</v>
      </c>
      <c r="H444">
        <v>508.25</v>
      </c>
      <c r="I444">
        <v>41.15</v>
      </c>
      <c r="J444">
        <v>5.5082000000000004</v>
      </c>
    </row>
    <row r="445" spans="2:10" x14ac:dyDescent="0.3">
      <c r="B445" s="10">
        <f t="shared" si="12"/>
        <v>2024</v>
      </c>
      <c r="C445" s="10">
        <f t="shared" si="13"/>
        <v>8</v>
      </c>
      <c r="D445" s="20">
        <v>45530</v>
      </c>
      <c r="E445">
        <v>362</v>
      </c>
      <c r="F445">
        <v>959.75</v>
      </c>
      <c r="G445">
        <v>312.10000000000002</v>
      </c>
      <c r="H445">
        <v>498</v>
      </c>
      <c r="I445">
        <v>41.7</v>
      </c>
      <c r="J445">
        <v>5.4950000000000001</v>
      </c>
    </row>
    <row r="446" spans="2:10" x14ac:dyDescent="0.3">
      <c r="B446" s="10">
        <f t="shared" si="12"/>
        <v>2024</v>
      </c>
      <c r="C446" s="10">
        <f t="shared" si="13"/>
        <v>8</v>
      </c>
      <c r="D446" s="20">
        <v>45527</v>
      </c>
      <c r="E446">
        <v>367.75</v>
      </c>
      <c r="F446">
        <v>952</v>
      </c>
      <c r="G446">
        <v>306.3</v>
      </c>
      <c r="H446">
        <v>502.25</v>
      </c>
      <c r="I446">
        <v>41.47</v>
      </c>
      <c r="J446">
        <v>5.4863</v>
      </c>
    </row>
    <row r="447" spans="2:10" x14ac:dyDescent="0.3">
      <c r="B447" s="10">
        <f t="shared" si="12"/>
        <v>2024</v>
      </c>
      <c r="C447" s="10">
        <f t="shared" si="13"/>
        <v>8</v>
      </c>
      <c r="D447" s="20">
        <v>45526</v>
      </c>
      <c r="E447">
        <v>371.5</v>
      </c>
      <c r="F447">
        <v>941.25</v>
      </c>
      <c r="G447">
        <v>306.39999999999998</v>
      </c>
      <c r="H447">
        <v>511</v>
      </c>
      <c r="I447">
        <v>40.44</v>
      </c>
      <c r="J447">
        <v>5.5834000000000001</v>
      </c>
    </row>
    <row r="448" spans="2:10" x14ac:dyDescent="0.3">
      <c r="B448" s="10">
        <f t="shared" si="12"/>
        <v>2024</v>
      </c>
      <c r="C448" s="10">
        <f t="shared" si="13"/>
        <v>8</v>
      </c>
      <c r="D448" s="20">
        <v>45525</v>
      </c>
      <c r="E448">
        <v>375.5</v>
      </c>
      <c r="F448">
        <v>963</v>
      </c>
      <c r="G448">
        <v>312.5</v>
      </c>
      <c r="H448">
        <v>519.75</v>
      </c>
      <c r="I448">
        <v>41</v>
      </c>
      <c r="J448">
        <v>5.4858000000000002</v>
      </c>
    </row>
    <row r="449" spans="2:10" x14ac:dyDescent="0.3">
      <c r="B449" s="10">
        <f t="shared" si="12"/>
        <v>2024</v>
      </c>
      <c r="C449" s="10">
        <f t="shared" si="13"/>
        <v>8</v>
      </c>
      <c r="D449" s="20">
        <v>45524</v>
      </c>
      <c r="E449">
        <v>375</v>
      </c>
      <c r="F449">
        <v>957.25</v>
      </c>
      <c r="G449">
        <v>312.3</v>
      </c>
      <c r="H449">
        <v>533</v>
      </c>
      <c r="I449">
        <v>40.71</v>
      </c>
      <c r="J449">
        <v>5.4779999999999998</v>
      </c>
    </row>
    <row r="450" spans="2:10" x14ac:dyDescent="0.3">
      <c r="B450" s="10">
        <f t="shared" si="12"/>
        <v>2024</v>
      </c>
      <c r="C450" s="10">
        <f t="shared" si="13"/>
        <v>8</v>
      </c>
      <c r="D450" s="20">
        <v>45523</v>
      </c>
      <c r="E450">
        <v>378</v>
      </c>
      <c r="F450">
        <v>956.25</v>
      </c>
      <c r="G450">
        <v>311.7</v>
      </c>
      <c r="H450">
        <v>528.25</v>
      </c>
      <c r="I450">
        <v>40.47</v>
      </c>
      <c r="J450">
        <v>5.4120999999999997</v>
      </c>
    </row>
    <row r="451" spans="2:10" x14ac:dyDescent="0.3">
      <c r="B451" s="10">
        <f t="shared" si="12"/>
        <v>2024</v>
      </c>
      <c r="C451" s="10">
        <f t="shared" si="13"/>
        <v>8</v>
      </c>
      <c r="D451" s="20">
        <v>45520</v>
      </c>
      <c r="E451">
        <v>370.5</v>
      </c>
      <c r="F451">
        <v>938.75</v>
      </c>
      <c r="G451">
        <v>303.39999999999998</v>
      </c>
      <c r="H451">
        <v>530</v>
      </c>
      <c r="I451">
        <v>39.950000000000003</v>
      </c>
      <c r="J451">
        <v>5.4752999999999998</v>
      </c>
    </row>
    <row r="452" spans="2:10" x14ac:dyDescent="0.3">
      <c r="B452" s="10">
        <f t="shared" si="12"/>
        <v>2024</v>
      </c>
      <c r="C452" s="10">
        <f t="shared" si="13"/>
        <v>8</v>
      </c>
      <c r="D452" s="20">
        <v>45519</v>
      </c>
      <c r="E452">
        <v>375</v>
      </c>
      <c r="F452">
        <v>951.5</v>
      </c>
      <c r="G452">
        <v>307.89999999999998</v>
      </c>
      <c r="H452">
        <v>528.25</v>
      </c>
      <c r="I452">
        <v>39.47</v>
      </c>
      <c r="J452">
        <v>5.4827000000000004</v>
      </c>
    </row>
    <row r="453" spans="2:10" x14ac:dyDescent="0.3">
      <c r="B453" s="10">
        <f t="shared" si="12"/>
        <v>2024</v>
      </c>
      <c r="C453" s="10">
        <f t="shared" si="13"/>
        <v>8</v>
      </c>
      <c r="D453" s="20">
        <v>45518</v>
      </c>
      <c r="E453">
        <v>381</v>
      </c>
      <c r="F453">
        <v>979.75</v>
      </c>
      <c r="G453">
        <v>320.60000000000002</v>
      </c>
      <c r="H453">
        <v>534.75</v>
      </c>
      <c r="I453">
        <v>40.049999999999997</v>
      </c>
      <c r="J453">
        <v>5.4729999999999999</v>
      </c>
    </row>
    <row r="454" spans="2:10" x14ac:dyDescent="0.3">
      <c r="B454" s="10">
        <f t="shared" ref="B454:B517" si="14">YEAR(D454)</f>
        <v>2024</v>
      </c>
      <c r="C454" s="10">
        <f t="shared" ref="C454:C517" si="15">MONTH(D454)</f>
        <v>8</v>
      </c>
      <c r="D454" s="20">
        <v>45517</v>
      </c>
      <c r="E454">
        <v>377.75</v>
      </c>
      <c r="F454">
        <v>989</v>
      </c>
      <c r="G454">
        <v>306.60000000000002</v>
      </c>
      <c r="H454">
        <v>528.75</v>
      </c>
      <c r="I454">
        <v>40.68</v>
      </c>
      <c r="J454">
        <v>5.4538000000000002</v>
      </c>
    </row>
    <row r="455" spans="2:10" x14ac:dyDescent="0.3">
      <c r="B455" s="10">
        <f t="shared" si="14"/>
        <v>2024</v>
      </c>
      <c r="C455" s="10">
        <f t="shared" si="15"/>
        <v>8</v>
      </c>
      <c r="D455" s="20">
        <v>45516</v>
      </c>
      <c r="E455">
        <v>383.25</v>
      </c>
      <c r="F455">
        <v>1012</v>
      </c>
      <c r="G455">
        <v>318.3</v>
      </c>
      <c r="H455">
        <v>536.75</v>
      </c>
      <c r="I455">
        <v>41.61</v>
      </c>
      <c r="J455">
        <v>5.4973999999999998</v>
      </c>
    </row>
    <row r="456" spans="2:10" x14ac:dyDescent="0.3">
      <c r="B456" s="10">
        <f t="shared" si="14"/>
        <v>2024</v>
      </c>
      <c r="C456" s="10">
        <f t="shared" si="15"/>
        <v>8</v>
      </c>
      <c r="D456" s="20">
        <v>45513</v>
      </c>
      <c r="E456">
        <v>376.75</v>
      </c>
      <c r="F456">
        <v>1028</v>
      </c>
      <c r="G456">
        <v>326.3</v>
      </c>
      <c r="H456">
        <v>542.5</v>
      </c>
      <c r="I456">
        <v>42.74</v>
      </c>
      <c r="J456">
        <v>5.5064000000000002</v>
      </c>
    </row>
    <row r="457" spans="2:10" x14ac:dyDescent="0.3">
      <c r="B457" s="10">
        <f t="shared" si="14"/>
        <v>2024</v>
      </c>
      <c r="C457" s="10">
        <f t="shared" si="15"/>
        <v>8</v>
      </c>
      <c r="D457" s="20">
        <v>45512</v>
      </c>
      <c r="E457">
        <v>379.25</v>
      </c>
      <c r="F457">
        <v>1009.75</v>
      </c>
      <c r="G457">
        <v>335.3</v>
      </c>
      <c r="H457">
        <v>537.5</v>
      </c>
      <c r="I457">
        <v>42.36</v>
      </c>
      <c r="J457">
        <v>5.5492999999999997</v>
      </c>
    </row>
    <row r="458" spans="2:10" x14ac:dyDescent="0.3">
      <c r="B458" s="10">
        <f t="shared" si="14"/>
        <v>2024</v>
      </c>
      <c r="C458" s="10">
        <f t="shared" si="15"/>
        <v>8</v>
      </c>
      <c r="D458" s="20">
        <v>45511</v>
      </c>
      <c r="E458">
        <v>383.25</v>
      </c>
      <c r="F458">
        <v>1020.25</v>
      </c>
      <c r="G458">
        <v>340.8</v>
      </c>
      <c r="H458">
        <v>538.25</v>
      </c>
      <c r="I458">
        <v>42.25</v>
      </c>
      <c r="J458">
        <v>5.6341000000000001</v>
      </c>
    </row>
    <row r="459" spans="2:10" x14ac:dyDescent="0.3">
      <c r="B459" s="10">
        <f t="shared" si="14"/>
        <v>2024</v>
      </c>
      <c r="C459" s="10">
        <f t="shared" si="15"/>
        <v>8</v>
      </c>
      <c r="D459" s="20">
        <v>45510</v>
      </c>
      <c r="E459">
        <v>388.75</v>
      </c>
      <c r="F459">
        <v>1028.5</v>
      </c>
      <c r="G459">
        <v>347.7</v>
      </c>
      <c r="H459">
        <v>543.25</v>
      </c>
      <c r="I459">
        <v>40.869999999999997</v>
      </c>
      <c r="J459">
        <v>5.6623000000000001</v>
      </c>
    </row>
    <row r="460" spans="2:10" x14ac:dyDescent="0.3">
      <c r="B460" s="10">
        <f t="shared" si="14"/>
        <v>2024</v>
      </c>
      <c r="C460" s="10">
        <f t="shared" si="15"/>
        <v>8</v>
      </c>
      <c r="D460" s="20">
        <v>45509</v>
      </c>
      <c r="E460">
        <v>390.75</v>
      </c>
      <c r="F460">
        <v>1044.25</v>
      </c>
      <c r="G460">
        <v>360.7</v>
      </c>
      <c r="H460">
        <v>539.5</v>
      </c>
      <c r="I460">
        <v>41.04</v>
      </c>
      <c r="J460">
        <v>5.7237999999999998</v>
      </c>
    </row>
    <row r="461" spans="2:10" x14ac:dyDescent="0.3">
      <c r="B461" s="10">
        <f t="shared" si="14"/>
        <v>2024</v>
      </c>
      <c r="C461" s="10">
        <f t="shared" si="15"/>
        <v>8</v>
      </c>
      <c r="D461" s="20">
        <v>45506</v>
      </c>
      <c r="E461">
        <v>386.5</v>
      </c>
      <c r="F461">
        <v>1029.25</v>
      </c>
      <c r="G461">
        <v>361.5</v>
      </c>
      <c r="H461">
        <v>539</v>
      </c>
      <c r="I461">
        <v>41.71</v>
      </c>
      <c r="J461">
        <v>5.7272999999999996</v>
      </c>
    </row>
    <row r="462" spans="2:10" x14ac:dyDescent="0.3">
      <c r="B462" s="10">
        <f t="shared" si="14"/>
        <v>2024</v>
      </c>
      <c r="C462" s="10">
        <f t="shared" si="15"/>
        <v>8</v>
      </c>
      <c r="D462" s="20">
        <v>45505</v>
      </c>
      <c r="E462">
        <v>382</v>
      </c>
      <c r="F462">
        <v>1022</v>
      </c>
      <c r="G462">
        <v>355.9</v>
      </c>
      <c r="H462">
        <v>532</v>
      </c>
      <c r="I462">
        <v>42.87</v>
      </c>
      <c r="J462">
        <v>5.7483000000000004</v>
      </c>
    </row>
    <row r="463" spans="2:10" x14ac:dyDescent="0.3">
      <c r="B463" s="10">
        <f t="shared" si="14"/>
        <v>2024</v>
      </c>
      <c r="C463" s="10">
        <f t="shared" si="15"/>
        <v>7</v>
      </c>
      <c r="D463" s="20">
        <v>45504</v>
      </c>
      <c r="E463">
        <v>382.75</v>
      </c>
      <c r="F463">
        <v>1028.5</v>
      </c>
      <c r="G463">
        <v>354.1</v>
      </c>
      <c r="H463">
        <v>527.25</v>
      </c>
      <c r="I463">
        <v>43.3</v>
      </c>
      <c r="J463">
        <v>5.65</v>
      </c>
    </row>
    <row r="464" spans="2:10" x14ac:dyDescent="0.3">
      <c r="B464" s="10">
        <f t="shared" si="14"/>
        <v>2024</v>
      </c>
      <c r="C464" s="10">
        <f t="shared" si="15"/>
        <v>7</v>
      </c>
      <c r="D464" s="20">
        <v>45503</v>
      </c>
      <c r="E464">
        <v>388.75</v>
      </c>
      <c r="F464">
        <v>1027.25</v>
      </c>
      <c r="G464">
        <v>352</v>
      </c>
      <c r="H464">
        <v>524</v>
      </c>
      <c r="I464">
        <v>42.75</v>
      </c>
      <c r="J464">
        <v>5.6120999999999999</v>
      </c>
    </row>
    <row r="465" spans="2:10" x14ac:dyDescent="0.3">
      <c r="B465" s="10">
        <f t="shared" si="14"/>
        <v>2024</v>
      </c>
      <c r="C465" s="10">
        <f t="shared" si="15"/>
        <v>7</v>
      </c>
      <c r="D465" s="20">
        <v>45502</v>
      </c>
      <c r="E465">
        <v>396.25</v>
      </c>
      <c r="F465">
        <v>1054.75</v>
      </c>
      <c r="G465">
        <v>355.5</v>
      </c>
      <c r="H465">
        <v>531</v>
      </c>
      <c r="I465">
        <v>42.84</v>
      </c>
      <c r="J465">
        <v>5.6158999999999999</v>
      </c>
    </row>
    <row r="466" spans="2:10" x14ac:dyDescent="0.3">
      <c r="B466" s="10">
        <f t="shared" si="14"/>
        <v>2024</v>
      </c>
      <c r="C466" s="10">
        <f t="shared" si="15"/>
        <v>7</v>
      </c>
      <c r="D466" s="20">
        <v>45499</v>
      </c>
      <c r="E466">
        <v>394.5</v>
      </c>
      <c r="F466">
        <v>1077.5</v>
      </c>
      <c r="G466">
        <v>353.3</v>
      </c>
      <c r="H466">
        <v>523.5</v>
      </c>
      <c r="I466">
        <v>43.66</v>
      </c>
      <c r="J466">
        <v>5.6557000000000004</v>
      </c>
    </row>
    <row r="467" spans="2:10" x14ac:dyDescent="0.3">
      <c r="B467" s="10">
        <f t="shared" si="14"/>
        <v>2024</v>
      </c>
      <c r="C467" s="10">
        <f t="shared" si="15"/>
        <v>7</v>
      </c>
      <c r="D467" s="20">
        <v>45498</v>
      </c>
      <c r="E467">
        <v>406</v>
      </c>
      <c r="F467">
        <v>1116</v>
      </c>
      <c r="G467">
        <v>352.4</v>
      </c>
      <c r="H467">
        <v>537.75</v>
      </c>
      <c r="I467">
        <v>45.81</v>
      </c>
      <c r="J467">
        <v>5.6441999999999997</v>
      </c>
    </row>
    <row r="468" spans="2:10" x14ac:dyDescent="0.3">
      <c r="B468" s="10">
        <f t="shared" si="14"/>
        <v>2024</v>
      </c>
      <c r="C468" s="10">
        <f t="shared" si="15"/>
        <v>7</v>
      </c>
      <c r="D468" s="20">
        <v>45497</v>
      </c>
      <c r="E468">
        <v>403.75</v>
      </c>
      <c r="F468">
        <v>1111</v>
      </c>
      <c r="G468">
        <v>343.4</v>
      </c>
      <c r="H468">
        <v>547</v>
      </c>
      <c r="I468">
        <v>46.02</v>
      </c>
      <c r="J468">
        <v>5.6536</v>
      </c>
    </row>
    <row r="469" spans="2:10" x14ac:dyDescent="0.3">
      <c r="B469" s="10">
        <f t="shared" si="14"/>
        <v>2024</v>
      </c>
      <c r="C469" s="10">
        <f t="shared" si="15"/>
        <v>7</v>
      </c>
      <c r="D469" s="20">
        <v>45496</v>
      </c>
      <c r="E469">
        <v>402.5</v>
      </c>
      <c r="F469">
        <v>1117.5</v>
      </c>
      <c r="G469">
        <v>342.7</v>
      </c>
      <c r="H469">
        <v>542.75</v>
      </c>
      <c r="I469">
        <v>46.66</v>
      </c>
      <c r="J469">
        <v>5.5846</v>
      </c>
    </row>
    <row r="470" spans="2:10" x14ac:dyDescent="0.3">
      <c r="B470" s="10">
        <f t="shared" si="14"/>
        <v>2024</v>
      </c>
      <c r="C470" s="10">
        <f t="shared" si="15"/>
        <v>7</v>
      </c>
      <c r="D470" s="20">
        <v>45495</v>
      </c>
      <c r="E470">
        <v>400.25</v>
      </c>
      <c r="F470">
        <v>1117.75</v>
      </c>
      <c r="G470">
        <v>343.6</v>
      </c>
      <c r="H470">
        <v>548</v>
      </c>
      <c r="I470">
        <v>47</v>
      </c>
      <c r="J470">
        <v>5.5778999999999996</v>
      </c>
    </row>
    <row r="471" spans="2:10" x14ac:dyDescent="0.3">
      <c r="B471" s="10">
        <f t="shared" si="14"/>
        <v>2024</v>
      </c>
      <c r="C471" s="10">
        <f t="shared" si="15"/>
        <v>7</v>
      </c>
      <c r="D471" s="20">
        <v>45492</v>
      </c>
      <c r="E471">
        <v>390.5</v>
      </c>
      <c r="F471">
        <v>1097.25</v>
      </c>
      <c r="G471">
        <v>336.8</v>
      </c>
      <c r="H471">
        <v>542.75</v>
      </c>
      <c r="I471">
        <v>46.56</v>
      </c>
      <c r="J471">
        <v>5.5952000000000002</v>
      </c>
    </row>
    <row r="472" spans="2:10" x14ac:dyDescent="0.3">
      <c r="B472" s="10">
        <f t="shared" si="14"/>
        <v>2024</v>
      </c>
      <c r="C472" s="10">
        <f t="shared" si="15"/>
        <v>7</v>
      </c>
      <c r="D472" s="20">
        <v>45491</v>
      </c>
      <c r="E472">
        <v>391.25</v>
      </c>
      <c r="F472">
        <v>1098.5</v>
      </c>
      <c r="G472">
        <v>337.2</v>
      </c>
      <c r="H472">
        <v>535.25</v>
      </c>
      <c r="I472">
        <v>46.45</v>
      </c>
      <c r="J472">
        <v>5.5460000000000003</v>
      </c>
    </row>
    <row r="473" spans="2:10" x14ac:dyDescent="0.3">
      <c r="B473" s="10">
        <f t="shared" si="14"/>
        <v>2024</v>
      </c>
      <c r="C473" s="10">
        <f t="shared" si="15"/>
        <v>7</v>
      </c>
      <c r="D473" s="20">
        <v>45490</v>
      </c>
      <c r="E473">
        <v>398</v>
      </c>
      <c r="F473">
        <v>1097.25</v>
      </c>
      <c r="G473">
        <v>339.1</v>
      </c>
      <c r="H473">
        <v>539.25</v>
      </c>
      <c r="I473">
        <v>46.21</v>
      </c>
      <c r="J473">
        <v>5.4821</v>
      </c>
    </row>
    <row r="474" spans="2:10" x14ac:dyDescent="0.3">
      <c r="B474" s="10">
        <f t="shared" si="14"/>
        <v>2024</v>
      </c>
      <c r="C474" s="10">
        <f t="shared" si="15"/>
        <v>7</v>
      </c>
      <c r="D474" s="20">
        <v>45489</v>
      </c>
      <c r="E474">
        <v>395.75</v>
      </c>
      <c r="F474">
        <v>1090.5</v>
      </c>
      <c r="G474">
        <v>335.4</v>
      </c>
      <c r="H474">
        <v>530.75</v>
      </c>
      <c r="I474">
        <v>46.7</v>
      </c>
      <c r="J474">
        <v>5.4286000000000003</v>
      </c>
    </row>
    <row r="475" spans="2:10" x14ac:dyDescent="0.3">
      <c r="B475" s="10">
        <f t="shared" si="14"/>
        <v>2024</v>
      </c>
      <c r="C475" s="10">
        <f t="shared" si="15"/>
        <v>7</v>
      </c>
      <c r="D475" s="20">
        <v>45488</v>
      </c>
      <c r="E475">
        <v>390.5</v>
      </c>
      <c r="F475">
        <v>1078</v>
      </c>
      <c r="G475">
        <v>333.8</v>
      </c>
      <c r="H475">
        <v>532.5</v>
      </c>
      <c r="I475">
        <v>46.42</v>
      </c>
      <c r="J475">
        <v>5.4447999999999999</v>
      </c>
    </row>
    <row r="476" spans="2:10" x14ac:dyDescent="0.3">
      <c r="B476" s="10">
        <f t="shared" si="14"/>
        <v>2024</v>
      </c>
      <c r="C476" s="10">
        <f t="shared" si="15"/>
        <v>7</v>
      </c>
      <c r="D476" s="20">
        <v>45485</v>
      </c>
      <c r="E476">
        <v>400</v>
      </c>
      <c r="F476">
        <v>1134.5</v>
      </c>
      <c r="G476">
        <v>368.5</v>
      </c>
      <c r="H476">
        <v>538</v>
      </c>
      <c r="I476">
        <v>47.55</v>
      </c>
      <c r="J476">
        <v>5.4284999999999997</v>
      </c>
    </row>
    <row r="477" spans="2:10" x14ac:dyDescent="0.3">
      <c r="B477" s="10">
        <f t="shared" si="14"/>
        <v>2024</v>
      </c>
      <c r="C477" s="10">
        <f t="shared" si="15"/>
        <v>7</v>
      </c>
      <c r="D477" s="20">
        <v>45484</v>
      </c>
      <c r="E477">
        <v>406.75</v>
      </c>
      <c r="F477">
        <v>1142.75</v>
      </c>
      <c r="G477">
        <v>378.4</v>
      </c>
      <c r="H477">
        <v>554.25</v>
      </c>
      <c r="I477">
        <v>47.11</v>
      </c>
      <c r="J477">
        <v>5.4381000000000004</v>
      </c>
    </row>
    <row r="478" spans="2:10" x14ac:dyDescent="0.3">
      <c r="B478" s="10">
        <f t="shared" si="14"/>
        <v>2024</v>
      </c>
      <c r="C478" s="10">
        <f t="shared" si="15"/>
        <v>7</v>
      </c>
      <c r="D478" s="20">
        <v>45483</v>
      </c>
      <c r="E478">
        <v>403.25</v>
      </c>
      <c r="F478">
        <v>1141.25</v>
      </c>
      <c r="G478">
        <v>376.3</v>
      </c>
      <c r="H478">
        <v>543.5</v>
      </c>
      <c r="I478">
        <v>46.26</v>
      </c>
      <c r="J478">
        <v>5.4143999999999997</v>
      </c>
    </row>
    <row r="479" spans="2:10" x14ac:dyDescent="0.3">
      <c r="B479" s="10">
        <f t="shared" si="14"/>
        <v>2024</v>
      </c>
      <c r="C479" s="10">
        <f t="shared" si="15"/>
        <v>7</v>
      </c>
      <c r="D479" s="20">
        <v>45482</v>
      </c>
      <c r="E479">
        <v>400.25</v>
      </c>
      <c r="F479">
        <v>1161.5</v>
      </c>
      <c r="G479">
        <v>376.2</v>
      </c>
      <c r="H479">
        <v>554.25</v>
      </c>
      <c r="I479">
        <v>46.86</v>
      </c>
      <c r="J479">
        <v>5.4222000000000001</v>
      </c>
    </row>
    <row r="480" spans="2:10" x14ac:dyDescent="0.3">
      <c r="B480" s="10">
        <f t="shared" si="14"/>
        <v>2024</v>
      </c>
      <c r="C480" s="10">
        <f t="shared" si="15"/>
        <v>7</v>
      </c>
      <c r="D480" s="20">
        <v>45481</v>
      </c>
      <c r="E480">
        <v>395.75</v>
      </c>
      <c r="F480">
        <v>1174.25</v>
      </c>
      <c r="G480">
        <v>379.5</v>
      </c>
      <c r="H480">
        <v>553</v>
      </c>
      <c r="I480">
        <v>49</v>
      </c>
      <c r="J480">
        <v>5.4699</v>
      </c>
    </row>
    <row r="481" spans="2:10" x14ac:dyDescent="0.3">
      <c r="B481" s="10">
        <f t="shared" si="14"/>
        <v>2024</v>
      </c>
      <c r="C481" s="10">
        <f t="shared" si="15"/>
        <v>7</v>
      </c>
      <c r="D481" s="20">
        <v>45478</v>
      </c>
      <c r="E481">
        <v>411.25</v>
      </c>
      <c r="F481">
        <v>1188.5</v>
      </c>
      <c r="G481">
        <v>387</v>
      </c>
      <c r="H481">
        <v>572.25</v>
      </c>
      <c r="I481">
        <v>49.62</v>
      </c>
      <c r="J481">
        <v>5.4592000000000001</v>
      </c>
    </row>
    <row r="482" spans="2:10" x14ac:dyDescent="0.3">
      <c r="B482" s="10">
        <f t="shared" si="14"/>
        <v>2024</v>
      </c>
      <c r="C482" s="10">
        <f t="shared" si="15"/>
        <v>7</v>
      </c>
      <c r="D482" s="20">
        <v>45477</v>
      </c>
      <c r="J482">
        <v>5.4886999999999997</v>
      </c>
    </row>
    <row r="483" spans="2:10" x14ac:dyDescent="0.3">
      <c r="B483" s="10">
        <f t="shared" si="14"/>
        <v>2024</v>
      </c>
      <c r="C483" s="10">
        <f t="shared" si="15"/>
        <v>7</v>
      </c>
      <c r="D483" s="20">
        <v>45476</v>
      </c>
      <c r="E483">
        <v>403.5</v>
      </c>
      <c r="F483">
        <v>1176.5</v>
      </c>
      <c r="G483">
        <v>370.5</v>
      </c>
      <c r="H483">
        <v>554.5</v>
      </c>
      <c r="I483">
        <v>48.6</v>
      </c>
      <c r="J483">
        <v>5.5563000000000002</v>
      </c>
    </row>
    <row r="484" spans="2:10" x14ac:dyDescent="0.3">
      <c r="B484" s="10">
        <f t="shared" si="14"/>
        <v>2024</v>
      </c>
      <c r="C484" s="10">
        <f t="shared" si="15"/>
        <v>7</v>
      </c>
      <c r="D484" s="20">
        <v>45475</v>
      </c>
      <c r="E484">
        <v>402</v>
      </c>
      <c r="F484">
        <v>1165</v>
      </c>
      <c r="G484">
        <v>368.9</v>
      </c>
      <c r="H484">
        <v>561.5</v>
      </c>
      <c r="I484">
        <v>46.93</v>
      </c>
      <c r="J484">
        <v>5.6776999999999997</v>
      </c>
    </row>
    <row r="485" spans="2:10" x14ac:dyDescent="0.3">
      <c r="B485" s="10">
        <f t="shared" si="14"/>
        <v>2024</v>
      </c>
      <c r="C485" s="10">
        <f t="shared" si="15"/>
        <v>7</v>
      </c>
      <c r="D485" s="20">
        <v>45474</v>
      </c>
      <c r="E485">
        <v>398.25</v>
      </c>
      <c r="F485">
        <v>1159.5</v>
      </c>
      <c r="G485">
        <v>365.7</v>
      </c>
      <c r="H485">
        <v>569.25</v>
      </c>
      <c r="I485">
        <v>45.83</v>
      </c>
      <c r="J485">
        <v>5.6603000000000003</v>
      </c>
    </row>
    <row r="486" spans="2:10" x14ac:dyDescent="0.3">
      <c r="B486" s="10">
        <f t="shared" si="14"/>
        <v>2024</v>
      </c>
      <c r="C486" s="10">
        <f t="shared" si="15"/>
        <v>6</v>
      </c>
      <c r="D486" s="20">
        <v>45471</v>
      </c>
      <c r="E486">
        <v>397.25</v>
      </c>
      <c r="F486">
        <v>1150.5</v>
      </c>
      <c r="G486">
        <v>360.5</v>
      </c>
      <c r="H486">
        <v>553.5</v>
      </c>
      <c r="I486">
        <v>43.77</v>
      </c>
      <c r="J486">
        <v>5.5925000000000002</v>
      </c>
    </row>
    <row r="487" spans="2:10" x14ac:dyDescent="0.3">
      <c r="B487" s="10">
        <f t="shared" si="14"/>
        <v>2024</v>
      </c>
      <c r="C487" s="10">
        <f t="shared" si="15"/>
        <v>6</v>
      </c>
      <c r="D487" s="20">
        <v>45470</v>
      </c>
      <c r="E487">
        <v>413.75</v>
      </c>
      <c r="F487">
        <v>1152.25</v>
      </c>
      <c r="G487">
        <v>361.1</v>
      </c>
      <c r="H487">
        <v>559.75</v>
      </c>
      <c r="I487">
        <v>43.49</v>
      </c>
      <c r="J487">
        <v>5.5019</v>
      </c>
    </row>
    <row r="488" spans="2:10" x14ac:dyDescent="0.3">
      <c r="B488" s="10">
        <f t="shared" si="14"/>
        <v>2024</v>
      </c>
      <c r="C488" s="10">
        <f t="shared" si="15"/>
        <v>6</v>
      </c>
      <c r="D488" s="20">
        <v>45469</v>
      </c>
      <c r="E488">
        <v>420</v>
      </c>
      <c r="F488">
        <v>1162.75</v>
      </c>
      <c r="G488">
        <v>360.9</v>
      </c>
      <c r="H488">
        <v>541.25</v>
      </c>
      <c r="I488">
        <v>43.45</v>
      </c>
      <c r="J488">
        <v>5.5194000000000001</v>
      </c>
    </row>
    <row r="489" spans="2:10" x14ac:dyDescent="0.3">
      <c r="B489" s="10">
        <f t="shared" si="14"/>
        <v>2024</v>
      </c>
      <c r="C489" s="10">
        <f t="shared" si="15"/>
        <v>6</v>
      </c>
      <c r="D489" s="20">
        <v>45468</v>
      </c>
      <c r="E489">
        <v>425.5</v>
      </c>
      <c r="F489">
        <v>1163.25</v>
      </c>
      <c r="G489">
        <v>365.3</v>
      </c>
      <c r="H489">
        <v>541.75</v>
      </c>
      <c r="I489">
        <v>42.76</v>
      </c>
      <c r="J489">
        <v>5.4508999999999999</v>
      </c>
    </row>
    <row r="490" spans="2:10" x14ac:dyDescent="0.3">
      <c r="B490" s="10">
        <f t="shared" si="14"/>
        <v>2024</v>
      </c>
      <c r="C490" s="10">
        <f t="shared" si="15"/>
        <v>6</v>
      </c>
      <c r="D490" s="20">
        <v>45467</v>
      </c>
      <c r="E490">
        <v>433.5</v>
      </c>
      <c r="F490">
        <v>1175.25</v>
      </c>
      <c r="G490">
        <v>372.8</v>
      </c>
      <c r="H490">
        <v>552.5</v>
      </c>
      <c r="I490">
        <v>43.49</v>
      </c>
      <c r="J490">
        <v>5.3928000000000003</v>
      </c>
    </row>
    <row r="491" spans="2:10" x14ac:dyDescent="0.3">
      <c r="B491" s="10">
        <f t="shared" si="14"/>
        <v>2024</v>
      </c>
      <c r="C491" s="10">
        <f t="shared" si="15"/>
        <v>6</v>
      </c>
      <c r="D491" s="20">
        <v>45464</v>
      </c>
      <c r="E491">
        <v>435</v>
      </c>
      <c r="F491">
        <v>1160.5</v>
      </c>
      <c r="G491">
        <v>361.8</v>
      </c>
      <c r="H491">
        <v>561.5</v>
      </c>
      <c r="I491">
        <v>43.94</v>
      </c>
      <c r="J491">
        <v>5.4302000000000001</v>
      </c>
    </row>
    <row r="492" spans="2:10" x14ac:dyDescent="0.3">
      <c r="B492" s="10">
        <f t="shared" si="14"/>
        <v>2024</v>
      </c>
      <c r="C492" s="10">
        <f t="shared" si="15"/>
        <v>6</v>
      </c>
      <c r="D492" s="20">
        <v>45463</v>
      </c>
      <c r="E492">
        <v>439.75</v>
      </c>
      <c r="F492">
        <v>1155.25</v>
      </c>
      <c r="G492">
        <v>357.6</v>
      </c>
      <c r="H492">
        <v>572.75</v>
      </c>
      <c r="I492">
        <v>43.97</v>
      </c>
      <c r="J492">
        <v>5.4482999999999997</v>
      </c>
    </row>
    <row r="493" spans="2:10" x14ac:dyDescent="0.3">
      <c r="B493" s="10">
        <f t="shared" si="14"/>
        <v>2024</v>
      </c>
      <c r="C493" s="10">
        <f t="shared" si="15"/>
        <v>6</v>
      </c>
      <c r="D493" s="20">
        <v>45462</v>
      </c>
      <c r="J493">
        <v>5.4362000000000004</v>
      </c>
    </row>
    <row r="494" spans="2:10" x14ac:dyDescent="0.3">
      <c r="B494" s="10">
        <f t="shared" si="14"/>
        <v>2024</v>
      </c>
      <c r="C494" s="10">
        <f t="shared" si="15"/>
        <v>6</v>
      </c>
      <c r="D494" s="20">
        <v>45461</v>
      </c>
      <c r="E494">
        <v>450</v>
      </c>
      <c r="F494">
        <v>1174</v>
      </c>
      <c r="G494">
        <v>364.6</v>
      </c>
      <c r="H494">
        <v>582</v>
      </c>
      <c r="I494">
        <v>44.3</v>
      </c>
      <c r="J494">
        <v>5.4359000000000002</v>
      </c>
    </row>
    <row r="495" spans="2:10" x14ac:dyDescent="0.3">
      <c r="B495" s="10">
        <f t="shared" si="14"/>
        <v>2024</v>
      </c>
      <c r="C495" s="10">
        <f t="shared" si="15"/>
        <v>6</v>
      </c>
      <c r="D495" s="20">
        <v>45460</v>
      </c>
      <c r="E495">
        <v>443.75</v>
      </c>
      <c r="F495">
        <v>1157.75</v>
      </c>
      <c r="G495">
        <v>360.3</v>
      </c>
      <c r="H495">
        <v>591.5</v>
      </c>
      <c r="I495">
        <v>43.73</v>
      </c>
      <c r="J495">
        <v>5.4195000000000002</v>
      </c>
    </row>
    <row r="496" spans="2:10" x14ac:dyDescent="0.3">
      <c r="B496" s="10">
        <f t="shared" si="14"/>
        <v>2024</v>
      </c>
      <c r="C496" s="10">
        <f t="shared" si="15"/>
        <v>6</v>
      </c>
      <c r="D496" s="20">
        <v>45457</v>
      </c>
      <c r="E496">
        <v>450</v>
      </c>
      <c r="F496">
        <v>1179.75</v>
      </c>
      <c r="G496">
        <v>368.4</v>
      </c>
      <c r="H496">
        <v>612.75</v>
      </c>
      <c r="I496">
        <v>43.68</v>
      </c>
      <c r="J496">
        <v>5.3757000000000001</v>
      </c>
    </row>
    <row r="497" spans="2:10" x14ac:dyDescent="0.3">
      <c r="B497" s="10">
        <f t="shared" si="14"/>
        <v>2024</v>
      </c>
      <c r="C497" s="10">
        <f t="shared" si="15"/>
        <v>6</v>
      </c>
      <c r="D497" s="20">
        <v>45456</v>
      </c>
      <c r="E497">
        <v>458.5</v>
      </c>
      <c r="F497">
        <v>1189.5</v>
      </c>
      <c r="G497">
        <v>368.3</v>
      </c>
      <c r="H497">
        <v>620</v>
      </c>
      <c r="I497">
        <v>43.86</v>
      </c>
      <c r="J497">
        <v>5.3635999999999999</v>
      </c>
    </row>
    <row r="498" spans="2:10" x14ac:dyDescent="0.3">
      <c r="B498" s="10">
        <f t="shared" si="14"/>
        <v>2024</v>
      </c>
      <c r="C498" s="10">
        <f t="shared" si="15"/>
        <v>6</v>
      </c>
      <c r="D498" s="20">
        <v>45455</v>
      </c>
      <c r="E498">
        <v>454.25</v>
      </c>
      <c r="F498">
        <v>1177.25</v>
      </c>
      <c r="G498">
        <v>360.2</v>
      </c>
      <c r="H498">
        <v>617</v>
      </c>
      <c r="I498">
        <v>43.79</v>
      </c>
      <c r="J498">
        <v>5.4123000000000001</v>
      </c>
    </row>
    <row r="499" spans="2:10" x14ac:dyDescent="0.3">
      <c r="B499" s="10">
        <f t="shared" si="14"/>
        <v>2024</v>
      </c>
      <c r="C499" s="10">
        <f t="shared" si="15"/>
        <v>6</v>
      </c>
      <c r="D499" s="20">
        <v>45454</v>
      </c>
      <c r="E499">
        <v>449.5</v>
      </c>
      <c r="F499">
        <v>1178</v>
      </c>
      <c r="G499">
        <v>359.3</v>
      </c>
      <c r="H499">
        <v>626.5</v>
      </c>
      <c r="I499">
        <v>43.67</v>
      </c>
      <c r="J499">
        <v>5.3662000000000001</v>
      </c>
    </row>
    <row r="500" spans="2:10" x14ac:dyDescent="0.3">
      <c r="B500" s="10">
        <f t="shared" si="14"/>
        <v>2024</v>
      </c>
      <c r="C500" s="10">
        <f t="shared" si="15"/>
        <v>6</v>
      </c>
      <c r="D500" s="20">
        <v>45453</v>
      </c>
      <c r="E500">
        <v>451.75</v>
      </c>
      <c r="F500">
        <v>1188.25</v>
      </c>
      <c r="G500">
        <v>368</v>
      </c>
      <c r="H500">
        <v>607.5</v>
      </c>
      <c r="I500">
        <v>43.66</v>
      </c>
      <c r="J500">
        <v>5.3547000000000002</v>
      </c>
    </row>
    <row r="501" spans="2:10" x14ac:dyDescent="0.3">
      <c r="B501" s="10">
        <f t="shared" si="14"/>
        <v>2024</v>
      </c>
      <c r="C501" s="10">
        <f t="shared" si="15"/>
        <v>6</v>
      </c>
      <c r="D501" s="20">
        <v>45450</v>
      </c>
      <c r="E501">
        <v>448.75</v>
      </c>
      <c r="F501">
        <v>1179.25</v>
      </c>
      <c r="G501">
        <v>360.7</v>
      </c>
      <c r="H501">
        <v>627.5</v>
      </c>
      <c r="I501">
        <v>43.63</v>
      </c>
      <c r="J501">
        <v>5.3448000000000002</v>
      </c>
    </row>
    <row r="502" spans="2:10" x14ac:dyDescent="0.3">
      <c r="B502" s="10">
        <f t="shared" si="14"/>
        <v>2024</v>
      </c>
      <c r="C502" s="10">
        <f t="shared" si="15"/>
        <v>6</v>
      </c>
      <c r="D502" s="20">
        <v>45449</v>
      </c>
      <c r="E502">
        <v>452</v>
      </c>
      <c r="F502">
        <v>1200</v>
      </c>
      <c r="G502">
        <v>362.8</v>
      </c>
      <c r="H502">
        <v>639.5</v>
      </c>
      <c r="I502">
        <v>44.35</v>
      </c>
      <c r="J502">
        <v>5.2560000000000002</v>
      </c>
    </row>
    <row r="503" spans="2:10" x14ac:dyDescent="0.3">
      <c r="B503" s="10">
        <f t="shared" si="14"/>
        <v>2024</v>
      </c>
      <c r="C503" s="10">
        <f t="shared" si="15"/>
        <v>6</v>
      </c>
      <c r="D503" s="20">
        <v>45448</v>
      </c>
      <c r="E503">
        <v>439.25</v>
      </c>
      <c r="F503">
        <v>1177.25</v>
      </c>
      <c r="G503">
        <v>359.5</v>
      </c>
      <c r="H503">
        <v>646.75</v>
      </c>
      <c r="I503">
        <v>43.13</v>
      </c>
      <c r="J503">
        <v>5.2964000000000002</v>
      </c>
    </row>
    <row r="504" spans="2:10" x14ac:dyDescent="0.3">
      <c r="B504" s="10">
        <f t="shared" si="14"/>
        <v>2024</v>
      </c>
      <c r="C504" s="10">
        <f t="shared" si="15"/>
        <v>6</v>
      </c>
      <c r="D504" s="20">
        <v>45447</v>
      </c>
      <c r="E504">
        <v>442.5</v>
      </c>
      <c r="F504">
        <v>1179</v>
      </c>
      <c r="G504">
        <v>355.1</v>
      </c>
      <c r="H504">
        <v>658.25</v>
      </c>
      <c r="I504">
        <v>43.62</v>
      </c>
      <c r="J504">
        <v>5.2861000000000002</v>
      </c>
    </row>
    <row r="505" spans="2:10" x14ac:dyDescent="0.3">
      <c r="B505" s="10">
        <f t="shared" si="14"/>
        <v>2024</v>
      </c>
      <c r="C505" s="10">
        <f t="shared" si="15"/>
        <v>6</v>
      </c>
      <c r="D505" s="20">
        <v>45446</v>
      </c>
      <c r="E505">
        <v>443.5</v>
      </c>
      <c r="F505">
        <v>1184.5</v>
      </c>
      <c r="G505">
        <v>359.5</v>
      </c>
      <c r="H505">
        <v>672.75</v>
      </c>
      <c r="I505">
        <v>44.14</v>
      </c>
      <c r="J505">
        <v>5.2466999999999997</v>
      </c>
    </row>
    <row r="506" spans="2:10" x14ac:dyDescent="0.3">
      <c r="B506" s="10">
        <f t="shared" si="14"/>
        <v>2024</v>
      </c>
      <c r="C506" s="10">
        <f t="shared" si="15"/>
        <v>5</v>
      </c>
      <c r="D506" s="20">
        <v>45443</v>
      </c>
      <c r="E506">
        <v>446.25</v>
      </c>
      <c r="F506">
        <v>1205</v>
      </c>
      <c r="G506">
        <v>364.7</v>
      </c>
      <c r="H506">
        <v>678.5</v>
      </c>
      <c r="I506">
        <v>45.52</v>
      </c>
      <c r="J506">
        <v>5.2443</v>
      </c>
    </row>
    <row r="507" spans="2:10" x14ac:dyDescent="0.3">
      <c r="B507" s="10">
        <f t="shared" si="14"/>
        <v>2024</v>
      </c>
      <c r="C507" s="10">
        <f t="shared" si="15"/>
        <v>5</v>
      </c>
      <c r="D507" s="20">
        <v>45442</v>
      </c>
      <c r="E507">
        <v>448.75</v>
      </c>
      <c r="F507">
        <v>1209.75</v>
      </c>
      <c r="G507">
        <v>363.6</v>
      </c>
      <c r="H507">
        <v>681</v>
      </c>
      <c r="I507">
        <v>45.72</v>
      </c>
      <c r="J507">
        <v>5.2034000000000002</v>
      </c>
    </row>
    <row r="508" spans="2:10" x14ac:dyDescent="0.3">
      <c r="B508" s="10">
        <f t="shared" si="14"/>
        <v>2024</v>
      </c>
      <c r="C508" s="10">
        <f t="shared" si="15"/>
        <v>5</v>
      </c>
      <c r="D508" s="20">
        <v>45441</v>
      </c>
      <c r="E508">
        <v>455.25</v>
      </c>
      <c r="F508">
        <v>1214</v>
      </c>
      <c r="G508">
        <v>369.1</v>
      </c>
      <c r="H508">
        <v>692.75</v>
      </c>
      <c r="I508">
        <v>45.88</v>
      </c>
      <c r="J508">
        <v>5.2018000000000004</v>
      </c>
    </row>
    <row r="509" spans="2:10" x14ac:dyDescent="0.3">
      <c r="B509" s="10">
        <f t="shared" si="14"/>
        <v>2024</v>
      </c>
      <c r="C509" s="10">
        <f t="shared" si="15"/>
        <v>5</v>
      </c>
      <c r="D509" s="20">
        <v>45440</v>
      </c>
      <c r="E509">
        <v>462.5</v>
      </c>
      <c r="F509">
        <v>1229.5</v>
      </c>
      <c r="G509">
        <v>376.6</v>
      </c>
      <c r="H509">
        <v>700.25</v>
      </c>
      <c r="I509">
        <v>45.52</v>
      </c>
      <c r="J509">
        <v>5.1611000000000002</v>
      </c>
    </row>
    <row r="510" spans="2:10" x14ac:dyDescent="0.3">
      <c r="B510" s="10">
        <f t="shared" si="14"/>
        <v>2024</v>
      </c>
      <c r="C510" s="10">
        <f t="shared" si="15"/>
        <v>5</v>
      </c>
      <c r="D510" s="20">
        <v>45439</v>
      </c>
      <c r="J510">
        <v>5.1707999999999998</v>
      </c>
    </row>
    <row r="511" spans="2:10" x14ac:dyDescent="0.3">
      <c r="B511" s="10">
        <f t="shared" si="14"/>
        <v>2024</v>
      </c>
      <c r="C511" s="10">
        <f t="shared" si="15"/>
        <v>5</v>
      </c>
      <c r="D511" s="20">
        <v>45436</v>
      </c>
      <c r="E511">
        <v>464.75</v>
      </c>
      <c r="F511">
        <v>1248</v>
      </c>
      <c r="G511">
        <v>386.5</v>
      </c>
      <c r="H511">
        <v>697.25</v>
      </c>
      <c r="I511">
        <v>44.95</v>
      </c>
      <c r="J511">
        <v>5.1660000000000004</v>
      </c>
    </row>
    <row r="512" spans="2:10" x14ac:dyDescent="0.3">
      <c r="B512" s="10">
        <f t="shared" si="14"/>
        <v>2024</v>
      </c>
      <c r="C512" s="10">
        <f t="shared" si="15"/>
        <v>5</v>
      </c>
      <c r="D512" s="20">
        <v>45435</v>
      </c>
      <c r="E512">
        <v>464</v>
      </c>
      <c r="F512">
        <v>1239.25</v>
      </c>
      <c r="G512">
        <v>376.7</v>
      </c>
      <c r="H512">
        <v>698</v>
      </c>
      <c r="I512">
        <v>45.19</v>
      </c>
      <c r="J512">
        <v>5.1441999999999997</v>
      </c>
    </row>
    <row r="513" spans="2:10" x14ac:dyDescent="0.3">
      <c r="B513" s="10">
        <f t="shared" si="14"/>
        <v>2024</v>
      </c>
      <c r="C513" s="10">
        <f t="shared" si="15"/>
        <v>5</v>
      </c>
      <c r="D513" s="20">
        <v>45434</v>
      </c>
      <c r="E513">
        <v>461.25</v>
      </c>
      <c r="F513">
        <v>1246.25</v>
      </c>
      <c r="G513">
        <v>378.2</v>
      </c>
      <c r="H513">
        <v>693</v>
      </c>
      <c r="I513">
        <v>45.88</v>
      </c>
      <c r="J513">
        <v>5.1502999999999997</v>
      </c>
    </row>
    <row r="514" spans="2:10" x14ac:dyDescent="0.3">
      <c r="B514" s="10">
        <f t="shared" si="14"/>
        <v>2024</v>
      </c>
      <c r="C514" s="10">
        <f t="shared" si="15"/>
        <v>5</v>
      </c>
      <c r="D514" s="20">
        <v>45433</v>
      </c>
      <c r="E514">
        <v>458</v>
      </c>
      <c r="F514">
        <v>1236.25</v>
      </c>
      <c r="G514">
        <v>372.3</v>
      </c>
      <c r="H514">
        <v>697.5</v>
      </c>
      <c r="I514">
        <v>45.81</v>
      </c>
      <c r="J514">
        <v>5.1224999999999996</v>
      </c>
    </row>
    <row r="515" spans="2:10" x14ac:dyDescent="0.3">
      <c r="B515" s="10">
        <f t="shared" si="14"/>
        <v>2024</v>
      </c>
      <c r="C515" s="10">
        <f t="shared" si="15"/>
        <v>5</v>
      </c>
      <c r="D515" s="20">
        <v>45432</v>
      </c>
      <c r="E515">
        <v>460.5</v>
      </c>
      <c r="F515">
        <v>1248</v>
      </c>
      <c r="G515">
        <v>374.1</v>
      </c>
      <c r="H515">
        <v>688.75</v>
      </c>
      <c r="I515">
        <v>46.32</v>
      </c>
      <c r="J515">
        <v>5.1032999999999999</v>
      </c>
    </row>
    <row r="516" spans="2:10" x14ac:dyDescent="0.3">
      <c r="B516" s="10">
        <f t="shared" si="14"/>
        <v>2024</v>
      </c>
      <c r="C516" s="10">
        <f t="shared" si="15"/>
        <v>5</v>
      </c>
      <c r="D516" s="20">
        <v>45429</v>
      </c>
      <c r="E516">
        <v>452.5</v>
      </c>
      <c r="F516">
        <v>1228</v>
      </c>
      <c r="G516">
        <v>368.8</v>
      </c>
      <c r="H516">
        <v>651.25</v>
      </c>
      <c r="I516">
        <v>45.27</v>
      </c>
      <c r="J516">
        <v>5.1031000000000004</v>
      </c>
    </row>
    <row r="517" spans="2:10" x14ac:dyDescent="0.3">
      <c r="B517" s="10">
        <f t="shared" si="14"/>
        <v>2024</v>
      </c>
      <c r="C517" s="10">
        <f t="shared" si="15"/>
        <v>5</v>
      </c>
      <c r="D517" s="20">
        <v>45428</v>
      </c>
      <c r="E517">
        <v>457</v>
      </c>
      <c r="F517">
        <v>1216.25</v>
      </c>
      <c r="G517">
        <v>367.7</v>
      </c>
      <c r="H517">
        <v>663.25</v>
      </c>
      <c r="I517">
        <v>44.52</v>
      </c>
      <c r="J517">
        <v>5.1288</v>
      </c>
    </row>
    <row r="518" spans="2:10" x14ac:dyDescent="0.3">
      <c r="B518" s="10">
        <f t="shared" ref="B518:B581" si="16">YEAR(D518)</f>
        <v>2024</v>
      </c>
      <c r="C518" s="10">
        <f t="shared" ref="C518:C581" si="17">MONTH(D518)</f>
        <v>5</v>
      </c>
      <c r="D518" s="20">
        <v>45427</v>
      </c>
      <c r="E518">
        <v>462.5</v>
      </c>
      <c r="F518">
        <v>1213.5</v>
      </c>
      <c r="G518">
        <v>371.7</v>
      </c>
      <c r="H518">
        <v>665.75</v>
      </c>
      <c r="I518">
        <v>43.55</v>
      </c>
      <c r="J518">
        <v>5.1372999999999998</v>
      </c>
    </row>
    <row r="519" spans="2:10" x14ac:dyDescent="0.3">
      <c r="B519" s="10">
        <f t="shared" si="16"/>
        <v>2024</v>
      </c>
      <c r="C519" s="10">
        <f t="shared" si="17"/>
        <v>5</v>
      </c>
      <c r="D519" s="20">
        <v>45426</v>
      </c>
      <c r="E519">
        <v>453.75</v>
      </c>
      <c r="F519">
        <v>1199</v>
      </c>
      <c r="G519">
        <v>363.6</v>
      </c>
      <c r="H519">
        <v>657</v>
      </c>
      <c r="I519">
        <v>42.68</v>
      </c>
      <c r="J519">
        <v>5.1299000000000001</v>
      </c>
    </row>
    <row r="520" spans="2:10" x14ac:dyDescent="0.3">
      <c r="B520" s="10">
        <f t="shared" si="16"/>
        <v>2024</v>
      </c>
      <c r="C520" s="10">
        <f t="shared" si="17"/>
        <v>5</v>
      </c>
      <c r="D520" s="20">
        <v>45425</v>
      </c>
      <c r="E520">
        <v>458.5</v>
      </c>
      <c r="F520">
        <v>1205.5</v>
      </c>
      <c r="G520">
        <v>361.6</v>
      </c>
      <c r="H520">
        <v>670.25</v>
      </c>
      <c r="I520">
        <v>44.52</v>
      </c>
      <c r="J520">
        <v>5.1510999999999996</v>
      </c>
    </row>
    <row r="521" spans="2:10" x14ac:dyDescent="0.3">
      <c r="B521" s="10">
        <f t="shared" si="16"/>
        <v>2024</v>
      </c>
      <c r="C521" s="10">
        <f t="shared" si="17"/>
        <v>5</v>
      </c>
      <c r="D521" s="20">
        <v>45422</v>
      </c>
      <c r="E521">
        <v>455.75</v>
      </c>
      <c r="F521">
        <v>1205</v>
      </c>
      <c r="G521">
        <v>367</v>
      </c>
      <c r="H521">
        <v>645.75</v>
      </c>
      <c r="I521">
        <v>43.81</v>
      </c>
      <c r="J521">
        <v>5.1584000000000003</v>
      </c>
    </row>
    <row r="522" spans="2:10" x14ac:dyDescent="0.3">
      <c r="B522" s="10">
        <f t="shared" si="16"/>
        <v>2024</v>
      </c>
      <c r="C522" s="10">
        <f t="shared" si="17"/>
        <v>5</v>
      </c>
      <c r="D522" s="20">
        <v>45421</v>
      </c>
      <c r="E522">
        <v>442.75</v>
      </c>
      <c r="F522">
        <v>1192.75</v>
      </c>
      <c r="G522">
        <v>368</v>
      </c>
      <c r="H522">
        <v>619.75</v>
      </c>
      <c r="I522">
        <v>42.01</v>
      </c>
      <c r="J522">
        <v>5.1412000000000004</v>
      </c>
    </row>
    <row r="523" spans="2:10" x14ac:dyDescent="0.3">
      <c r="B523" s="10">
        <f t="shared" si="16"/>
        <v>2024</v>
      </c>
      <c r="C523" s="10">
        <f t="shared" si="17"/>
        <v>5</v>
      </c>
      <c r="D523" s="20">
        <v>45420</v>
      </c>
      <c r="E523">
        <v>445.5</v>
      </c>
      <c r="F523">
        <v>1212.75</v>
      </c>
      <c r="G523">
        <v>374.8</v>
      </c>
      <c r="H523">
        <v>616</v>
      </c>
      <c r="I523">
        <v>43.15</v>
      </c>
      <c r="J523">
        <v>5.0909000000000004</v>
      </c>
    </row>
    <row r="524" spans="2:10" x14ac:dyDescent="0.3">
      <c r="B524" s="10">
        <f t="shared" si="16"/>
        <v>2024</v>
      </c>
      <c r="C524" s="10">
        <f t="shared" si="17"/>
        <v>5</v>
      </c>
      <c r="D524" s="20">
        <v>45419</v>
      </c>
      <c r="E524">
        <v>453.75</v>
      </c>
      <c r="F524">
        <v>1232.25</v>
      </c>
      <c r="G524">
        <v>377.4</v>
      </c>
      <c r="H524">
        <v>624.75</v>
      </c>
      <c r="I524">
        <v>43.85</v>
      </c>
      <c r="J524">
        <v>5.0707000000000004</v>
      </c>
    </row>
    <row r="525" spans="2:10" x14ac:dyDescent="0.3">
      <c r="B525" s="10">
        <f t="shared" si="16"/>
        <v>2024</v>
      </c>
      <c r="C525" s="10">
        <f t="shared" si="17"/>
        <v>5</v>
      </c>
      <c r="D525" s="20">
        <v>45418</v>
      </c>
      <c r="E525">
        <v>457</v>
      </c>
      <c r="F525">
        <v>1234.75</v>
      </c>
      <c r="G525">
        <v>381.2</v>
      </c>
      <c r="H525">
        <v>632.25</v>
      </c>
      <c r="I525">
        <v>43.17</v>
      </c>
      <c r="J525">
        <v>5.0758000000000001</v>
      </c>
    </row>
    <row r="526" spans="2:10" x14ac:dyDescent="0.3">
      <c r="B526" s="10">
        <f t="shared" si="16"/>
        <v>2024</v>
      </c>
      <c r="C526" s="10">
        <f t="shared" si="17"/>
        <v>5</v>
      </c>
      <c r="D526" s="20">
        <v>45415</v>
      </c>
      <c r="E526">
        <v>447</v>
      </c>
      <c r="F526">
        <v>1201.75</v>
      </c>
      <c r="G526">
        <v>366.5</v>
      </c>
      <c r="H526">
        <v>606</v>
      </c>
      <c r="I526">
        <v>42.42</v>
      </c>
      <c r="J526">
        <v>5.0721999999999996</v>
      </c>
    </row>
    <row r="527" spans="2:10" x14ac:dyDescent="0.3">
      <c r="B527" s="10">
        <f t="shared" si="16"/>
        <v>2024</v>
      </c>
      <c r="C527" s="10">
        <f t="shared" si="17"/>
        <v>5</v>
      </c>
      <c r="D527" s="20">
        <v>45414</v>
      </c>
      <c r="E527">
        <v>452</v>
      </c>
      <c r="F527">
        <v>1190</v>
      </c>
      <c r="G527">
        <v>357.1</v>
      </c>
      <c r="H527">
        <v>586.5</v>
      </c>
      <c r="I527">
        <v>42.57</v>
      </c>
      <c r="J527">
        <v>5.1113</v>
      </c>
    </row>
    <row r="528" spans="2:10" x14ac:dyDescent="0.3">
      <c r="B528" s="10">
        <f t="shared" si="16"/>
        <v>2024</v>
      </c>
      <c r="C528" s="10">
        <f t="shared" si="17"/>
        <v>5</v>
      </c>
      <c r="D528" s="20">
        <v>45413</v>
      </c>
      <c r="E528">
        <v>443.25</v>
      </c>
      <c r="F528">
        <v>1155.75</v>
      </c>
      <c r="G528">
        <v>342.6</v>
      </c>
      <c r="H528">
        <v>581.5</v>
      </c>
      <c r="I528">
        <v>42.57</v>
      </c>
      <c r="J528">
        <v>5.1936</v>
      </c>
    </row>
    <row r="529" spans="2:10" x14ac:dyDescent="0.3">
      <c r="B529" s="10">
        <f t="shared" si="16"/>
        <v>2024</v>
      </c>
      <c r="C529" s="10">
        <f t="shared" si="17"/>
        <v>4</v>
      </c>
      <c r="D529" s="20">
        <v>45412</v>
      </c>
      <c r="E529">
        <v>439.5</v>
      </c>
      <c r="F529">
        <v>1145.5</v>
      </c>
      <c r="G529">
        <v>346.3</v>
      </c>
      <c r="H529">
        <v>585</v>
      </c>
      <c r="I529">
        <v>42.29</v>
      </c>
      <c r="J529">
        <v>5.1933999999999996</v>
      </c>
    </row>
    <row r="530" spans="2:10" x14ac:dyDescent="0.3">
      <c r="B530" s="10">
        <f t="shared" si="16"/>
        <v>2024</v>
      </c>
      <c r="C530" s="10">
        <f t="shared" si="17"/>
        <v>4</v>
      </c>
      <c r="D530" s="20">
        <v>45411</v>
      </c>
      <c r="E530">
        <v>439.25</v>
      </c>
      <c r="F530">
        <v>1160.75</v>
      </c>
      <c r="G530">
        <v>348.3</v>
      </c>
      <c r="H530">
        <v>590.25</v>
      </c>
      <c r="I530">
        <v>43.69</v>
      </c>
      <c r="J530">
        <v>5.1189</v>
      </c>
    </row>
    <row r="531" spans="2:10" x14ac:dyDescent="0.3">
      <c r="B531" s="10">
        <f t="shared" si="16"/>
        <v>2024</v>
      </c>
      <c r="C531" s="10">
        <f t="shared" si="17"/>
        <v>4</v>
      </c>
      <c r="D531" s="20">
        <v>45408</v>
      </c>
      <c r="E531">
        <v>440</v>
      </c>
      <c r="F531">
        <v>1159.5</v>
      </c>
      <c r="G531">
        <v>340</v>
      </c>
      <c r="H531">
        <v>603.25</v>
      </c>
      <c r="I531">
        <v>44.93</v>
      </c>
      <c r="J531">
        <v>5.1151</v>
      </c>
    </row>
    <row r="532" spans="2:10" x14ac:dyDescent="0.3">
      <c r="B532" s="10">
        <f t="shared" si="16"/>
        <v>2024</v>
      </c>
      <c r="C532" s="10">
        <f t="shared" si="17"/>
        <v>4</v>
      </c>
      <c r="D532" s="20">
        <v>45407</v>
      </c>
      <c r="E532">
        <v>441</v>
      </c>
      <c r="F532">
        <v>1162.75</v>
      </c>
      <c r="G532">
        <v>343.9</v>
      </c>
      <c r="H532">
        <v>602.25</v>
      </c>
      <c r="I532">
        <v>44.82</v>
      </c>
      <c r="J532">
        <v>5.1601999999999997</v>
      </c>
    </row>
    <row r="533" spans="2:10" x14ac:dyDescent="0.3">
      <c r="B533" s="10">
        <f t="shared" si="16"/>
        <v>2024</v>
      </c>
      <c r="C533" s="10">
        <f t="shared" si="17"/>
        <v>4</v>
      </c>
      <c r="D533" s="20">
        <v>45406</v>
      </c>
      <c r="E533">
        <v>437.75</v>
      </c>
      <c r="F533">
        <v>1166</v>
      </c>
      <c r="G533">
        <v>346</v>
      </c>
      <c r="H533">
        <v>594.5</v>
      </c>
      <c r="I533">
        <v>44.66</v>
      </c>
      <c r="J533">
        <v>5.1456999999999997</v>
      </c>
    </row>
    <row r="534" spans="2:10" x14ac:dyDescent="0.3">
      <c r="B534" s="10">
        <f t="shared" si="16"/>
        <v>2024</v>
      </c>
      <c r="C534" s="10">
        <f t="shared" si="17"/>
        <v>4</v>
      </c>
      <c r="D534" s="20">
        <v>45405</v>
      </c>
      <c r="E534">
        <v>443</v>
      </c>
      <c r="F534">
        <v>1167.5</v>
      </c>
      <c r="G534">
        <v>345.2</v>
      </c>
      <c r="H534">
        <v>585</v>
      </c>
      <c r="I534">
        <v>45.31</v>
      </c>
      <c r="J534">
        <v>5.1260000000000003</v>
      </c>
    </row>
    <row r="535" spans="2:10" x14ac:dyDescent="0.3">
      <c r="B535" s="10">
        <f t="shared" si="16"/>
        <v>2024</v>
      </c>
      <c r="C535" s="10">
        <f t="shared" si="17"/>
        <v>4</v>
      </c>
      <c r="D535" s="20">
        <v>45404</v>
      </c>
      <c r="E535">
        <v>439.75</v>
      </c>
      <c r="F535">
        <v>1161</v>
      </c>
      <c r="G535">
        <v>344.3</v>
      </c>
      <c r="H535">
        <v>570.25</v>
      </c>
      <c r="I535">
        <v>45.04</v>
      </c>
      <c r="J535">
        <v>5.1680000000000001</v>
      </c>
    </row>
    <row r="536" spans="2:10" x14ac:dyDescent="0.3">
      <c r="B536" s="10">
        <f t="shared" si="16"/>
        <v>2024</v>
      </c>
      <c r="C536" s="10">
        <f t="shared" si="17"/>
        <v>4</v>
      </c>
      <c r="D536" s="20">
        <v>45401</v>
      </c>
      <c r="E536">
        <v>433.5</v>
      </c>
      <c r="F536">
        <v>1150.5</v>
      </c>
      <c r="G536">
        <v>343.7</v>
      </c>
      <c r="H536">
        <v>550.25</v>
      </c>
      <c r="I536">
        <v>44.38</v>
      </c>
      <c r="J536">
        <v>5.2027000000000001</v>
      </c>
    </row>
    <row r="537" spans="2:10" x14ac:dyDescent="0.3">
      <c r="B537" s="10">
        <f t="shared" si="16"/>
        <v>2024</v>
      </c>
      <c r="C537" s="10">
        <f t="shared" si="17"/>
        <v>4</v>
      </c>
      <c r="D537" s="20">
        <v>45400</v>
      </c>
      <c r="E537">
        <v>426.75</v>
      </c>
      <c r="F537">
        <v>1134.25</v>
      </c>
      <c r="G537">
        <v>338</v>
      </c>
      <c r="H537">
        <v>536.75</v>
      </c>
      <c r="I537">
        <v>44.12</v>
      </c>
      <c r="J537">
        <v>5.2481999999999998</v>
      </c>
    </row>
    <row r="538" spans="2:10" x14ac:dyDescent="0.3">
      <c r="B538" s="10">
        <f t="shared" si="16"/>
        <v>2024</v>
      </c>
      <c r="C538" s="10">
        <f t="shared" si="17"/>
        <v>4</v>
      </c>
      <c r="D538" s="20">
        <v>45399</v>
      </c>
      <c r="E538">
        <v>430.25</v>
      </c>
      <c r="F538">
        <v>1149.5</v>
      </c>
      <c r="G538">
        <v>338.7</v>
      </c>
      <c r="H538">
        <v>537</v>
      </c>
      <c r="I538">
        <v>45</v>
      </c>
      <c r="J538">
        <v>5.242</v>
      </c>
    </row>
    <row r="539" spans="2:10" x14ac:dyDescent="0.3">
      <c r="B539" s="10">
        <f t="shared" si="16"/>
        <v>2024</v>
      </c>
      <c r="C539" s="10">
        <f t="shared" si="17"/>
        <v>4</v>
      </c>
      <c r="D539" s="20">
        <v>45398</v>
      </c>
      <c r="E539">
        <v>431</v>
      </c>
      <c r="F539">
        <v>1145</v>
      </c>
      <c r="G539">
        <v>335.3</v>
      </c>
      <c r="H539">
        <v>549.75</v>
      </c>
      <c r="I539">
        <v>44.91</v>
      </c>
      <c r="J539">
        <v>5.2826000000000004</v>
      </c>
    </row>
    <row r="540" spans="2:10" x14ac:dyDescent="0.3">
      <c r="B540" s="10">
        <f t="shared" si="16"/>
        <v>2024</v>
      </c>
      <c r="C540" s="10">
        <f t="shared" si="17"/>
        <v>4</v>
      </c>
      <c r="D540" s="20">
        <v>45397</v>
      </c>
      <c r="E540">
        <v>431.5</v>
      </c>
      <c r="F540">
        <v>1158.25</v>
      </c>
      <c r="G540">
        <v>338.5</v>
      </c>
      <c r="H540">
        <v>551.75</v>
      </c>
      <c r="I540">
        <v>45.47</v>
      </c>
      <c r="J540">
        <v>5.1845999999999997</v>
      </c>
    </row>
    <row r="541" spans="2:10" x14ac:dyDescent="0.3">
      <c r="B541" s="10">
        <f t="shared" si="16"/>
        <v>2024</v>
      </c>
      <c r="C541" s="10">
        <f t="shared" si="17"/>
        <v>4</v>
      </c>
      <c r="D541" s="20">
        <v>45394</v>
      </c>
      <c r="E541">
        <v>435.5</v>
      </c>
      <c r="F541">
        <v>1174</v>
      </c>
      <c r="G541">
        <v>344.4</v>
      </c>
      <c r="H541">
        <v>556</v>
      </c>
      <c r="I541">
        <v>45.89</v>
      </c>
      <c r="J541">
        <v>5.1174999999999997</v>
      </c>
    </row>
    <row r="542" spans="2:10" x14ac:dyDescent="0.3">
      <c r="B542" s="10">
        <f t="shared" si="16"/>
        <v>2024</v>
      </c>
      <c r="C542" s="10">
        <f t="shared" si="17"/>
        <v>4</v>
      </c>
      <c r="D542" s="20">
        <v>45393</v>
      </c>
      <c r="E542">
        <v>428.75</v>
      </c>
      <c r="F542">
        <v>1159.25</v>
      </c>
      <c r="G542">
        <v>335.6</v>
      </c>
      <c r="H542">
        <v>551.75</v>
      </c>
      <c r="I542">
        <v>46.02</v>
      </c>
      <c r="J542">
        <v>5.0917000000000003</v>
      </c>
    </row>
    <row r="543" spans="2:10" x14ac:dyDescent="0.3">
      <c r="B543" s="10">
        <f t="shared" si="16"/>
        <v>2024</v>
      </c>
      <c r="C543" s="10">
        <f t="shared" si="17"/>
        <v>4</v>
      </c>
      <c r="D543" s="20">
        <v>45392</v>
      </c>
      <c r="E543">
        <v>434.25</v>
      </c>
      <c r="F543">
        <v>1164.75</v>
      </c>
      <c r="G543">
        <v>330.9</v>
      </c>
      <c r="H543">
        <v>558.5</v>
      </c>
      <c r="I543">
        <v>47.6</v>
      </c>
      <c r="J543">
        <v>5.0746000000000002</v>
      </c>
    </row>
    <row r="544" spans="2:10" x14ac:dyDescent="0.3">
      <c r="B544" s="10">
        <f t="shared" si="16"/>
        <v>2024</v>
      </c>
      <c r="C544" s="10">
        <f t="shared" si="17"/>
        <v>4</v>
      </c>
      <c r="D544" s="20">
        <v>45391</v>
      </c>
      <c r="E544">
        <v>431.25</v>
      </c>
      <c r="F544">
        <v>1174.5</v>
      </c>
      <c r="G544">
        <v>335.6</v>
      </c>
      <c r="H544">
        <v>557.75</v>
      </c>
      <c r="I544">
        <v>47.52</v>
      </c>
      <c r="J544">
        <v>5.0090000000000003</v>
      </c>
    </row>
    <row r="545" spans="2:10" x14ac:dyDescent="0.3">
      <c r="B545" s="10">
        <f t="shared" si="16"/>
        <v>2024</v>
      </c>
      <c r="C545" s="10">
        <f t="shared" si="17"/>
        <v>4</v>
      </c>
      <c r="D545" s="20">
        <v>45390</v>
      </c>
      <c r="E545">
        <v>435.5</v>
      </c>
      <c r="F545">
        <v>1181.5</v>
      </c>
      <c r="G545">
        <v>336</v>
      </c>
      <c r="H545">
        <v>565.75</v>
      </c>
      <c r="I545">
        <v>47.9</v>
      </c>
      <c r="J545">
        <v>5.0267999999999997</v>
      </c>
    </row>
    <row r="546" spans="2:10" x14ac:dyDescent="0.3">
      <c r="B546" s="10">
        <f t="shared" si="16"/>
        <v>2024</v>
      </c>
      <c r="C546" s="10">
        <f t="shared" si="17"/>
        <v>4</v>
      </c>
      <c r="D546" s="20">
        <v>45387</v>
      </c>
      <c r="E546">
        <v>434.25</v>
      </c>
      <c r="F546">
        <v>1185</v>
      </c>
      <c r="G546">
        <v>333.1</v>
      </c>
      <c r="H546">
        <v>567.25</v>
      </c>
      <c r="I546">
        <v>48.89</v>
      </c>
      <c r="J546">
        <v>5.0655000000000001</v>
      </c>
    </row>
    <row r="547" spans="2:10" x14ac:dyDescent="0.3">
      <c r="B547" s="10">
        <f t="shared" si="16"/>
        <v>2024</v>
      </c>
      <c r="C547" s="10">
        <f t="shared" si="17"/>
        <v>4</v>
      </c>
      <c r="D547" s="20">
        <v>45386</v>
      </c>
      <c r="E547">
        <v>435.25</v>
      </c>
      <c r="F547">
        <v>1180</v>
      </c>
      <c r="G547">
        <v>333.5</v>
      </c>
      <c r="H547">
        <v>556.25</v>
      </c>
      <c r="I547">
        <v>48.15</v>
      </c>
      <c r="J547">
        <v>5.0537999999999998</v>
      </c>
    </row>
    <row r="548" spans="2:10" x14ac:dyDescent="0.3">
      <c r="B548" s="10">
        <f t="shared" si="16"/>
        <v>2024</v>
      </c>
      <c r="C548" s="10">
        <f t="shared" si="17"/>
        <v>4</v>
      </c>
      <c r="D548" s="20">
        <v>45385</v>
      </c>
      <c r="E548">
        <v>431.75</v>
      </c>
      <c r="F548">
        <v>1182.25</v>
      </c>
      <c r="G548">
        <v>330</v>
      </c>
      <c r="H548">
        <v>556</v>
      </c>
      <c r="I548">
        <v>48.85</v>
      </c>
      <c r="J548">
        <v>5.0392999999999999</v>
      </c>
    </row>
    <row r="549" spans="2:10" x14ac:dyDescent="0.3">
      <c r="B549" s="10">
        <f t="shared" si="16"/>
        <v>2024</v>
      </c>
      <c r="C549" s="10">
        <f t="shared" si="17"/>
        <v>4</v>
      </c>
      <c r="D549" s="20">
        <v>45384</v>
      </c>
      <c r="E549">
        <v>426.5</v>
      </c>
      <c r="F549">
        <v>1174</v>
      </c>
      <c r="G549">
        <v>328.3</v>
      </c>
      <c r="H549">
        <v>545.25</v>
      </c>
      <c r="I549">
        <v>48.6</v>
      </c>
      <c r="J549">
        <v>5.0575999999999999</v>
      </c>
    </row>
    <row r="550" spans="2:10" x14ac:dyDescent="0.3">
      <c r="B550" s="10">
        <f t="shared" si="16"/>
        <v>2024</v>
      </c>
      <c r="C550" s="10">
        <f t="shared" si="17"/>
        <v>4</v>
      </c>
      <c r="D550" s="20">
        <v>45383</v>
      </c>
      <c r="E550">
        <v>435.5</v>
      </c>
      <c r="F550">
        <v>1185.75</v>
      </c>
      <c r="G550">
        <v>333.4</v>
      </c>
      <c r="H550">
        <v>557</v>
      </c>
      <c r="I550">
        <v>48.24</v>
      </c>
      <c r="J550">
        <v>5.0542999999999996</v>
      </c>
    </row>
    <row r="551" spans="2:10" x14ac:dyDescent="0.3">
      <c r="B551" s="10">
        <f t="shared" si="16"/>
        <v>2024</v>
      </c>
      <c r="C551" s="10">
        <f t="shared" si="17"/>
        <v>3</v>
      </c>
      <c r="D551" s="20">
        <v>45380</v>
      </c>
      <c r="J551">
        <v>5.0152999999999999</v>
      </c>
    </row>
    <row r="552" spans="2:10" x14ac:dyDescent="0.3">
      <c r="B552" s="10">
        <f t="shared" si="16"/>
        <v>2024</v>
      </c>
      <c r="C552" s="10">
        <f t="shared" si="17"/>
        <v>3</v>
      </c>
      <c r="D552" s="20">
        <v>45379</v>
      </c>
      <c r="E552">
        <v>442</v>
      </c>
      <c r="F552">
        <v>1191.5</v>
      </c>
      <c r="G552">
        <v>337.7</v>
      </c>
      <c r="H552">
        <v>560.25</v>
      </c>
      <c r="I552">
        <v>47.95</v>
      </c>
      <c r="J552">
        <v>5.0129000000000001</v>
      </c>
    </row>
    <row r="553" spans="2:10" x14ac:dyDescent="0.3">
      <c r="B553" s="10">
        <f t="shared" si="16"/>
        <v>2024</v>
      </c>
      <c r="C553" s="10">
        <f t="shared" si="17"/>
        <v>3</v>
      </c>
      <c r="D553" s="20">
        <v>45378</v>
      </c>
      <c r="E553">
        <v>426.75</v>
      </c>
      <c r="F553">
        <v>1192.5</v>
      </c>
      <c r="G553">
        <v>339</v>
      </c>
      <c r="H553">
        <v>547.5</v>
      </c>
      <c r="I553">
        <v>47.67</v>
      </c>
      <c r="J553">
        <v>4.9866000000000001</v>
      </c>
    </row>
    <row r="554" spans="2:10" x14ac:dyDescent="0.3">
      <c r="B554" s="10">
        <f t="shared" si="16"/>
        <v>2024</v>
      </c>
      <c r="C554" s="10">
        <f t="shared" si="17"/>
        <v>3</v>
      </c>
      <c r="D554" s="20">
        <v>45377</v>
      </c>
      <c r="E554">
        <v>432.5</v>
      </c>
      <c r="F554">
        <v>1199</v>
      </c>
      <c r="G554">
        <v>339.8</v>
      </c>
      <c r="H554">
        <v>543.5</v>
      </c>
      <c r="I554">
        <v>48.42</v>
      </c>
      <c r="J554">
        <v>4.9808000000000003</v>
      </c>
    </row>
    <row r="555" spans="2:10" x14ac:dyDescent="0.3">
      <c r="B555" s="10">
        <f t="shared" si="16"/>
        <v>2024</v>
      </c>
      <c r="C555" s="10">
        <f t="shared" si="17"/>
        <v>3</v>
      </c>
      <c r="D555" s="20">
        <v>45376</v>
      </c>
      <c r="E555">
        <v>437.75</v>
      </c>
      <c r="F555">
        <v>1209.25</v>
      </c>
      <c r="G555">
        <v>341.7</v>
      </c>
      <c r="H555">
        <v>555</v>
      </c>
      <c r="I555">
        <v>49.02</v>
      </c>
      <c r="J555">
        <v>4.9751000000000003</v>
      </c>
    </row>
    <row r="556" spans="2:10" x14ac:dyDescent="0.3">
      <c r="B556" s="10">
        <f t="shared" si="16"/>
        <v>2024</v>
      </c>
      <c r="C556" s="10">
        <f t="shared" si="17"/>
        <v>3</v>
      </c>
      <c r="D556" s="20">
        <v>45373</v>
      </c>
      <c r="E556">
        <v>439.25</v>
      </c>
      <c r="F556">
        <v>1192.5</v>
      </c>
      <c r="G556">
        <v>339.1</v>
      </c>
      <c r="H556">
        <v>554.75</v>
      </c>
      <c r="I556">
        <v>47.64</v>
      </c>
      <c r="J556">
        <v>4.9996999999999998</v>
      </c>
    </row>
    <row r="557" spans="2:10" x14ac:dyDescent="0.3">
      <c r="B557" s="10">
        <f t="shared" si="16"/>
        <v>2024</v>
      </c>
      <c r="C557" s="10">
        <f t="shared" si="17"/>
        <v>3</v>
      </c>
      <c r="D557" s="20">
        <v>45372</v>
      </c>
      <c r="E557">
        <v>440.75</v>
      </c>
      <c r="F557">
        <v>1212</v>
      </c>
      <c r="G557">
        <v>344.3</v>
      </c>
      <c r="H557">
        <v>546.75</v>
      </c>
      <c r="I557">
        <v>48.79</v>
      </c>
      <c r="J557">
        <v>4.9781000000000004</v>
      </c>
    </row>
    <row r="558" spans="2:10" x14ac:dyDescent="0.3">
      <c r="B558" s="10">
        <f t="shared" si="16"/>
        <v>2024</v>
      </c>
      <c r="C558" s="10">
        <f t="shared" si="17"/>
        <v>3</v>
      </c>
      <c r="D558" s="20">
        <v>45371</v>
      </c>
      <c r="E558">
        <v>439</v>
      </c>
      <c r="F558">
        <v>1209.5</v>
      </c>
      <c r="G558">
        <v>342.5</v>
      </c>
      <c r="H558">
        <v>545</v>
      </c>
      <c r="I558">
        <v>49</v>
      </c>
      <c r="J558">
        <v>4.9691000000000001</v>
      </c>
    </row>
    <row r="559" spans="2:10" x14ac:dyDescent="0.3">
      <c r="B559" s="10">
        <f t="shared" si="16"/>
        <v>2024</v>
      </c>
      <c r="C559" s="10">
        <f t="shared" si="17"/>
        <v>3</v>
      </c>
      <c r="D559" s="20">
        <v>45370</v>
      </c>
      <c r="E559">
        <v>439.5</v>
      </c>
      <c r="F559">
        <v>1185.5</v>
      </c>
      <c r="G559">
        <v>333.9</v>
      </c>
      <c r="H559">
        <v>552.5</v>
      </c>
      <c r="I559">
        <v>48.14</v>
      </c>
      <c r="J559">
        <v>5.0301</v>
      </c>
    </row>
    <row r="560" spans="2:10" x14ac:dyDescent="0.3">
      <c r="B560" s="10">
        <f t="shared" si="16"/>
        <v>2024</v>
      </c>
      <c r="C560" s="10">
        <f t="shared" si="17"/>
        <v>3</v>
      </c>
      <c r="D560" s="20">
        <v>45369</v>
      </c>
      <c r="E560">
        <v>436</v>
      </c>
      <c r="F560">
        <v>1187.75</v>
      </c>
      <c r="G560">
        <v>331.9</v>
      </c>
      <c r="H560">
        <v>542.75</v>
      </c>
      <c r="I560">
        <v>48.7</v>
      </c>
      <c r="J560">
        <v>5.0252999999999997</v>
      </c>
    </row>
    <row r="561" spans="2:10" x14ac:dyDescent="0.3">
      <c r="B561" s="10">
        <f t="shared" si="16"/>
        <v>2024</v>
      </c>
      <c r="C561" s="10">
        <f t="shared" si="17"/>
        <v>3</v>
      </c>
      <c r="D561" s="20">
        <v>45366</v>
      </c>
      <c r="E561">
        <v>436.75</v>
      </c>
      <c r="F561">
        <v>1198.25</v>
      </c>
      <c r="G561">
        <v>334.7</v>
      </c>
      <c r="H561">
        <v>528.5</v>
      </c>
      <c r="I561">
        <v>49.42</v>
      </c>
      <c r="J561">
        <v>4.9949000000000003</v>
      </c>
    </row>
    <row r="562" spans="2:10" x14ac:dyDescent="0.3">
      <c r="B562" s="10">
        <f t="shared" si="16"/>
        <v>2024</v>
      </c>
      <c r="C562" s="10">
        <f t="shared" si="17"/>
        <v>3</v>
      </c>
      <c r="D562" s="20">
        <v>45365</v>
      </c>
      <c r="E562">
        <v>422.5</v>
      </c>
      <c r="F562">
        <v>1180.75</v>
      </c>
      <c r="G562">
        <v>333.2</v>
      </c>
      <c r="H562">
        <v>519.5</v>
      </c>
      <c r="I562">
        <v>47.94</v>
      </c>
      <c r="J562">
        <v>4.9894999999999996</v>
      </c>
    </row>
    <row r="563" spans="2:10" x14ac:dyDescent="0.3">
      <c r="B563" s="10">
        <f t="shared" si="16"/>
        <v>2024</v>
      </c>
      <c r="C563" s="10">
        <f t="shared" si="17"/>
        <v>3</v>
      </c>
      <c r="D563" s="20">
        <v>45364</v>
      </c>
      <c r="E563">
        <v>426.5</v>
      </c>
      <c r="F563">
        <v>1181.75</v>
      </c>
      <c r="G563">
        <v>331</v>
      </c>
      <c r="H563">
        <v>532.25</v>
      </c>
      <c r="I563">
        <v>47.99</v>
      </c>
      <c r="J563">
        <v>4.97</v>
      </c>
    </row>
    <row r="564" spans="2:10" x14ac:dyDescent="0.3">
      <c r="B564" s="10">
        <f t="shared" si="16"/>
        <v>2024</v>
      </c>
      <c r="C564" s="10">
        <f t="shared" si="17"/>
        <v>3</v>
      </c>
      <c r="D564" s="20">
        <v>45363</v>
      </c>
      <c r="E564">
        <v>429</v>
      </c>
      <c r="F564">
        <v>1182</v>
      </c>
      <c r="G564">
        <v>333.8</v>
      </c>
      <c r="H564">
        <v>535.5</v>
      </c>
      <c r="I564">
        <v>47.23</v>
      </c>
      <c r="J564">
        <v>4.9718</v>
      </c>
    </row>
    <row r="565" spans="2:10" x14ac:dyDescent="0.3">
      <c r="B565" s="10">
        <f t="shared" si="16"/>
        <v>2024</v>
      </c>
      <c r="C565" s="10">
        <f t="shared" si="17"/>
        <v>3</v>
      </c>
      <c r="D565" s="20">
        <v>45362</v>
      </c>
      <c r="E565">
        <v>428.25</v>
      </c>
      <c r="F565">
        <v>1165</v>
      </c>
      <c r="G565">
        <v>337.1</v>
      </c>
      <c r="H565">
        <v>537.5</v>
      </c>
      <c r="I565">
        <v>46.05</v>
      </c>
      <c r="J565">
        <v>4.9771000000000001</v>
      </c>
    </row>
    <row r="566" spans="2:10" x14ac:dyDescent="0.3">
      <c r="B566" s="10">
        <f t="shared" si="16"/>
        <v>2024</v>
      </c>
      <c r="C566" s="10">
        <f t="shared" si="17"/>
        <v>3</v>
      </c>
      <c r="D566" s="20">
        <v>45359</v>
      </c>
      <c r="E566">
        <v>426.25</v>
      </c>
      <c r="F566">
        <v>1170.5</v>
      </c>
      <c r="G566">
        <v>341.3</v>
      </c>
      <c r="H566">
        <v>526.75</v>
      </c>
      <c r="I566">
        <v>45.6</v>
      </c>
      <c r="J566">
        <v>4.9805999999999999</v>
      </c>
    </row>
    <row r="567" spans="2:10" x14ac:dyDescent="0.3">
      <c r="B567" s="10">
        <f t="shared" si="16"/>
        <v>2024</v>
      </c>
      <c r="C567" s="10">
        <f t="shared" si="17"/>
        <v>3</v>
      </c>
      <c r="D567" s="20">
        <v>45358</v>
      </c>
      <c r="E567">
        <v>426</v>
      </c>
      <c r="F567">
        <v>1157</v>
      </c>
      <c r="G567">
        <v>339.9</v>
      </c>
      <c r="H567">
        <v>520.75</v>
      </c>
      <c r="I567">
        <v>45.83</v>
      </c>
      <c r="J567">
        <v>4.9349999999999996</v>
      </c>
    </row>
    <row r="568" spans="2:10" x14ac:dyDescent="0.3">
      <c r="B568" s="10">
        <f t="shared" si="16"/>
        <v>2024</v>
      </c>
      <c r="C568" s="10">
        <f t="shared" si="17"/>
        <v>3</v>
      </c>
      <c r="D568" s="20">
        <v>45357</v>
      </c>
      <c r="E568">
        <v>418</v>
      </c>
      <c r="F568">
        <v>1140.25</v>
      </c>
      <c r="G568">
        <v>334.9</v>
      </c>
      <c r="H568">
        <v>521.25</v>
      </c>
      <c r="I568">
        <v>44.78</v>
      </c>
      <c r="J568">
        <v>4.9446000000000003</v>
      </c>
    </row>
    <row r="569" spans="2:10" x14ac:dyDescent="0.3">
      <c r="B569" s="10">
        <f t="shared" si="16"/>
        <v>2024</v>
      </c>
      <c r="C569" s="10">
        <f t="shared" si="17"/>
        <v>3</v>
      </c>
      <c r="D569" s="20">
        <v>45356</v>
      </c>
      <c r="E569">
        <v>413.5</v>
      </c>
      <c r="F569">
        <v>1140.75</v>
      </c>
      <c r="G569">
        <v>331.2</v>
      </c>
      <c r="H569">
        <v>545.75</v>
      </c>
      <c r="I569">
        <v>44.51</v>
      </c>
      <c r="J569">
        <v>4.9581</v>
      </c>
    </row>
    <row r="570" spans="2:10" x14ac:dyDescent="0.3">
      <c r="B570" s="10">
        <f t="shared" si="16"/>
        <v>2024</v>
      </c>
      <c r="C570" s="10">
        <f t="shared" si="17"/>
        <v>3</v>
      </c>
      <c r="D570" s="20">
        <v>45355</v>
      </c>
      <c r="E570">
        <v>417.5</v>
      </c>
      <c r="F570">
        <v>1147</v>
      </c>
      <c r="G570">
        <v>335.2</v>
      </c>
      <c r="H570">
        <v>563.5</v>
      </c>
      <c r="I570">
        <v>44.65</v>
      </c>
      <c r="J570">
        <v>4.9458000000000002</v>
      </c>
    </row>
    <row r="571" spans="2:10" x14ac:dyDescent="0.3">
      <c r="B571" s="10">
        <f t="shared" si="16"/>
        <v>2024</v>
      </c>
      <c r="C571" s="10">
        <f t="shared" si="17"/>
        <v>3</v>
      </c>
      <c r="D571" s="20">
        <v>45352</v>
      </c>
      <c r="E571">
        <v>412.25</v>
      </c>
      <c r="F571">
        <v>1143</v>
      </c>
      <c r="G571">
        <v>334</v>
      </c>
      <c r="H571">
        <v>560</v>
      </c>
      <c r="I571">
        <v>44.62</v>
      </c>
      <c r="J571">
        <v>4.9541000000000004</v>
      </c>
    </row>
    <row r="572" spans="2:10" x14ac:dyDescent="0.3">
      <c r="B572" s="10">
        <f t="shared" si="16"/>
        <v>2024</v>
      </c>
      <c r="C572" s="10">
        <f t="shared" si="17"/>
        <v>2</v>
      </c>
      <c r="D572" s="20">
        <v>45351</v>
      </c>
      <c r="E572">
        <v>415.75</v>
      </c>
      <c r="F572">
        <v>1128.25</v>
      </c>
      <c r="G572">
        <v>333.3</v>
      </c>
      <c r="H572">
        <v>577.5</v>
      </c>
      <c r="I572">
        <v>44.66</v>
      </c>
      <c r="J572">
        <v>4.9715999999999996</v>
      </c>
    </row>
    <row r="573" spans="2:10" x14ac:dyDescent="0.3">
      <c r="B573" s="10">
        <f t="shared" si="16"/>
        <v>2024</v>
      </c>
      <c r="C573" s="10">
        <f t="shared" si="17"/>
        <v>2</v>
      </c>
      <c r="D573" s="20">
        <v>45350</v>
      </c>
      <c r="E573">
        <v>413.25</v>
      </c>
      <c r="F573">
        <v>1134</v>
      </c>
      <c r="G573">
        <v>331.3</v>
      </c>
      <c r="H573">
        <v>571</v>
      </c>
      <c r="I573">
        <v>44.66</v>
      </c>
      <c r="J573">
        <v>4.9675000000000002</v>
      </c>
    </row>
    <row r="574" spans="2:10" x14ac:dyDescent="0.3">
      <c r="B574" s="10">
        <f t="shared" si="16"/>
        <v>2024</v>
      </c>
      <c r="C574" s="10">
        <f t="shared" si="17"/>
        <v>2</v>
      </c>
      <c r="D574" s="20">
        <v>45349</v>
      </c>
      <c r="E574">
        <v>408.25</v>
      </c>
      <c r="F574">
        <v>1131.25</v>
      </c>
      <c r="G574">
        <v>327.8</v>
      </c>
      <c r="H574">
        <v>586</v>
      </c>
      <c r="I574">
        <v>44.91</v>
      </c>
      <c r="J574">
        <v>4.9335000000000004</v>
      </c>
    </row>
    <row r="575" spans="2:10" x14ac:dyDescent="0.3">
      <c r="B575" s="10">
        <f t="shared" si="16"/>
        <v>2024</v>
      </c>
      <c r="C575" s="10">
        <f t="shared" si="17"/>
        <v>2</v>
      </c>
      <c r="D575" s="20">
        <v>45348</v>
      </c>
      <c r="E575">
        <v>407</v>
      </c>
      <c r="F575">
        <v>1136</v>
      </c>
      <c r="G575">
        <v>334.4</v>
      </c>
      <c r="H575">
        <v>577.25</v>
      </c>
      <c r="I575">
        <v>44.4</v>
      </c>
      <c r="J575">
        <v>4.9798999999999998</v>
      </c>
    </row>
    <row r="576" spans="2:10" x14ac:dyDescent="0.3">
      <c r="B576" s="10">
        <f t="shared" si="16"/>
        <v>2024</v>
      </c>
      <c r="C576" s="10">
        <f t="shared" si="17"/>
        <v>2</v>
      </c>
      <c r="D576" s="20">
        <v>45345</v>
      </c>
      <c r="E576">
        <v>399.75</v>
      </c>
      <c r="F576">
        <v>1133</v>
      </c>
      <c r="G576">
        <v>331.5</v>
      </c>
      <c r="H576">
        <v>573.5</v>
      </c>
      <c r="I576">
        <v>44.02</v>
      </c>
      <c r="J576">
        <v>4.9950999999999999</v>
      </c>
    </row>
    <row r="577" spans="2:10" x14ac:dyDescent="0.3">
      <c r="B577" s="10">
        <f t="shared" si="16"/>
        <v>2024</v>
      </c>
      <c r="C577" s="10">
        <f t="shared" si="17"/>
        <v>2</v>
      </c>
      <c r="D577" s="20">
        <v>45344</v>
      </c>
      <c r="E577">
        <v>406</v>
      </c>
      <c r="F577">
        <v>1147.75</v>
      </c>
      <c r="G577">
        <v>334.9</v>
      </c>
      <c r="H577">
        <v>583.25</v>
      </c>
      <c r="I577">
        <v>44.21</v>
      </c>
      <c r="J577">
        <v>4.9604999999999997</v>
      </c>
    </row>
    <row r="578" spans="2:10" x14ac:dyDescent="0.3">
      <c r="B578" s="10">
        <f t="shared" si="16"/>
        <v>2024</v>
      </c>
      <c r="C578" s="10">
        <f t="shared" si="17"/>
        <v>2</v>
      </c>
      <c r="D578" s="20">
        <v>45343</v>
      </c>
      <c r="E578">
        <v>411</v>
      </c>
      <c r="F578">
        <v>1160.75</v>
      </c>
      <c r="G578">
        <v>342</v>
      </c>
      <c r="H578">
        <v>583.25</v>
      </c>
      <c r="I578">
        <v>44.83</v>
      </c>
      <c r="J578">
        <v>4.9358000000000004</v>
      </c>
    </row>
    <row r="579" spans="2:10" x14ac:dyDescent="0.3">
      <c r="B579" s="10">
        <f t="shared" si="16"/>
        <v>2024</v>
      </c>
      <c r="C579" s="10">
        <f t="shared" si="17"/>
        <v>2</v>
      </c>
      <c r="D579" s="20">
        <v>45342</v>
      </c>
      <c r="E579">
        <v>418.75</v>
      </c>
      <c r="F579">
        <v>1179</v>
      </c>
      <c r="G579">
        <v>347.6</v>
      </c>
      <c r="H579">
        <v>582.75</v>
      </c>
      <c r="I579">
        <v>45.41</v>
      </c>
      <c r="J579">
        <v>4.9275000000000002</v>
      </c>
    </row>
    <row r="580" spans="2:10" x14ac:dyDescent="0.3">
      <c r="B580" s="10">
        <f t="shared" si="16"/>
        <v>2024</v>
      </c>
      <c r="C580" s="10">
        <f t="shared" si="17"/>
        <v>2</v>
      </c>
      <c r="D580" s="20">
        <v>45341</v>
      </c>
      <c r="J580">
        <v>4.9564000000000004</v>
      </c>
    </row>
    <row r="581" spans="2:10" x14ac:dyDescent="0.3">
      <c r="B581" s="10">
        <f t="shared" si="16"/>
        <v>2024</v>
      </c>
      <c r="C581" s="10">
        <f t="shared" si="17"/>
        <v>2</v>
      </c>
      <c r="D581" s="20">
        <v>45338</v>
      </c>
      <c r="E581">
        <v>416.5</v>
      </c>
      <c r="F581">
        <v>1172.25</v>
      </c>
      <c r="G581">
        <v>345.6</v>
      </c>
      <c r="H581">
        <v>560.5</v>
      </c>
      <c r="I581">
        <v>45.59</v>
      </c>
      <c r="J581">
        <v>4.9664999999999999</v>
      </c>
    </row>
    <row r="582" spans="2:10" x14ac:dyDescent="0.3">
      <c r="B582" s="10">
        <f t="shared" ref="B582:B645" si="18">YEAR(D582)</f>
        <v>2024</v>
      </c>
      <c r="C582" s="10">
        <f t="shared" ref="C582:C645" si="19">MONTH(D582)</f>
        <v>2</v>
      </c>
      <c r="D582" s="20">
        <v>45337</v>
      </c>
      <c r="E582">
        <v>417.75</v>
      </c>
      <c r="F582">
        <v>1162.25</v>
      </c>
      <c r="G582">
        <v>339.5</v>
      </c>
      <c r="H582">
        <v>567</v>
      </c>
      <c r="I582">
        <v>46</v>
      </c>
      <c r="J582">
        <v>4.9732000000000003</v>
      </c>
    </row>
    <row r="583" spans="2:10" x14ac:dyDescent="0.3">
      <c r="B583" s="10">
        <f t="shared" si="18"/>
        <v>2024</v>
      </c>
      <c r="C583" s="10">
        <f t="shared" si="19"/>
        <v>2</v>
      </c>
      <c r="D583" s="20">
        <v>45336</v>
      </c>
      <c r="E583">
        <v>424.25</v>
      </c>
      <c r="F583">
        <v>1170.5</v>
      </c>
      <c r="G583">
        <v>343.3</v>
      </c>
      <c r="H583">
        <v>585.5</v>
      </c>
      <c r="I583">
        <v>46.35</v>
      </c>
      <c r="J583">
        <v>4.9690000000000003</v>
      </c>
    </row>
    <row r="584" spans="2:10" x14ac:dyDescent="0.3">
      <c r="B584" s="10">
        <f t="shared" si="18"/>
        <v>2024</v>
      </c>
      <c r="C584" s="10">
        <f t="shared" si="19"/>
        <v>2</v>
      </c>
      <c r="D584" s="20">
        <v>45335</v>
      </c>
      <c r="E584">
        <v>430.75</v>
      </c>
      <c r="F584">
        <v>1186.25</v>
      </c>
      <c r="G584">
        <v>344.8</v>
      </c>
      <c r="H584">
        <v>597.5</v>
      </c>
      <c r="I584">
        <v>47.3</v>
      </c>
      <c r="J584">
        <v>4.9535999999999998</v>
      </c>
    </row>
    <row r="585" spans="2:10" x14ac:dyDescent="0.3">
      <c r="B585" s="10">
        <f t="shared" si="18"/>
        <v>2024</v>
      </c>
      <c r="C585" s="10">
        <f t="shared" si="19"/>
        <v>2</v>
      </c>
      <c r="D585" s="20">
        <v>45334</v>
      </c>
      <c r="E585">
        <v>430.5</v>
      </c>
      <c r="F585">
        <v>1193</v>
      </c>
      <c r="G585">
        <v>348.9</v>
      </c>
      <c r="H585">
        <v>597.5</v>
      </c>
      <c r="I585">
        <v>46.9</v>
      </c>
      <c r="J585">
        <v>4.9535999999999998</v>
      </c>
    </row>
    <row r="586" spans="2:10" x14ac:dyDescent="0.3">
      <c r="B586" s="10">
        <f t="shared" si="18"/>
        <v>2024</v>
      </c>
      <c r="C586" s="10">
        <f t="shared" si="19"/>
        <v>2</v>
      </c>
      <c r="D586" s="20">
        <v>45331</v>
      </c>
      <c r="E586">
        <v>429</v>
      </c>
      <c r="F586">
        <v>1183.5</v>
      </c>
      <c r="G586">
        <v>346.8</v>
      </c>
      <c r="H586">
        <v>596.75</v>
      </c>
      <c r="I586">
        <v>47.26</v>
      </c>
      <c r="J586">
        <v>4.9516999999999998</v>
      </c>
    </row>
    <row r="587" spans="2:10" x14ac:dyDescent="0.3">
      <c r="B587" s="10">
        <f t="shared" si="18"/>
        <v>2024</v>
      </c>
      <c r="C587" s="10">
        <f t="shared" si="19"/>
        <v>2</v>
      </c>
      <c r="D587" s="20">
        <v>45330</v>
      </c>
      <c r="E587">
        <v>433.25</v>
      </c>
      <c r="F587">
        <v>1193.5</v>
      </c>
      <c r="G587">
        <v>347.1</v>
      </c>
      <c r="H587">
        <v>588.5</v>
      </c>
      <c r="I587">
        <v>47.94</v>
      </c>
      <c r="J587">
        <v>4.992</v>
      </c>
    </row>
    <row r="588" spans="2:10" x14ac:dyDescent="0.3">
      <c r="B588" s="10">
        <f t="shared" si="18"/>
        <v>2024</v>
      </c>
      <c r="C588" s="10">
        <f t="shared" si="19"/>
        <v>2</v>
      </c>
      <c r="D588" s="20">
        <v>45329</v>
      </c>
      <c r="E588">
        <v>434.25</v>
      </c>
      <c r="F588">
        <v>1189</v>
      </c>
      <c r="G588">
        <v>351.2</v>
      </c>
      <c r="H588">
        <v>602</v>
      </c>
      <c r="I588">
        <v>46.76</v>
      </c>
      <c r="J588">
        <v>4.9684999999999997</v>
      </c>
    </row>
    <row r="589" spans="2:10" x14ac:dyDescent="0.3">
      <c r="B589" s="10">
        <f t="shared" si="18"/>
        <v>2024</v>
      </c>
      <c r="C589" s="10">
        <f t="shared" si="19"/>
        <v>2</v>
      </c>
      <c r="D589" s="20">
        <v>45328</v>
      </c>
      <c r="E589">
        <v>438.75</v>
      </c>
      <c r="F589">
        <v>1199.5</v>
      </c>
      <c r="G589">
        <v>358.8</v>
      </c>
      <c r="H589">
        <v>595</v>
      </c>
      <c r="I589">
        <v>45.94</v>
      </c>
      <c r="J589">
        <v>4.9634</v>
      </c>
    </row>
    <row r="590" spans="2:10" x14ac:dyDescent="0.3">
      <c r="B590" s="10">
        <f t="shared" si="18"/>
        <v>2024</v>
      </c>
      <c r="C590" s="10">
        <f t="shared" si="19"/>
        <v>2</v>
      </c>
      <c r="D590" s="20">
        <v>45327</v>
      </c>
      <c r="E590">
        <v>442.75</v>
      </c>
      <c r="F590">
        <v>1196.25</v>
      </c>
      <c r="G590">
        <v>361.1</v>
      </c>
      <c r="H590">
        <v>590.25</v>
      </c>
      <c r="I590">
        <v>45.33</v>
      </c>
      <c r="J590">
        <v>4.9854000000000003</v>
      </c>
    </row>
    <row r="591" spans="2:10" x14ac:dyDescent="0.3">
      <c r="B591" s="10">
        <f t="shared" si="18"/>
        <v>2024</v>
      </c>
      <c r="C591" s="10">
        <f t="shared" si="19"/>
        <v>2</v>
      </c>
      <c r="D591" s="20">
        <v>45324</v>
      </c>
      <c r="E591">
        <v>442.75</v>
      </c>
      <c r="F591">
        <v>1188.5</v>
      </c>
      <c r="G591">
        <v>356.8</v>
      </c>
      <c r="H591">
        <v>599.75</v>
      </c>
      <c r="I591">
        <v>44.73</v>
      </c>
      <c r="J591">
        <v>4.9699</v>
      </c>
    </row>
    <row r="592" spans="2:10" x14ac:dyDescent="0.3">
      <c r="B592" s="10">
        <f t="shared" si="18"/>
        <v>2024</v>
      </c>
      <c r="C592" s="10">
        <f t="shared" si="19"/>
        <v>2</v>
      </c>
      <c r="D592" s="20">
        <v>45323</v>
      </c>
      <c r="E592">
        <v>447.25</v>
      </c>
      <c r="F592">
        <v>1203.25</v>
      </c>
      <c r="G592">
        <v>361.7</v>
      </c>
      <c r="H592">
        <v>601.5</v>
      </c>
      <c r="I592">
        <v>45.6</v>
      </c>
      <c r="J592">
        <v>4.9162999999999997</v>
      </c>
    </row>
    <row r="593" spans="2:10" x14ac:dyDescent="0.3">
      <c r="B593" s="10">
        <f t="shared" si="18"/>
        <v>2024</v>
      </c>
      <c r="C593" s="10">
        <f t="shared" si="19"/>
        <v>1</v>
      </c>
      <c r="D593" s="20">
        <v>45322</v>
      </c>
      <c r="E593">
        <v>448.25</v>
      </c>
      <c r="F593">
        <v>1222.25</v>
      </c>
      <c r="G593">
        <v>368.3</v>
      </c>
      <c r="H593">
        <v>595.25</v>
      </c>
      <c r="I593">
        <v>46.02</v>
      </c>
      <c r="J593">
        <v>4.9526000000000003</v>
      </c>
    </row>
    <row r="594" spans="2:10" x14ac:dyDescent="0.3">
      <c r="B594" s="10">
        <f t="shared" si="18"/>
        <v>2024</v>
      </c>
      <c r="C594" s="10">
        <f t="shared" si="19"/>
        <v>1</v>
      </c>
      <c r="D594" s="20">
        <v>45321</v>
      </c>
      <c r="E594">
        <v>447.75</v>
      </c>
      <c r="F594">
        <v>1218.75</v>
      </c>
      <c r="G594">
        <v>363</v>
      </c>
      <c r="H594">
        <v>605.5</v>
      </c>
      <c r="I594">
        <v>46</v>
      </c>
      <c r="J594">
        <v>4.9516</v>
      </c>
    </row>
    <row r="595" spans="2:10" x14ac:dyDescent="0.3">
      <c r="B595" s="10">
        <f t="shared" si="18"/>
        <v>2024</v>
      </c>
      <c r="C595" s="10">
        <f t="shared" si="19"/>
        <v>1</v>
      </c>
      <c r="D595" s="20">
        <v>45320</v>
      </c>
      <c r="E595">
        <v>440.25</v>
      </c>
      <c r="F595">
        <v>1194.25</v>
      </c>
      <c r="G595">
        <v>354.3</v>
      </c>
      <c r="H595">
        <v>593.5</v>
      </c>
      <c r="I595">
        <v>45.55</v>
      </c>
      <c r="J595">
        <v>4.9518000000000004</v>
      </c>
    </row>
    <row r="596" spans="2:10" x14ac:dyDescent="0.3">
      <c r="B596" s="10">
        <f t="shared" si="18"/>
        <v>2024</v>
      </c>
      <c r="C596" s="10">
        <f t="shared" si="19"/>
        <v>1</v>
      </c>
      <c r="D596" s="20">
        <v>45317</v>
      </c>
      <c r="E596">
        <v>446.25</v>
      </c>
      <c r="F596">
        <v>1209.25</v>
      </c>
      <c r="G596">
        <v>349</v>
      </c>
      <c r="H596">
        <v>600.25</v>
      </c>
      <c r="I596">
        <v>46.93</v>
      </c>
      <c r="J596">
        <v>4.9168000000000003</v>
      </c>
    </row>
    <row r="597" spans="2:10" x14ac:dyDescent="0.3">
      <c r="B597" s="10">
        <f t="shared" si="18"/>
        <v>2024</v>
      </c>
      <c r="C597" s="10">
        <f t="shared" si="19"/>
        <v>1</v>
      </c>
      <c r="D597" s="20">
        <v>45316</v>
      </c>
      <c r="E597">
        <v>451.75</v>
      </c>
      <c r="F597">
        <v>1223</v>
      </c>
      <c r="G597">
        <v>358.2</v>
      </c>
      <c r="H597">
        <v>612.25</v>
      </c>
      <c r="I597">
        <v>46.53</v>
      </c>
      <c r="J597">
        <v>4.9165000000000001</v>
      </c>
    </row>
    <row r="598" spans="2:10" x14ac:dyDescent="0.3">
      <c r="B598" s="10">
        <f t="shared" si="18"/>
        <v>2024</v>
      </c>
      <c r="C598" s="10">
        <f t="shared" si="19"/>
        <v>1</v>
      </c>
      <c r="D598" s="20">
        <v>45315</v>
      </c>
      <c r="E598">
        <v>452.25</v>
      </c>
      <c r="F598">
        <v>1240.25</v>
      </c>
      <c r="G598">
        <v>363.3</v>
      </c>
      <c r="H598">
        <v>610.75</v>
      </c>
      <c r="I598">
        <v>47.32</v>
      </c>
      <c r="J598">
        <v>4.9335000000000004</v>
      </c>
    </row>
    <row r="599" spans="2:10" x14ac:dyDescent="0.3">
      <c r="B599" s="10">
        <f t="shared" si="18"/>
        <v>2024</v>
      </c>
      <c r="C599" s="10">
        <f t="shared" si="19"/>
        <v>1</v>
      </c>
      <c r="D599" s="20">
        <v>45314</v>
      </c>
      <c r="E599">
        <v>446.5</v>
      </c>
      <c r="F599">
        <v>1239.5</v>
      </c>
      <c r="G599">
        <v>361.1</v>
      </c>
      <c r="H599">
        <v>596.5</v>
      </c>
      <c r="I599">
        <v>48.21</v>
      </c>
      <c r="J599">
        <v>4.9535</v>
      </c>
    </row>
    <row r="600" spans="2:10" x14ac:dyDescent="0.3">
      <c r="B600" s="10">
        <f t="shared" si="18"/>
        <v>2024</v>
      </c>
      <c r="C600" s="10">
        <f t="shared" si="19"/>
        <v>1</v>
      </c>
      <c r="D600" s="20">
        <v>45313</v>
      </c>
      <c r="E600">
        <v>445.75</v>
      </c>
      <c r="F600">
        <v>1224.25</v>
      </c>
      <c r="G600">
        <v>355.8</v>
      </c>
      <c r="H600">
        <v>596.5</v>
      </c>
      <c r="I600">
        <v>48.16</v>
      </c>
      <c r="J600">
        <v>4.9892000000000003</v>
      </c>
    </row>
    <row r="601" spans="2:10" x14ac:dyDescent="0.3">
      <c r="B601" s="10">
        <f t="shared" si="18"/>
        <v>2024</v>
      </c>
      <c r="C601" s="10">
        <f t="shared" si="19"/>
        <v>1</v>
      </c>
      <c r="D601" s="20">
        <v>45310</v>
      </c>
      <c r="E601">
        <v>445.5</v>
      </c>
      <c r="F601">
        <v>1213.25</v>
      </c>
      <c r="G601">
        <v>356.5</v>
      </c>
      <c r="H601">
        <v>593.25</v>
      </c>
      <c r="I601">
        <v>46.9</v>
      </c>
      <c r="J601">
        <v>4.931</v>
      </c>
    </row>
    <row r="602" spans="2:10" x14ac:dyDescent="0.3">
      <c r="B602" s="10">
        <f t="shared" si="18"/>
        <v>2024</v>
      </c>
      <c r="C602" s="10">
        <f t="shared" si="19"/>
        <v>1</v>
      </c>
      <c r="D602" s="20">
        <v>45309</v>
      </c>
      <c r="E602">
        <v>444</v>
      </c>
      <c r="F602">
        <v>1213.5</v>
      </c>
      <c r="G602">
        <v>361.3</v>
      </c>
      <c r="H602">
        <v>585.5</v>
      </c>
      <c r="I602">
        <v>47.62</v>
      </c>
      <c r="J602">
        <v>4.9268999999999998</v>
      </c>
    </row>
    <row r="603" spans="2:10" x14ac:dyDescent="0.3">
      <c r="B603" s="10">
        <f t="shared" si="18"/>
        <v>2024</v>
      </c>
      <c r="C603" s="10">
        <f t="shared" si="19"/>
        <v>1</v>
      </c>
      <c r="D603" s="20">
        <v>45308</v>
      </c>
      <c r="E603">
        <v>442.25</v>
      </c>
      <c r="F603">
        <v>1205.75</v>
      </c>
      <c r="G603">
        <v>358.7</v>
      </c>
      <c r="H603">
        <v>582.5</v>
      </c>
      <c r="I603">
        <v>47.7</v>
      </c>
      <c r="J603">
        <v>4.9348999999999998</v>
      </c>
    </row>
    <row r="604" spans="2:10" x14ac:dyDescent="0.3">
      <c r="B604" s="10">
        <f t="shared" si="18"/>
        <v>2024</v>
      </c>
      <c r="C604" s="10">
        <f t="shared" si="19"/>
        <v>1</v>
      </c>
      <c r="D604" s="20">
        <v>45307</v>
      </c>
      <c r="E604">
        <v>443.5</v>
      </c>
      <c r="F604">
        <v>1227.25</v>
      </c>
      <c r="G604">
        <v>371.1</v>
      </c>
      <c r="H604">
        <v>582</v>
      </c>
      <c r="I604">
        <v>47.25</v>
      </c>
      <c r="J604">
        <v>4.9257999999999997</v>
      </c>
    </row>
    <row r="605" spans="2:10" x14ac:dyDescent="0.3">
      <c r="B605" s="10">
        <f t="shared" si="18"/>
        <v>2024</v>
      </c>
      <c r="C605" s="10">
        <f t="shared" si="19"/>
        <v>1</v>
      </c>
      <c r="D605" s="20">
        <v>45306</v>
      </c>
      <c r="J605">
        <v>4.8628</v>
      </c>
    </row>
    <row r="606" spans="2:10" x14ac:dyDescent="0.3">
      <c r="B606" s="10">
        <f t="shared" si="18"/>
        <v>2024</v>
      </c>
      <c r="C606" s="10">
        <f t="shared" si="19"/>
        <v>1</v>
      </c>
      <c r="D606" s="20">
        <v>45303</v>
      </c>
      <c r="E606">
        <v>447</v>
      </c>
      <c r="F606">
        <v>1205.75</v>
      </c>
      <c r="G606">
        <v>351.3</v>
      </c>
      <c r="H606">
        <v>596</v>
      </c>
      <c r="I606">
        <v>47.75</v>
      </c>
      <c r="J606">
        <v>4.8539000000000003</v>
      </c>
    </row>
    <row r="607" spans="2:10" x14ac:dyDescent="0.3">
      <c r="B607" s="10">
        <f t="shared" si="18"/>
        <v>2024</v>
      </c>
      <c r="C607" s="10">
        <f t="shared" si="19"/>
        <v>1</v>
      </c>
      <c r="D607" s="20">
        <v>45302</v>
      </c>
      <c r="E607">
        <v>457.75</v>
      </c>
      <c r="F607">
        <v>1231.25</v>
      </c>
      <c r="G607">
        <v>361.4</v>
      </c>
      <c r="H607">
        <v>603.75</v>
      </c>
      <c r="I607">
        <v>48.37</v>
      </c>
      <c r="J607">
        <v>4.87</v>
      </c>
    </row>
    <row r="608" spans="2:10" x14ac:dyDescent="0.3">
      <c r="B608" s="10">
        <f t="shared" si="18"/>
        <v>2024</v>
      </c>
      <c r="C608" s="10">
        <f t="shared" si="19"/>
        <v>1</v>
      </c>
      <c r="D608" s="20">
        <v>45301</v>
      </c>
      <c r="E608">
        <v>459.5</v>
      </c>
      <c r="F608">
        <v>1228.75</v>
      </c>
      <c r="G608">
        <v>361.3</v>
      </c>
      <c r="H608">
        <v>610.75</v>
      </c>
      <c r="I608">
        <v>47.86</v>
      </c>
      <c r="J608">
        <v>4.8909000000000002</v>
      </c>
    </row>
    <row r="609" spans="2:10" x14ac:dyDescent="0.3">
      <c r="B609" s="10">
        <f t="shared" si="18"/>
        <v>2024</v>
      </c>
      <c r="C609" s="10">
        <f t="shared" si="19"/>
        <v>1</v>
      </c>
      <c r="D609" s="20">
        <v>45300</v>
      </c>
      <c r="E609">
        <v>459.25</v>
      </c>
      <c r="F609">
        <v>1241.5</v>
      </c>
      <c r="G609">
        <v>366</v>
      </c>
      <c r="H609">
        <v>610</v>
      </c>
      <c r="I609">
        <v>48.12</v>
      </c>
      <c r="J609">
        <v>4.9038000000000004</v>
      </c>
    </row>
    <row r="610" spans="2:10" x14ac:dyDescent="0.3">
      <c r="B610" s="10">
        <f t="shared" si="18"/>
        <v>2024</v>
      </c>
      <c r="C610" s="10">
        <f t="shared" si="19"/>
        <v>1</v>
      </c>
      <c r="D610" s="20">
        <v>45299</v>
      </c>
      <c r="E610">
        <v>455</v>
      </c>
      <c r="F610">
        <v>1239.5</v>
      </c>
      <c r="G610">
        <v>368.1</v>
      </c>
      <c r="H610">
        <v>596.25</v>
      </c>
      <c r="I610">
        <v>47.44</v>
      </c>
      <c r="J610">
        <v>4.87</v>
      </c>
    </row>
    <row r="611" spans="2:10" x14ac:dyDescent="0.3">
      <c r="B611" s="10">
        <f t="shared" si="18"/>
        <v>2024</v>
      </c>
      <c r="C611" s="10">
        <f t="shared" si="19"/>
        <v>1</v>
      </c>
      <c r="D611" s="20">
        <v>45296</v>
      </c>
      <c r="E611">
        <v>460.75</v>
      </c>
      <c r="F611">
        <v>1249.75</v>
      </c>
      <c r="G611">
        <v>368.6</v>
      </c>
      <c r="H611">
        <v>616</v>
      </c>
      <c r="I611">
        <v>47.17</v>
      </c>
      <c r="J611">
        <v>4.8742999999999999</v>
      </c>
    </row>
    <row r="612" spans="2:10" x14ac:dyDescent="0.3">
      <c r="B612" s="10">
        <f t="shared" si="18"/>
        <v>2024</v>
      </c>
      <c r="C612" s="10">
        <f t="shared" si="19"/>
        <v>1</v>
      </c>
      <c r="D612" s="20">
        <v>45295</v>
      </c>
      <c r="E612">
        <v>466.5</v>
      </c>
      <c r="F612">
        <v>1262</v>
      </c>
      <c r="G612">
        <v>381.2</v>
      </c>
      <c r="H612">
        <v>613.5</v>
      </c>
      <c r="I612">
        <v>47.88</v>
      </c>
      <c r="J612">
        <v>4.8967999999999998</v>
      </c>
    </row>
    <row r="613" spans="2:10" x14ac:dyDescent="0.3">
      <c r="B613" s="10">
        <f t="shared" si="18"/>
        <v>2024</v>
      </c>
      <c r="C613" s="10">
        <f t="shared" si="19"/>
        <v>1</v>
      </c>
      <c r="D613" s="20">
        <v>45294</v>
      </c>
      <c r="E613">
        <v>465.25</v>
      </c>
      <c r="F613">
        <v>1269.5</v>
      </c>
      <c r="G613">
        <v>381</v>
      </c>
      <c r="H613">
        <v>600.25</v>
      </c>
      <c r="I613">
        <v>48.1</v>
      </c>
      <c r="J613">
        <v>4.9198000000000004</v>
      </c>
    </row>
    <row r="614" spans="2:10" x14ac:dyDescent="0.3">
      <c r="B614" s="10">
        <f t="shared" si="18"/>
        <v>2024</v>
      </c>
      <c r="C614" s="10">
        <f t="shared" si="19"/>
        <v>1</v>
      </c>
      <c r="D614" s="20">
        <v>45293</v>
      </c>
      <c r="E614">
        <v>463.75</v>
      </c>
      <c r="F614">
        <v>1274</v>
      </c>
      <c r="G614">
        <v>378.9</v>
      </c>
      <c r="H614">
        <v>606.75</v>
      </c>
      <c r="I614">
        <v>47.79</v>
      </c>
      <c r="J614">
        <v>4.9234999999999998</v>
      </c>
    </row>
    <row r="615" spans="2:10" x14ac:dyDescent="0.3">
      <c r="B615" s="10">
        <f t="shared" si="18"/>
        <v>2024</v>
      </c>
      <c r="C615" s="10">
        <f t="shared" si="19"/>
        <v>1</v>
      </c>
      <c r="D615" s="20">
        <v>45292</v>
      </c>
      <c r="J615">
        <v>4.8525999999999998</v>
      </c>
    </row>
    <row r="616" spans="2:10" x14ac:dyDescent="0.3">
      <c r="B616" s="10">
        <f t="shared" si="18"/>
        <v>2023</v>
      </c>
      <c r="C616" s="10">
        <f t="shared" si="19"/>
        <v>12</v>
      </c>
      <c r="D616" s="20">
        <v>45289</v>
      </c>
      <c r="E616">
        <v>471.25</v>
      </c>
      <c r="F616">
        <v>1293.5</v>
      </c>
      <c r="G616">
        <v>386</v>
      </c>
      <c r="H616">
        <v>628</v>
      </c>
      <c r="I616">
        <v>47.84</v>
      </c>
      <c r="J616">
        <v>4.8521000000000001</v>
      </c>
    </row>
    <row r="617" spans="2:10" x14ac:dyDescent="0.3">
      <c r="B617" s="10">
        <f t="shared" si="18"/>
        <v>2023</v>
      </c>
      <c r="C617" s="10">
        <f t="shared" si="19"/>
        <v>12</v>
      </c>
      <c r="D617" s="20">
        <v>45288</v>
      </c>
      <c r="E617">
        <v>474.25</v>
      </c>
      <c r="F617">
        <v>1305.25</v>
      </c>
      <c r="G617">
        <v>393</v>
      </c>
      <c r="H617">
        <v>631.5</v>
      </c>
      <c r="I617">
        <v>47.49</v>
      </c>
      <c r="J617">
        <v>4.8521000000000001</v>
      </c>
    </row>
    <row r="618" spans="2:10" x14ac:dyDescent="0.3">
      <c r="B618" s="10">
        <f t="shared" si="18"/>
        <v>2023</v>
      </c>
      <c r="C618" s="10">
        <f t="shared" si="19"/>
        <v>12</v>
      </c>
      <c r="D618" s="20">
        <v>45287</v>
      </c>
      <c r="E618">
        <v>476.5</v>
      </c>
      <c r="F618">
        <v>1316.75</v>
      </c>
      <c r="G618">
        <v>398.9</v>
      </c>
      <c r="H618">
        <v>623</v>
      </c>
      <c r="I618">
        <v>48.24</v>
      </c>
      <c r="J618">
        <v>4.8266999999999998</v>
      </c>
    </row>
    <row r="619" spans="2:10" x14ac:dyDescent="0.3">
      <c r="B619" s="10">
        <f t="shared" si="18"/>
        <v>2023</v>
      </c>
      <c r="C619" s="10">
        <f t="shared" si="19"/>
        <v>12</v>
      </c>
      <c r="D619" s="20">
        <v>45286</v>
      </c>
      <c r="E619">
        <v>480.25</v>
      </c>
      <c r="F619">
        <v>1313.25</v>
      </c>
      <c r="G619">
        <v>403.2</v>
      </c>
      <c r="H619">
        <v>636.25</v>
      </c>
      <c r="I619">
        <v>47.91</v>
      </c>
      <c r="J619">
        <v>4.8140000000000001</v>
      </c>
    </row>
    <row r="620" spans="2:10" x14ac:dyDescent="0.3">
      <c r="B620" s="10">
        <f t="shared" si="18"/>
        <v>2023</v>
      </c>
      <c r="C620" s="10">
        <f t="shared" si="19"/>
        <v>12</v>
      </c>
      <c r="D620" s="20">
        <v>45285</v>
      </c>
      <c r="J620">
        <v>4.8585000000000003</v>
      </c>
    </row>
    <row r="621" spans="2:10" x14ac:dyDescent="0.3">
      <c r="B621" s="10">
        <f t="shared" si="18"/>
        <v>2023</v>
      </c>
      <c r="C621" s="10">
        <f t="shared" si="19"/>
        <v>12</v>
      </c>
      <c r="D621" s="20">
        <v>45282</v>
      </c>
      <c r="E621">
        <v>473</v>
      </c>
      <c r="F621">
        <v>1299.75</v>
      </c>
      <c r="G621">
        <v>399.6</v>
      </c>
      <c r="H621">
        <v>616.25</v>
      </c>
      <c r="I621">
        <v>48.53</v>
      </c>
      <c r="J621">
        <v>4.8585000000000003</v>
      </c>
    </row>
    <row r="622" spans="2:10" x14ac:dyDescent="0.3">
      <c r="B622" s="10">
        <f t="shared" si="18"/>
        <v>2023</v>
      </c>
      <c r="C622" s="10">
        <f t="shared" si="19"/>
        <v>12</v>
      </c>
      <c r="D622" s="20">
        <v>45281</v>
      </c>
      <c r="E622">
        <v>472.5</v>
      </c>
      <c r="F622">
        <v>1297.25</v>
      </c>
      <c r="G622">
        <v>395.4</v>
      </c>
      <c r="H622">
        <v>612.5</v>
      </c>
      <c r="I622">
        <v>49.04</v>
      </c>
      <c r="J622">
        <v>4.8844000000000003</v>
      </c>
    </row>
    <row r="623" spans="2:10" x14ac:dyDescent="0.3">
      <c r="B623" s="10">
        <f t="shared" si="18"/>
        <v>2023</v>
      </c>
      <c r="C623" s="10">
        <f t="shared" si="19"/>
        <v>12</v>
      </c>
      <c r="D623" s="20">
        <v>45280</v>
      </c>
      <c r="E623">
        <v>469.75</v>
      </c>
      <c r="F623">
        <v>1308.25</v>
      </c>
      <c r="G623">
        <v>399.9</v>
      </c>
      <c r="H623">
        <v>610</v>
      </c>
      <c r="I623">
        <v>50.56</v>
      </c>
      <c r="J623">
        <v>4.9162999999999997</v>
      </c>
    </row>
    <row r="624" spans="2:10" x14ac:dyDescent="0.3">
      <c r="B624" s="10">
        <f t="shared" si="18"/>
        <v>2023</v>
      </c>
      <c r="C624" s="10">
        <f t="shared" si="19"/>
        <v>12</v>
      </c>
      <c r="D624" s="20">
        <v>45279</v>
      </c>
      <c r="E624">
        <v>472.75</v>
      </c>
      <c r="F624">
        <v>1312.5</v>
      </c>
      <c r="G624">
        <v>403.2</v>
      </c>
      <c r="H624">
        <v>622.75</v>
      </c>
      <c r="I624">
        <v>50.73</v>
      </c>
      <c r="J624">
        <v>4.8674999999999997</v>
      </c>
    </row>
    <row r="625" spans="2:10" x14ac:dyDescent="0.3">
      <c r="B625" s="10">
        <f t="shared" si="18"/>
        <v>2023</v>
      </c>
      <c r="C625" s="10">
        <f t="shared" si="19"/>
        <v>12</v>
      </c>
      <c r="D625" s="20">
        <v>45278</v>
      </c>
      <c r="E625">
        <v>477</v>
      </c>
      <c r="F625">
        <v>1327</v>
      </c>
      <c r="G625">
        <v>412.8</v>
      </c>
      <c r="H625">
        <v>617</v>
      </c>
      <c r="I625">
        <v>50.64</v>
      </c>
      <c r="J625">
        <v>4.8967000000000001</v>
      </c>
    </row>
    <row r="626" spans="2:10" x14ac:dyDescent="0.3">
      <c r="B626" s="10">
        <f t="shared" si="18"/>
        <v>2023</v>
      </c>
      <c r="C626" s="10">
        <f t="shared" si="19"/>
        <v>12</v>
      </c>
      <c r="D626" s="20">
        <v>45275</v>
      </c>
      <c r="E626">
        <v>483</v>
      </c>
      <c r="F626">
        <v>1315.75</v>
      </c>
      <c r="G626">
        <v>405.6</v>
      </c>
      <c r="H626">
        <v>629.25</v>
      </c>
      <c r="I626">
        <v>49.99</v>
      </c>
      <c r="J626">
        <v>4.9371</v>
      </c>
    </row>
    <row r="627" spans="2:10" x14ac:dyDescent="0.3">
      <c r="B627" s="10">
        <f t="shared" si="18"/>
        <v>2023</v>
      </c>
      <c r="C627" s="10">
        <f t="shared" si="19"/>
        <v>12</v>
      </c>
      <c r="D627" s="20">
        <v>45274</v>
      </c>
      <c r="E627">
        <v>456.75</v>
      </c>
      <c r="F627">
        <v>1314</v>
      </c>
      <c r="G627">
        <v>421.1</v>
      </c>
      <c r="H627">
        <v>594</v>
      </c>
      <c r="I627">
        <v>49.28</v>
      </c>
      <c r="J627">
        <v>4.9154999999999998</v>
      </c>
    </row>
    <row r="628" spans="2:10" x14ac:dyDescent="0.3">
      <c r="B628" s="10">
        <f t="shared" si="18"/>
        <v>2023</v>
      </c>
      <c r="C628" s="10">
        <f t="shared" si="19"/>
        <v>12</v>
      </c>
      <c r="D628" s="20">
        <v>45273</v>
      </c>
      <c r="E628">
        <v>456.75</v>
      </c>
      <c r="F628">
        <v>1307.5</v>
      </c>
      <c r="G628">
        <v>421.1</v>
      </c>
      <c r="H628">
        <v>585.25</v>
      </c>
      <c r="I628">
        <v>49.82</v>
      </c>
      <c r="J628">
        <v>4.9196999999999997</v>
      </c>
    </row>
    <row r="629" spans="2:10" x14ac:dyDescent="0.3">
      <c r="B629" s="10">
        <f t="shared" si="18"/>
        <v>2023</v>
      </c>
      <c r="C629" s="10">
        <f t="shared" si="19"/>
        <v>12</v>
      </c>
      <c r="D629" s="20">
        <v>45272</v>
      </c>
      <c r="E629">
        <v>462.5</v>
      </c>
      <c r="F629">
        <v>1323.75</v>
      </c>
      <c r="G629">
        <v>429.2</v>
      </c>
      <c r="H629">
        <v>607</v>
      </c>
      <c r="I629">
        <v>50.39</v>
      </c>
      <c r="J629">
        <v>4.9630999999999998</v>
      </c>
    </row>
    <row r="630" spans="2:10" x14ac:dyDescent="0.3">
      <c r="B630" s="10">
        <f t="shared" si="18"/>
        <v>2023</v>
      </c>
      <c r="C630" s="10">
        <f t="shared" si="19"/>
        <v>12</v>
      </c>
      <c r="D630" s="20">
        <v>45271</v>
      </c>
      <c r="E630">
        <v>460.5</v>
      </c>
      <c r="F630">
        <v>1336</v>
      </c>
      <c r="G630">
        <v>430.7</v>
      </c>
      <c r="H630">
        <v>591.25</v>
      </c>
      <c r="I630">
        <v>51.06</v>
      </c>
      <c r="J630">
        <v>4.9386000000000001</v>
      </c>
    </row>
    <row r="631" spans="2:10" x14ac:dyDescent="0.3">
      <c r="B631" s="10">
        <f t="shared" si="18"/>
        <v>2023</v>
      </c>
      <c r="C631" s="10">
        <f t="shared" si="19"/>
        <v>12</v>
      </c>
      <c r="D631" s="20">
        <v>45268</v>
      </c>
      <c r="E631">
        <v>465.75</v>
      </c>
      <c r="F631">
        <v>1304</v>
      </c>
      <c r="G631">
        <v>424.2</v>
      </c>
      <c r="H631">
        <v>615</v>
      </c>
      <c r="I631">
        <v>50.15</v>
      </c>
      <c r="J631">
        <v>4.9317000000000002</v>
      </c>
    </row>
    <row r="632" spans="2:10" x14ac:dyDescent="0.3">
      <c r="B632" s="10">
        <f t="shared" si="18"/>
        <v>2023</v>
      </c>
      <c r="C632" s="10">
        <f t="shared" si="19"/>
        <v>12</v>
      </c>
      <c r="D632" s="20">
        <v>45267</v>
      </c>
      <c r="E632">
        <v>468.25</v>
      </c>
      <c r="F632">
        <v>1311.75</v>
      </c>
      <c r="G632">
        <v>424.5</v>
      </c>
      <c r="H632">
        <v>626</v>
      </c>
      <c r="I632">
        <v>51.11</v>
      </c>
      <c r="J632">
        <v>4.9115000000000002</v>
      </c>
    </row>
    <row r="633" spans="2:10" x14ac:dyDescent="0.3">
      <c r="B633" s="10">
        <f t="shared" si="18"/>
        <v>2023</v>
      </c>
      <c r="C633" s="10">
        <f t="shared" si="19"/>
        <v>12</v>
      </c>
      <c r="D633" s="20">
        <v>45266</v>
      </c>
      <c r="E633">
        <v>464.75</v>
      </c>
      <c r="F633">
        <v>1295.5</v>
      </c>
      <c r="G633">
        <v>424.4</v>
      </c>
      <c r="H633">
        <v>615.75</v>
      </c>
      <c r="I633">
        <v>49.29</v>
      </c>
      <c r="J633">
        <v>4.9021999999999997</v>
      </c>
    </row>
    <row r="634" spans="2:10" x14ac:dyDescent="0.3">
      <c r="B634" s="10">
        <f t="shared" si="18"/>
        <v>2023</v>
      </c>
      <c r="C634" s="10">
        <f t="shared" si="19"/>
        <v>12</v>
      </c>
      <c r="D634" s="20">
        <v>45265</v>
      </c>
      <c r="E634">
        <v>468.5</v>
      </c>
      <c r="F634">
        <v>1305.5</v>
      </c>
      <c r="G634">
        <v>433.7</v>
      </c>
      <c r="H634">
        <v>620.75</v>
      </c>
      <c r="I634">
        <v>50.22</v>
      </c>
      <c r="J634">
        <v>4.9306000000000001</v>
      </c>
    </row>
    <row r="635" spans="2:10" x14ac:dyDescent="0.3">
      <c r="B635" s="10">
        <f t="shared" si="18"/>
        <v>2023</v>
      </c>
      <c r="C635" s="10">
        <f t="shared" si="19"/>
        <v>12</v>
      </c>
      <c r="D635" s="20">
        <v>45264</v>
      </c>
      <c r="E635">
        <v>460.25</v>
      </c>
      <c r="F635">
        <v>1306.25</v>
      </c>
      <c r="G635">
        <v>422.3</v>
      </c>
      <c r="H635">
        <v>595.75</v>
      </c>
      <c r="I635">
        <v>51.19</v>
      </c>
      <c r="J635">
        <v>4.9432</v>
      </c>
    </row>
    <row r="636" spans="2:10" x14ac:dyDescent="0.3">
      <c r="B636" s="10">
        <f t="shared" si="18"/>
        <v>2023</v>
      </c>
      <c r="C636" s="10">
        <f t="shared" si="19"/>
        <v>12</v>
      </c>
      <c r="D636" s="20">
        <v>45261</v>
      </c>
      <c r="E636">
        <v>464.5</v>
      </c>
      <c r="F636">
        <v>1325</v>
      </c>
      <c r="G636">
        <v>425.3</v>
      </c>
      <c r="H636">
        <v>577</v>
      </c>
      <c r="I636">
        <v>51.38</v>
      </c>
      <c r="J636">
        <v>4.8800999999999997</v>
      </c>
    </row>
    <row r="637" spans="2:10" x14ac:dyDescent="0.3">
      <c r="B637" s="10">
        <f t="shared" si="18"/>
        <v>2023</v>
      </c>
      <c r="C637" s="10">
        <f t="shared" si="19"/>
        <v>11</v>
      </c>
      <c r="D637" s="20">
        <v>45260</v>
      </c>
      <c r="E637">
        <v>461.75</v>
      </c>
      <c r="F637">
        <v>1342.75</v>
      </c>
      <c r="G637">
        <v>442.2</v>
      </c>
      <c r="H637">
        <v>570.25</v>
      </c>
      <c r="I637">
        <v>52.29</v>
      </c>
      <c r="J637">
        <v>4.9204999999999997</v>
      </c>
    </row>
    <row r="638" spans="2:10" x14ac:dyDescent="0.3">
      <c r="B638" s="10">
        <f t="shared" si="18"/>
        <v>2023</v>
      </c>
      <c r="C638" s="10">
        <f t="shared" si="19"/>
        <v>11</v>
      </c>
      <c r="D638" s="20">
        <v>45259</v>
      </c>
      <c r="E638">
        <v>449.75</v>
      </c>
      <c r="F638">
        <v>1347</v>
      </c>
      <c r="G638">
        <v>444.3</v>
      </c>
      <c r="H638">
        <v>556</v>
      </c>
      <c r="I638">
        <v>52.68</v>
      </c>
      <c r="J638">
        <v>4.9028999999999998</v>
      </c>
    </row>
    <row r="639" spans="2:10" x14ac:dyDescent="0.3">
      <c r="B639" s="10">
        <f t="shared" si="18"/>
        <v>2023</v>
      </c>
      <c r="C639" s="10">
        <f t="shared" si="19"/>
        <v>11</v>
      </c>
      <c r="D639" s="20">
        <v>45258</v>
      </c>
      <c r="E639">
        <v>451.5</v>
      </c>
      <c r="F639">
        <v>1346.5</v>
      </c>
      <c r="G639">
        <v>450.3</v>
      </c>
      <c r="H639">
        <v>543.75</v>
      </c>
      <c r="I639">
        <v>53.34</v>
      </c>
      <c r="J639">
        <v>4.8704999999999998</v>
      </c>
    </row>
    <row r="640" spans="2:10" x14ac:dyDescent="0.3">
      <c r="B640" s="10">
        <f t="shared" si="18"/>
        <v>2023</v>
      </c>
      <c r="C640" s="10">
        <f t="shared" si="19"/>
        <v>11</v>
      </c>
      <c r="D640" s="20">
        <v>45257</v>
      </c>
      <c r="E640">
        <v>455.5</v>
      </c>
      <c r="F640">
        <v>1329.75</v>
      </c>
      <c r="G640">
        <v>458.7</v>
      </c>
      <c r="H640">
        <v>534.25</v>
      </c>
      <c r="I640">
        <v>51.91</v>
      </c>
      <c r="J640">
        <v>4.8963999999999999</v>
      </c>
    </row>
    <row r="641" spans="2:10" x14ac:dyDescent="0.3">
      <c r="B641" s="10">
        <f t="shared" si="18"/>
        <v>2023</v>
      </c>
      <c r="C641" s="10">
        <f t="shared" si="19"/>
        <v>11</v>
      </c>
      <c r="D641" s="20">
        <v>45254</v>
      </c>
      <c r="E641">
        <v>463.25</v>
      </c>
      <c r="F641">
        <v>1330.75</v>
      </c>
      <c r="G641">
        <v>457.4</v>
      </c>
      <c r="H641">
        <v>548.75</v>
      </c>
      <c r="I641">
        <v>51.53</v>
      </c>
      <c r="J641">
        <v>4.9020000000000001</v>
      </c>
    </row>
    <row r="642" spans="2:10" x14ac:dyDescent="0.3">
      <c r="B642" s="10">
        <f t="shared" si="18"/>
        <v>2023</v>
      </c>
      <c r="C642" s="10">
        <f t="shared" si="19"/>
        <v>11</v>
      </c>
      <c r="D642" s="20">
        <v>45253</v>
      </c>
      <c r="J642">
        <v>4.9039000000000001</v>
      </c>
    </row>
    <row r="643" spans="2:10" x14ac:dyDescent="0.3">
      <c r="B643" s="10">
        <f t="shared" si="18"/>
        <v>2023</v>
      </c>
      <c r="C643" s="10">
        <f t="shared" si="19"/>
        <v>11</v>
      </c>
      <c r="D643" s="20">
        <v>45252</v>
      </c>
      <c r="E643">
        <v>468.75</v>
      </c>
      <c r="F643">
        <v>1356.5</v>
      </c>
      <c r="G643">
        <v>458.1</v>
      </c>
      <c r="H643">
        <v>555.75</v>
      </c>
      <c r="I643">
        <v>53.6</v>
      </c>
      <c r="J643">
        <v>4.9067999999999996</v>
      </c>
    </row>
    <row r="644" spans="2:10" x14ac:dyDescent="0.3">
      <c r="B644" s="10">
        <f t="shared" si="18"/>
        <v>2023</v>
      </c>
      <c r="C644" s="10">
        <f t="shared" si="19"/>
        <v>11</v>
      </c>
      <c r="D644" s="20">
        <v>45251</v>
      </c>
      <c r="E644">
        <v>470</v>
      </c>
      <c r="F644">
        <v>1377.25</v>
      </c>
      <c r="G644">
        <v>459.2</v>
      </c>
      <c r="H644">
        <v>555</v>
      </c>
      <c r="I644">
        <v>54.19</v>
      </c>
      <c r="J644">
        <v>4.9005999999999998</v>
      </c>
    </row>
    <row r="645" spans="2:10" x14ac:dyDescent="0.3">
      <c r="B645" s="10">
        <f t="shared" si="18"/>
        <v>2023</v>
      </c>
      <c r="C645" s="10">
        <f t="shared" si="19"/>
        <v>11</v>
      </c>
      <c r="D645" s="20">
        <v>45250</v>
      </c>
      <c r="E645">
        <v>469.5</v>
      </c>
      <c r="F645">
        <v>1367.25</v>
      </c>
      <c r="G645">
        <v>460.2</v>
      </c>
      <c r="H645">
        <v>543.5</v>
      </c>
      <c r="I645">
        <v>53.11</v>
      </c>
      <c r="J645">
        <v>4.8543000000000003</v>
      </c>
    </row>
    <row r="646" spans="2:10" x14ac:dyDescent="0.3">
      <c r="B646" s="10">
        <f t="shared" ref="B646:B709" si="20">YEAR(D646)</f>
        <v>2023</v>
      </c>
      <c r="C646" s="10">
        <f t="shared" ref="C646:C709" si="21">MONTH(D646)</f>
        <v>11</v>
      </c>
      <c r="D646" s="20">
        <v>45247</v>
      </c>
      <c r="E646">
        <v>467</v>
      </c>
      <c r="F646">
        <v>1340.25</v>
      </c>
      <c r="G646">
        <v>453.3</v>
      </c>
      <c r="H646">
        <v>550.75</v>
      </c>
      <c r="I646">
        <v>52.01</v>
      </c>
      <c r="J646">
        <v>4.9058999999999999</v>
      </c>
    </row>
    <row r="647" spans="2:10" x14ac:dyDescent="0.3">
      <c r="B647" s="10">
        <f t="shared" si="20"/>
        <v>2023</v>
      </c>
      <c r="C647" s="10">
        <f t="shared" si="21"/>
        <v>11</v>
      </c>
      <c r="D647" s="20">
        <v>45246</v>
      </c>
      <c r="E647">
        <v>474.75</v>
      </c>
      <c r="F647">
        <v>1360.25</v>
      </c>
      <c r="G647">
        <v>466.8</v>
      </c>
      <c r="H647">
        <v>553.5</v>
      </c>
      <c r="I647">
        <v>51.63</v>
      </c>
      <c r="J647">
        <v>4.8632</v>
      </c>
    </row>
    <row r="648" spans="2:10" x14ac:dyDescent="0.3">
      <c r="B648" s="10">
        <f t="shared" si="20"/>
        <v>2023</v>
      </c>
      <c r="C648" s="10">
        <f t="shared" si="21"/>
        <v>11</v>
      </c>
      <c r="D648" s="20">
        <v>45245</v>
      </c>
      <c r="E648">
        <v>470.75</v>
      </c>
      <c r="F648">
        <v>1385</v>
      </c>
      <c r="G648">
        <v>469.2</v>
      </c>
      <c r="H648">
        <v>560.5</v>
      </c>
      <c r="I648">
        <v>53.05</v>
      </c>
      <c r="J648">
        <v>4.8620000000000001</v>
      </c>
    </row>
    <row r="649" spans="2:10" x14ac:dyDescent="0.3">
      <c r="B649" s="10">
        <f t="shared" si="20"/>
        <v>2023</v>
      </c>
      <c r="C649" s="10">
        <f t="shared" si="21"/>
        <v>11</v>
      </c>
      <c r="D649" s="20">
        <v>45244</v>
      </c>
      <c r="E649">
        <v>478.25</v>
      </c>
      <c r="F649">
        <v>1368.75</v>
      </c>
      <c r="G649">
        <v>473.6</v>
      </c>
      <c r="H649">
        <v>572</v>
      </c>
      <c r="I649">
        <v>52.75</v>
      </c>
      <c r="J649">
        <v>4.8654000000000002</v>
      </c>
    </row>
    <row r="650" spans="2:10" x14ac:dyDescent="0.3">
      <c r="B650" s="10">
        <f t="shared" si="20"/>
        <v>2023</v>
      </c>
      <c r="C650" s="10">
        <f t="shared" si="21"/>
        <v>11</v>
      </c>
      <c r="D650" s="20">
        <v>45243</v>
      </c>
      <c r="E650">
        <v>477.25</v>
      </c>
      <c r="F650">
        <v>1368</v>
      </c>
      <c r="G650">
        <v>469.1</v>
      </c>
      <c r="H650">
        <v>579</v>
      </c>
      <c r="I650">
        <v>51.54</v>
      </c>
      <c r="J650">
        <v>4.9074999999999998</v>
      </c>
    </row>
    <row r="651" spans="2:10" x14ac:dyDescent="0.3">
      <c r="B651" s="10">
        <f t="shared" si="20"/>
        <v>2023</v>
      </c>
      <c r="C651" s="10">
        <f t="shared" si="21"/>
        <v>11</v>
      </c>
      <c r="D651" s="20">
        <v>45240</v>
      </c>
      <c r="E651">
        <v>464</v>
      </c>
      <c r="F651">
        <v>1333.5</v>
      </c>
      <c r="G651">
        <v>449.4</v>
      </c>
      <c r="H651">
        <v>575.25</v>
      </c>
      <c r="I651">
        <v>51.2</v>
      </c>
      <c r="J651">
        <v>4.9013</v>
      </c>
    </row>
    <row r="652" spans="2:10" x14ac:dyDescent="0.3">
      <c r="B652" s="10">
        <f t="shared" si="20"/>
        <v>2023</v>
      </c>
      <c r="C652" s="10">
        <f t="shared" si="21"/>
        <v>11</v>
      </c>
      <c r="D652" s="20">
        <v>45239</v>
      </c>
      <c r="E652">
        <v>468</v>
      </c>
      <c r="F652">
        <v>1327.75</v>
      </c>
      <c r="G652">
        <v>449.9</v>
      </c>
      <c r="H652">
        <v>580.75</v>
      </c>
      <c r="I652">
        <v>50.45</v>
      </c>
      <c r="J652">
        <v>4.9341999999999997</v>
      </c>
    </row>
    <row r="653" spans="2:10" x14ac:dyDescent="0.3">
      <c r="B653" s="10">
        <f t="shared" si="20"/>
        <v>2023</v>
      </c>
      <c r="C653" s="10">
        <f t="shared" si="21"/>
        <v>11</v>
      </c>
      <c r="D653" s="20">
        <v>45238</v>
      </c>
      <c r="E653">
        <v>476</v>
      </c>
      <c r="F653">
        <v>1349</v>
      </c>
      <c r="G653">
        <v>449.8</v>
      </c>
      <c r="H653">
        <v>592.25</v>
      </c>
      <c r="I653">
        <v>49.95</v>
      </c>
      <c r="J653">
        <v>4.9103000000000003</v>
      </c>
    </row>
    <row r="654" spans="2:10" x14ac:dyDescent="0.3">
      <c r="B654" s="10">
        <f t="shared" si="20"/>
        <v>2023</v>
      </c>
      <c r="C654" s="10">
        <f t="shared" si="21"/>
        <v>11</v>
      </c>
      <c r="D654" s="20">
        <v>45237</v>
      </c>
      <c r="E654">
        <v>468.5</v>
      </c>
      <c r="F654">
        <v>1348.75</v>
      </c>
      <c r="G654">
        <v>447.4</v>
      </c>
      <c r="H654">
        <v>570.25</v>
      </c>
      <c r="I654">
        <v>49.49</v>
      </c>
      <c r="J654">
        <v>4.8723999999999998</v>
      </c>
    </row>
    <row r="655" spans="2:10" x14ac:dyDescent="0.3">
      <c r="B655" s="10">
        <f t="shared" si="20"/>
        <v>2023</v>
      </c>
      <c r="C655" s="10">
        <f t="shared" si="21"/>
        <v>11</v>
      </c>
      <c r="D655" s="20">
        <v>45236</v>
      </c>
      <c r="E655">
        <v>477.25</v>
      </c>
      <c r="F655">
        <v>1340.5</v>
      </c>
      <c r="G655">
        <v>437.5</v>
      </c>
      <c r="H655">
        <v>575.75</v>
      </c>
      <c r="I655">
        <v>50.8</v>
      </c>
      <c r="J655">
        <v>4.8853</v>
      </c>
    </row>
    <row r="656" spans="2:10" x14ac:dyDescent="0.3">
      <c r="B656" s="10">
        <f t="shared" si="20"/>
        <v>2023</v>
      </c>
      <c r="C656" s="10">
        <f t="shared" si="21"/>
        <v>11</v>
      </c>
      <c r="D656" s="20">
        <v>45233</v>
      </c>
      <c r="E656">
        <v>477.25</v>
      </c>
      <c r="F656">
        <v>1327.5</v>
      </c>
      <c r="G656">
        <v>442.1</v>
      </c>
      <c r="H656">
        <v>572.5</v>
      </c>
      <c r="I656">
        <v>49.36</v>
      </c>
      <c r="J656">
        <v>4.9012000000000002</v>
      </c>
    </row>
    <row r="657" spans="2:10" x14ac:dyDescent="0.3">
      <c r="B657" s="10">
        <f t="shared" si="20"/>
        <v>2023</v>
      </c>
      <c r="C657" s="10">
        <f t="shared" si="21"/>
        <v>11</v>
      </c>
      <c r="D657" s="20">
        <v>45232</v>
      </c>
      <c r="E657">
        <v>470</v>
      </c>
      <c r="F657">
        <v>1304</v>
      </c>
      <c r="G657">
        <v>426.3</v>
      </c>
      <c r="H657">
        <v>565.5</v>
      </c>
      <c r="I657">
        <v>50.32</v>
      </c>
      <c r="J657">
        <v>4.9534000000000002</v>
      </c>
    </row>
    <row r="658" spans="2:10" x14ac:dyDescent="0.3">
      <c r="B658" s="10">
        <f t="shared" si="20"/>
        <v>2023</v>
      </c>
      <c r="C658" s="10">
        <f t="shared" si="21"/>
        <v>11</v>
      </c>
      <c r="D658" s="20">
        <v>45231</v>
      </c>
      <c r="E658">
        <v>475</v>
      </c>
      <c r="F658">
        <v>1291.25</v>
      </c>
      <c r="G658">
        <v>430.4</v>
      </c>
      <c r="H658">
        <v>561.75</v>
      </c>
      <c r="I658">
        <v>49.9</v>
      </c>
      <c r="J658">
        <v>4.9534000000000002</v>
      </c>
    </row>
    <row r="659" spans="2:10" x14ac:dyDescent="0.3">
      <c r="B659" s="10">
        <f t="shared" si="20"/>
        <v>2023</v>
      </c>
      <c r="C659" s="10">
        <f t="shared" si="21"/>
        <v>10</v>
      </c>
      <c r="D659" s="20">
        <v>45230</v>
      </c>
      <c r="E659">
        <v>478.75</v>
      </c>
      <c r="F659">
        <v>1287</v>
      </c>
      <c r="G659">
        <v>431</v>
      </c>
      <c r="H659">
        <v>556.25</v>
      </c>
      <c r="I659">
        <v>51.42</v>
      </c>
      <c r="J659">
        <v>5.0350000000000001</v>
      </c>
    </row>
    <row r="660" spans="2:10" x14ac:dyDescent="0.3">
      <c r="B660" s="10">
        <f t="shared" si="20"/>
        <v>2023</v>
      </c>
      <c r="C660" s="10">
        <f t="shared" si="21"/>
        <v>10</v>
      </c>
      <c r="D660" s="20">
        <v>45229</v>
      </c>
      <c r="E660">
        <v>478.25</v>
      </c>
      <c r="F660">
        <v>1282.75</v>
      </c>
      <c r="G660">
        <v>426.5</v>
      </c>
      <c r="H660">
        <v>566</v>
      </c>
      <c r="I660">
        <v>52.39</v>
      </c>
      <c r="J660">
        <v>5.0472000000000001</v>
      </c>
    </row>
    <row r="661" spans="2:10" x14ac:dyDescent="0.3">
      <c r="B661" s="10">
        <f t="shared" si="20"/>
        <v>2023</v>
      </c>
      <c r="C661" s="10">
        <f t="shared" si="21"/>
        <v>10</v>
      </c>
      <c r="D661" s="20">
        <v>45226</v>
      </c>
      <c r="E661">
        <v>480.75</v>
      </c>
      <c r="F661">
        <v>1297.25</v>
      </c>
      <c r="G661">
        <v>442.4</v>
      </c>
      <c r="H661">
        <v>575.5</v>
      </c>
      <c r="I661">
        <v>52.27</v>
      </c>
      <c r="J661">
        <v>5.0152000000000001</v>
      </c>
    </row>
    <row r="662" spans="2:10" x14ac:dyDescent="0.3">
      <c r="B662" s="10">
        <f t="shared" si="20"/>
        <v>2023</v>
      </c>
      <c r="C662" s="10">
        <f t="shared" si="21"/>
        <v>10</v>
      </c>
      <c r="D662" s="20">
        <v>45225</v>
      </c>
      <c r="E662">
        <v>479.25</v>
      </c>
      <c r="F662">
        <v>1279.5</v>
      </c>
      <c r="G662">
        <v>429.5</v>
      </c>
      <c r="H662">
        <v>579.5</v>
      </c>
      <c r="I662">
        <v>51.74</v>
      </c>
      <c r="J662">
        <v>4.9861000000000004</v>
      </c>
    </row>
    <row r="663" spans="2:10" x14ac:dyDescent="0.3">
      <c r="B663" s="10">
        <f t="shared" si="20"/>
        <v>2023</v>
      </c>
      <c r="C663" s="10">
        <f t="shared" si="21"/>
        <v>10</v>
      </c>
      <c r="D663" s="20">
        <v>45224</v>
      </c>
      <c r="E663">
        <v>480</v>
      </c>
      <c r="F663">
        <v>1288.25</v>
      </c>
      <c r="G663">
        <v>429.2</v>
      </c>
      <c r="H663">
        <v>568.5</v>
      </c>
      <c r="I663">
        <v>52.6</v>
      </c>
      <c r="J663">
        <v>4.9946999999999999</v>
      </c>
    </row>
    <row r="664" spans="2:10" x14ac:dyDescent="0.3">
      <c r="B664" s="10">
        <f t="shared" si="20"/>
        <v>2023</v>
      </c>
      <c r="C664" s="10">
        <f t="shared" si="21"/>
        <v>10</v>
      </c>
      <c r="D664" s="20">
        <v>45223</v>
      </c>
      <c r="E664">
        <v>484</v>
      </c>
      <c r="F664">
        <v>1295.25</v>
      </c>
      <c r="G664">
        <v>434.2</v>
      </c>
      <c r="H664">
        <v>580.5</v>
      </c>
      <c r="I664">
        <v>51.32</v>
      </c>
      <c r="J664">
        <v>4.9908000000000001</v>
      </c>
    </row>
    <row r="665" spans="2:10" x14ac:dyDescent="0.3">
      <c r="B665" s="10">
        <f t="shared" si="20"/>
        <v>2023</v>
      </c>
      <c r="C665" s="10">
        <f t="shared" si="21"/>
        <v>10</v>
      </c>
      <c r="D665" s="20">
        <v>45222</v>
      </c>
      <c r="E665">
        <v>490.25</v>
      </c>
      <c r="F665">
        <v>1286.75</v>
      </c>
      <c r="G665">
        <v>420.5</v>
      </c>
      <c r="H665">
        <v>587.25</v>
      </c>
      <c r="I665">
        <v>51.94</v>
      </c>
      <c r="J665">
        <v>5.0111999999999997</v>
      </c>
    </row>
    <row r="666" spans="2:10" x14ac:dyDescent="0.3">
      <c r="B666" s="10">
        <f t="shared" si="20"/>
        <v>2023</v>
      </c>
      <c r="C666" s="10">
        <f t="shared" si="21"/>
        <v>10</v>
      </c>
      <c r="D666" s="20">
        <v>45219</v>
      </c>
      <c r="E666">
        <v>495.5</v>
      </c>
      <c r="F666">
        <v>1302.25</v>
      </c>
      <c r="G666">
        <v>423.9</v>
      </c>
      <c r="H666">
        <v>586</v>
      </c>
      <c r="I666">
        <v>53.39</v>
      </c>
      <c r="J666">
        <v>5.0312000000000001</v>
      </c>
    </row>
    <row r="667" spans="2:10" x14ac:dyDescent="0.3">
      <c r="B667" s="10">
        <f t="shared" si="20"/>
        <v>2023</v>
      </c>
      <c r="C667" s="10">
        <f t="shared" si="21"/>
        <v>10</v>
      </c>
      <c r="D667" s="20">
        <v>45218</v>
      </c>
      <c r="E667">
        <v>505</v>
      </c>
      <c r="F667">
        <v>1315.5</v>
      </c>
      <c r="G667">
        <v>423</v>
      </c>
      <c r="H667">
        <v>594</v>
      </c>
      <c r="I667">
        <v>53.11</v>
      </c>
      <c r="J667">
        <v>5.0646000000000004</v>
      </c>
    </row>
    <row r="668" spans="2:10" x14ac:dyDescent="0.3">
      <c r="B668" s="10">
        <f t="shared" si="20"/>
        <v>2023</v>
      </c>
      <c r="C668" s="10">
        <f t="shared" si="21"/>
        <v>10</v>
      </c>
      <c r="D668" s="20">
        <v>45217</v>
      </c>
      <c r="E668">
        <v>492</v>
      </c>
      <c r="F668">
        <v>1311</v>
      </c>
      <c r="G668">
        <v>413.8</v>
      </c>
      <c r="H668">
        <v>580.25</v>
      </c>
      <c r="I668">
        <v>54.86</v>
      </c>
      <c r="J668">
        <v>5.0590999999999999</v>
      </c>
    </row>
    <row r="669" spans="2:10" x14ac:dyDescent="0.3">
      <c r="B669" s="10">
        <f t="shared" si="20"/>
        <v>2023</v>
      </c>
      <c r="C669" s="10">
        <f t="shared" si="21"/>
        <v>10</v>
      </c>
      <c r="D669" s="20">
        <v>45216</v>
      </c>
      <c r="E669">
        <v>489</v>
      </c>
      <c r="F669">
        <v>1296.75</v>
      </c>
      <c r="G669">
        <v>399.8</v>
      </c>
      <c r="H669">
        <v>570.5</v>
      </c>
      <c r="I669">
        <v>55.35</v>
      </c>
      <c r="J669">
        <v>5.0414000000000003</v>
      </c>
    </row>
    <row r="670" spans="2:10" x14ac:dyDescent="0.3">
      <c r="B670" s="10">
        <f t="shared" si="20"/>
        <v>2023</v>
      </c>
      <c r="C670" s="10">
        <f t="shared" si="21"/>
        <v>10</v>
      </c>
      <c r="D670" s="20">
        <v>45215</v>
      </c>
      <c r="E670">
        <v>490</v>
      </c>
      <c r="F670">
        <v>1286.25</v>
      </c>
      <c r="G670">
        <v>390.2</v>
      </c>
      <c r="H670">
        <v>577.25</v>
      </c>
      <c r="I670">
        <v>55.9</v>
      </c>
      <c r="J670">
        <v>5.0377000000000001</v>
      </c>
    </row>
    <row r="671" spans="2:10" x14ac:dyDescent="0.3">
      <c r="B671" s="10">
        <f t="shared" si="20"/>
        <v>2023</v>
      </c>
      <c r="C671" s="10">
        <f t="shared" si="21"/>
        <v>10</v>
      </c>
      <c r="D671" s="20">
        <v>45212</v>
      </c>
      <c r="E671">
        <v>493.25</v>
      </c>
      <c r="F671">
        <v>1280.25</v>
      </c>
      <c r="G671">
        <v>387.6</v>
      </c>
      <c r="H671">
        <v>579.75</v>
      </c>
      <c r="I671">
        <v>55.35</v>
      </c>
      <c r="J671">
        <v>5.0800999999999998</v>
      </c>
    </row>
    <row r="672" spans="2:10" x14ac:dyDescent="0.3">
      <c r="B672" s="10">
        <f t="shared" si="20"/>
        <v>2023</v>
      </c>
      <c r="C672" s="10">
        <f t="shared" si="21"/>
        <v>10</v>
      </c>
      <c r="D672" s="20">
        <v>45211</v>
      </c>
      <c r="E672">
        <v>496</v>
      </c>
      <c r="F672">
        <v>1290</v>
      </c>
      <c r="G672">
        <v>387.6</v>
      </c>
      <c r="H672">
        <v>571.5</v>
      </c>
      <c r="I672">
        <v>54.47</v>
      </c>
      <c r="J672">
        <v>5.0460000000000003</v>
      </c>
    </row>
    <row r="673" spans="2:10" x14ac:dyDescent="0.3">
      <c r="B673" s="10">
        <f t="shared" si="20"/>
        <v>2023</v>
      </c>
      <c r="C673" s="10">
        <f t="shared" si="21"/>
        <v>10</v>
      </c>
      <c r="D673" s="20">
        <v>45210</v>
      </c>
      <c r="E673">
        <v>488</v>
      </c>
      <c r="F673">
        <v>1252.5</v>
      </c>
      <c r="G673">
        <v>374.3</v>
      </c>
      <c r="H673">
        <v>556</v>
      </c>
      <c r="I673">
        <v>53.52</v>
      </c>
      <c r="J673">
        <v>5.0483000000000002</v>
      </c>
    </row>
    <row r="674" spans="2:10" x14ac:dyDescent="0.3">
      <c r="B674" s="10">
        <f t="shared" si="20"/>
        <v>2023</v>
      </c>
      <c r="C674" s="10">
        <f t="shared" si="21"/>
        <v>10</v>
      </c>
      <c r="D674" s="20">
        <v>45209</v>
      </c>
      <c r="E674">
        <v>485.5</v>
      </c>
      <c r="F674">
        <v>1271.5</v>
      </c>
      <c r="G674">
        <v>372</v>
      </c>
      <c r="H674">
        <v>558.5</v>
      </c>
      <c r="I674">
        <v>53.99</v>
      </c>
      <c r="J674">
        <v>5.0515999999999996</v>
      </c>
    </row>
    <row r="675" spans="2:10" x14ac:dyDescent="0.3">
      <c r="B675" s="10">
        <f t="shared" si="20"/>
        <v>2023</v>
      </c>
      <c r="C675" s="10">
        <f t="shared" si="21"/>
        <v>10</v>
      </c>
      <c r="D675" s="20">
        <v>45208</v>
      </c>
      <c r="E675">
        <v>488.25</v>
      </c>
      <c r="F675">
        <v>1264.25</v>
      </c>
      <c r="G675">
        <v>370.9</v>
      </c>
      <c r="H675">
        <v>572.75</v>
      </c>
      <c r="I675">
        <v>56.13</v>
      </c>
      <c r="J675">
        <v>5.1355000000000004</v>
      </c>
    </row>
    <row r="676" spans="2:10" x14ac:dyDescent="0.3">
      <c r="B676" s="10">
        <f t="shared" si="20"/>
        <v>2023</v>
      </c>
      <c r="C676" s="10">
        <f t="shared" si="21"/>
        <v>10</v>
      </c>
      <c r="D676" s="20">
        <v>45205</v>
      </c>
      <c r="E676">
        <v>492</v>
      </c>
      <c r="F676">
        <v>1266</v>
      </c>
      <c r="G676">
        <v>367.6</v>
      </c>
      <c r="H676">
        <v>568.25</v>
      </c>
      <c r="I676">
        <v>57.29</v>
      </c>
      <c r="J676">
        <v>5.1456999999999997</v>
      </c>
    </row>
    <row r="677" spans="2:10" x14ac:dyDescent="0.3">
      <c r="B677" s="10">
        <f t="shared" si="20"/>
        <v>2023</v>
      </c>
      <c r="C677" s="10">
        <f t="shared" si="21"/>
        <v>10</v>
      </c>
      <c r="D677" s="20">
        <v>45204</v>
      </c>
      <c r="E677">
        <v>497.5</v>
      </c>
      <c r="F677">
        <v>1280.75</v>
      </c>
      <c r="G677">
        <v>373.6</v>
      </c>
      <c r="H677">
        <v>578.25</v>
      </c>
      <c r="I677">
        <v>57.86</v>
      </c>
      <c r="J677">
        <v>5.1657999999999999</v>
      </c>
    </row>
    <row r="678" spans="2:10" x14ac:dyDescent="0.3">
      <c r="B678" s="10">
        <f t="shared" si="20"/>
        <v>2023</v>
      </c>
      <c r="C678" s="10">
        <f t="shared" si="21"/>
        <v>10</v>
      </c>
      <c r="D678" s="20">
        <v>45203</v>
      </c>
      <c r="E678">
        <v>486</v>
      </c>
      <c r="F678">
        <v>1273</v>
      </c>
      <c r="G678">
        <v>368.7</v>
      </c>
      <c r="H678">
        <v>560</v>
      </c>
      <c r="I678">
        <v>58.43</v>
      </c>
      <c r="J678">
        <v>5.1562000000000001</v>
      </c>
    </row>
    <row r="679" spans="2:10" x14ac:dyDescent="0.3">
      <c r="B679" s="10">
        <f t="shared" si="20"/>
        <v>2023</v>
      </c>
      <c r="C679" s="10">
        <f t="shared" si="21"/>
        <v>10</v>
      </c>
      <c r="D679" s="20">
        <v>45202</v>
      </c>
      <c r="E679">
        <v>487.5</v>
      </c>
      <c r="F679">
        <v>1272.75</v>
      </c>
      <c r="G679">
        <v>363.2</v>
      </c>
      <c r="H679">
        <v>568.5</v>
      </c>
      <c r="I679">
        <v>59.45</v>
      </c>
      <c r="J679">
        <v>5.1669</v>
      </c>
    </row>
    <row r="680" spans="2:10" x14ac:dyDescent="0.3">
      <c r="B680" s="10">
        <f t="shared" si="20"/>
        <v>2023</v>
      </c>
      <c r="C680" s="10">
        <f t="shared" si="21"/>
        <v>10</v>
      </c>
      <c r="D680" s="20">
        <v>45201</v>
      </c>
      <c r="E680">
        <v>488.75</v>
      </c>
      <c r="F680">
        <v>1277</v>
      </c>
      <c r="G680">
        <v>367.6</v>
      </c>
      <c r="H680">
        <v>564.75</v>
      </c>
      <c r="I680">
        <v>59.85</v>
      </c>
      <c r="J680">
        <v>5.0609999999999999</v>
      </c>
    </row>
    <row r="681" spans="2:10" x14ac:dyDescent="0.3">
      <c r="B681" s="10">
        <f t="shared" si="20"/>
        <v>2023</v>
      </c>
      <c r="C681" s="10">
        <f t="shared" si="21"/>
        <v>9</v>
      </c>
      <c r="D681" s="20">
        <v>45198</v>
      </c>
      <c r="E681">
        <v>476.75</v>
      </c>
      <c r="F681">
        <v>1275</v>
      </c>
      <c r="G681">
        <v>375.9</v>
      </c>
      <c r="H681">
        <v>541.5</v>
      </c>
      <c r="I681">
        <v>57.44</v>
      </c>
      <c r="J681">
        <v>5.032</v>
      </c>
    </row>
    <row r="682" spans="2:10" x14ac:dyDescent="0.3">
      <c r="B682" s="10">
        <f t="shared" si="20"/>
        <v>2023</v>
      </c>
      <c r="C682" s="10">
        <f t="shared" si="21"/>
        <v>9</v>
      </c>
      <c r="D682" s="20">
        <v>45197</v>
      </c>
      <c r="E682">
        <v>488.5</v>
      </c>
      <c r="F682">
        <v>1300.5</v>
      </c>
      <c r="G682">
        <v>392.4</v>
      </c>
      <c r="H682">
        <v>578.75</v>
      </c>
      <c r="I682">
        <v>58.53</v>
      </c>
      <c r="J682">
        <v>5.0331000000000001</v>
      </c>
    </row>
    <row r="683" spans="2:10" x14ac:dyDescent="0.3">
      <c r="B683" s="10">
        <f t="shared" si="20"/>
        <v>2023</v>
      </c>
      <c r="C683" s="10">
        <f t="shared" si="21"/>
        <v>9</v>
      </c>
      <c r="D683" s="20">
        <v>45196</v>
      </c>
      <c r="E683">
        <v>483.25</v>
      </c>
      <c r="F683">
        <v>1303.25</v>
      </c>
      <c r="G683">
        <v>390.1</v>
      </c>
      <c r="H683">
        <v>579.5</v>
      </c>
      <c r="I683">
        <v>59.61</v>
      </c>
      <c r="J683">
        <v>5.0425000000000004</v>
      </c>
    </row>
    <row r="684" spans="2:10" x14ac:dyDescent="0.3">
      <c r="B684" s="10">
        <f t="shared" si="20"/>
        <v>2023</v>
      </c>
      <c r="C684" s="10">
        <f t="shared" si="21"/>
        <v>9</v>
      </c>
      <c r="D684" s="20">
        <v>45195</v>
      </c>
      <c r="E684">
        <v>479.75</v>
      </c>
      <c r="F684">
        <v>1302.75</v>
      </c>
      <c r="G684">
        <v>394</v>
      </c>
      <c r="H684">
        <v>589</v>
      </c>
      <c r="I684">
        <v>58.86</v>
      </c>
      <c r="J684">
        <v>4.9897999999999998</v>
      </c>
    </row>
    <row r="685" spans="2:10" x14ac:dyDescent="0.3">
      <c r="B685" s="10">
        <f t="shared" si="20"/>
        <v>2023</v>
      </c>
      <c r="C685" s="10">
        <f t="shared" si="21"/>
        <v>9</v>
      </c>
      <c r="D685" s="20">
        <v>45194</v>
      </c>
      <c r="E685">
        <v>481.25</v>
      </c>
      <c r="F685">
        <v>1297.75</v>
      </c>
      <c r="G685">
        <v>392</v>
      </c>
      <c r="H685">
        <v>589</v>
      </c>
      <c r="I685">
        <v>58.75</v>
      </c>
      <c r="J685">
        <v>4.9678000000000004</v>
      </c>
    </row>
    <row r="686" spans="2:10" x14ac:dyDescent="0.3">
      <c r="B686" s="10">
        <f t="shared" si="20"/>
        <v>2023</v>
      </c>
      <c r="C686" s="10">
        <f t="shared" si="21"/>
        <v>9</v>
      </c>
      <c r="D686" s="20">
        <v>45191</v>
      </c>
      <c r="E686">
        <v>477.25</v>
      </c>
      <c r="F686">
        <v>1296.25</v>
      </c>
      <c r="G686">
        <v>388.2</v>
      </c>
      <c r="H686">
        <v>579.5</v>
      </c>
      <c r="I686">
        <v>60.85</v>
      </c>
      <c r="J686">
        <v>4.9351000000000003</v>
      </c>
    </row>
    <row r="687" spans="2:10" x14ac:dyDescent="0.3">
      <c r="B687" s="10">
        <f t="shared" si="20"/>
        <v>2023</v>
      </c>
      <c r="C687" s="10">
        <f t="shared" si="21"/>
        <v>9</v>
      </c>
      <c r="D687" s="20">
        <v>45190</v>
      </c>
      <c r="E687">
        <v>475.25</v>
      </c>
      <c r="F687">
        <v>1293.75</v>
      </c>
      <c r="G687">
        <v>390.3</v>
      </c>
      <c r="H687">
        <v>575.75</v>
      </c>
      <c r="I687">
        <v>59.65</v>
      </c>
      <c r="J687">
        <v>4.9351000000000003</v>
      </c>
    </row>
    <row r="688" spans="2:10" x14ac:dyDescent="0.3">
      <c r="B688" s="10">
        <f t="shared" si="20"/>
        <v>2023</v>
      </c>
      <c r="C688" s="10">
        <f t="shared" si="21"/>
        <v>9</v>
      </c>
      <c r="D688" s="20">
        <v>45189</v>
      </c>
      <c r="E688">
        <v>482.25</v>
      </c>
      <c r="F688">
        <v>1320</v>
      </c>
      <c r="G688">
        <v>397.2</v>
      </c>
      <c r="H688">
        <v>588.75</v>
      </c>
      <c r="I688">
        <v>60.68</v>
      </c>
      <c r="J688">
        <v>4.8800999999999997</v>
      </c>
    </row>
    <row r="689" spans="2:10" x14ac:dyDescent="0.3">
      <c r="B689" s="10">
        <f t="shared" si="20"/>
        <v>2023</v>
      </c>
      <c r="C689" s="10">
        <f t="shared" si="21"/>
        <v>9</v>
      </c>
      <c r="D689" s="20">
        <v>45188</v>
      </c>
      <c r="E689">
        <v>476.25</v>
      </c>
      <c r="F689">
        <v>1315.5</v>
      </c>
      <c r="G689">
        <v>391.5</v>
      </c>
      <c r="H689">
        <v>584</v>
      </c>
      <c r="I689">
        <v>61.76</v>
      </c>
      <c r="J689">
        <v>4.8673000000000002</v>
      </c>
    </row>
    <row r="690" spans="2:10" x14ac:dyDescent="0.3">
      <c r="B690" s="10">
        <f t="shared" si="20"/>
        <v>2023</v>
      </c>
      <c r="C690" s="10">
        <f t="shared" si="21"/>
        <v>9</v>
      </c>
      <c r="D690" s="20">
        <v>45187</v>
      </c>
      <c r="E690">
        <v>471.5</v>
      </c>
      <c r="F690">
        <v>1316.75</v>
      </c>
      <c r="G690">
        <v>390.4</v>
      </c>
      <c r="H690">
        <v>591.25</v>
      </c>
      <c r="I690">
        <v>62.39</v>
      </c>
      <c r="J690">
        <v>4.8555999999999999</v>
      </c>
    </row>
    <row r="691" spans="2:10" x14ac:dyDescent="0.3">
      <c r="B691" s="10">
        <f t="shared" si="20"/>
        <v>2023</v>
      </c>
      <c r="C691" s="10">
        <f t="shared" si="21"/>
        <v>9</v>
      </c>
      <c r="D691" s="20">
        <v>45184</v>
      </c>
      <c r="E691">
        <v>476.25</v>
      </c>
      <c r="F691">
        <v>1340.25</v>
      </c>
      <c r="G691">
        <v>393.6</v>
      </c>
      <c r="H691">
        <v>604.25</v>
      </c>
      <c r="I691">
        <v>63.38</v>
      </c>
      <c r="J691">
        <v>4.8662999999999998</v>
      </c>
    </row>
    <row r="692" spans="2:10" x14ac:dyDescent="0.3">
      <c r="B692" s="10">
        <f t="shared" si="20"/>
        <v>2023</v>
      </c>
      <c r="C692" s="10">
        <f t="shared" si="21"/>
        <v>9</v>
      </c>
      <c r="D692" s="20">
        <v>45183</v>
      </c>
      <c r="E692">
        <v>462.5</v>
      </c>
      <c r="F692">
        <v>1343.75</v>
      </c>
      <c r="G692">
        <v>401.9</v>
      </c>
      <c r="H692">
        <v>567.5</v>
      </c>
      <c r="I692">
        <v>64.430000000000007</v>
      </c>
      <c r="J692">
        <v>4.8667999999999996</v>
      </c>
    </row>
    <row r="693" spans="2:10" x14ac:dyDescent="0.3">
      <c r="B693" s="10">
        <f t="shared" si="20"/>
        <v>2023</v>
      </c>
      <c r="C693" s="10">
        <f t="shared" si="21"/>
        <v>9</v>
      </c>
      <c r="D693" s="20">
        <v>45182</v>
      </c>
      <c r="E693">
        <v>464</v>
      </c>
      <c r="F693">
        <v>1336</v>
      </c>
      <c r="G693">
        <v>401.9</v>
      </c>
      <c r="H693">
        <v>569</v>
      </c>
      <c r="I693">
        <v>64.430000000000007</v>
      </c>
      <c r="J693">
        <v>4.9153000000000002</v>
      </c>
    </row>
    <row r="694" spans="2:10" x14ac:dyDescent="0.3">
      <c r="B694" s="10">
        <f t="shared" si="20"/>
        <v>2023</v>
      </c>
      <c r="C694" s="10">
        <f t="shared" si="21"/>
        <v>9</v>
      </c>
      <c r="D694" s="20">
        <v>45181</v>
      </c>
      <c r="E694">
        <v>463.25</v>
      </c>
      <c r="F694">
        <v>1331.75</v>
      </c>
      <c r="G694">
        <v>405.2</v>
      </c>
      <c r="H694">
        <v>560.25</v>
      </c>
      <c r="I694">
        <v>62.72</v>
      </c>
      <c r="J694">
        <v>4.9470000000000001</v>
      </c>
    </row>
    <row r="695" spans="2:10" x14ac:dyDescent="0.3">
      <c r="B695" s="10">
        <f t="shared" si="20"/>
        <v>2023</v>
      </c>
      <c r="C695" s="10">
        <f t="shared" si="21"/>
        <v>9</v>
      </c>
      <c r="D695" s="20">
        <v>45180</v>
      </c>
      <c r="E695">
        <v>471.25</v>
      </c>
      <c r="F695">
        <v>1352.5</v>
      </c>
      <c r="G695">
        <v>412</v>
      </c>
      <c r="H695">
        <v>556</v>
      </c>
      <c r="I695">
        <v>63.15</v>
      </c>
      <c r="J695">
        <v>4.9306999999999999</v>
      </c>
    </row>
    <row r="696" spans="2:10" x14ac:dyDescent="0.3">
      <c r="B696" s="10">
        <f t="shared" si="20"/>
        <v>2023</v>
      </c>
      <c r="C696" s="10">
        <f t="shared" si="21"/>
        <v>9</v>
      </c>
      <c r="D696" s="20">
        <v>45177</v>
      </c>
      <c r="E696">
        <v>468.5</v>
      </c>
      <c r="F696">
        <v>1349.5</v>
      </c>
      <c r="G696">
        <v>411.9</v>
      </c>
      <c r="H696">
        <v>567.25</v>
      </c>
      <c r="I696">
        <v>63.15</v>
      </c>
      <c r="J696">
        <v>4.9882</v>
      </c>
    </row>
    <row r="697" spans="2:10" x14ac:dyDescent="0.3">
      <c r="B697" s="10">
        <f t="shared" si="20"/>
        <v>2023</v>
      </c>
      <c r="C697" s="10">
        <f t="shared" si="21"/>
        <v>9</v>
      </c>
      <c r="D697" s="20">
        <v>45176</v>
      </c>
      <c r="E697">
        <v>470.75</v>
      </c>
      <c r="F697">
        <v>1345</v>
      </c>
      <c r="G697">
        <v>403.4</v>
      </c>
      <c r="H697">
        <v>571.5</v>
      </c>
      <c r="I697">
        <v>63.86</v>
      </c>
      <c r="J697">
        <v>4.9767000000000001</v>
      </c>
    </row>
    <row r="698" spans="2:10" x14ac:dyDescent="0.3">
      <c r="B698" s="10">
        <f t="shared" si="20"/>
        <v>2023</v>
      </c>
      <c r="C698" s="10">
        <f t="shared" si="21"/>
        <v>9</v>
      </c>
      <c r="D698" s="20">
        <v>45175</v>
      </c>
      <c r="E698">
        <v>471.5</v>
      </c>
      <c r="F698">
        <v>1360.25</v>
      </c>
      <c r="G698">
        <v>408.1</v>
      </c>
      <c r="H698">
        <v>581</v>
      </c>
      <c r="I698">
        <v>65.349999999999994</v>
      </c>
      <c r="J698">
        <v>4.9783999999999997</v>
      </c>
    </row>
    <row r="699" spans="2:10" x14ac:dyDescent="0.3">
      <c r="B699" s="10">
        <f t="shared" si="20"/>
        <v>2023</v>
      </c>
      <c r="C699" s="10">
        <f t="shared" si="21"/>
        <v>9</v>
      </c>
      <c r="D699" s="20">
        <v>45174</v>
      </c>
      <c r="E699">
        <v>471</v>
      </c>
      <c r="F699">
        <v>1349</v>
      </c>
      <c r="G699">
        <v>406.3</v>
      </c>
      <c r="H699">
        <v>572.5</v>
      </c>
      <c r="I699">
        <v>66</v>
      </c>
      <c r="J699">
        <v>4.9671000000000003</v>
      </c>
    </row>
    <row r="700" spans="2:10" x14ac:dyDescent="0.3">
      <c r="B700" s="10">
        <f t="shared" si="20"/>
        <v>2023</v>
      </c>
      <c r="C700" s="10">
        <f t="shared" si="21"/>
        <v>9</v>
      </c>
      <c r="D700" s="20">
        <v>45173</v>
      </c>
      <c r="J700">
        <v>4.9375999999999998</v>
      </c>
    </row>
    <row r="701" spans="2:10" x14ac:dyDescent="0.3">
      <c r="B701" s="10">
        <f t="shared" si="20"/>
        <v>2023</v>
      </c>
      <c r="C701" s="10">
        <f t="shared" si="21"/>
        <v>9</v>
      </c>
      <c r="D701" s="20">
        <v>45170</v>
      </c>
      <c r="E701">
        <v>464.75</v>
      </c>
      <c r="F701">
        <v>1356.25</v>
      </c>
      <c r="G701">
        <v>412.7</v>
      </c>
      <c r="H701">
        <v>567.5</v>
      </c>
      <c r="I701">
        <v>66.55</v>
      </c>
      <c r="J701">
        <v>4.9462999999999999</v>
      </c>
    </row>
    <row r="702" spans="2:10" x14ac:dyDescent="0.3">
      <c r="B702" s="10">
        <f t="shared" si="20"/>
        <v>2023</v>
      </c>
      <c r="C702" s="10">
        <f t="shared" si="21"/>
        <v>8</v>
      </c>
      <c r="D702" s="20">
        <v>45169</v>
      </c>
      <c r="E702">
        <v>461</v>
      </c>
      <c r="F702">
        <v>1360</v>
      </c>
      <c r="G702">
        <v>418.7</v>
      </c>
      <c r="H702">
        <v>573</v>
      </c>
      <c r="I702">
        <v>65.52</v>
      </c>
      <c r="J702">
        <v>4.9543999999999997</v>
      </c>
    </row>
    <row r="703" spans="2:10" x14ac:dyDescent="0.3">
      <c r="B703" s="10">
        <f t="shared" si="20"/>
        <v>2023</v>
      </c>
      <c r="C703" s="10">
        <f t="shared" si="21"/>
        <v>8</v>
      </c>
      <c r="D703" s="20">
        <v>45168</v>
      </c>
      <c r="E703">
        <v>461.75</v>
      </c>
      <c r="F703">
        <v>1381.25</v>
      </c>
      <c r="G703">
        <v>423</v>
      </c>
      <c r="H703">
        <v>576.75</v>
      </c>
      <c r="I703">
        <v>65.540000000000006</v>
      </c>
      <c r="J703">
        <v>4.8890000000000002</v>
      </c>
    </row>
    <row r="704" spans="2:10" x14ac:dyDescent="0.3">
      <c r="B704" s="10">
        <f t="shared" si="20"/>
        <v>2023</v>
      </c>
      <c r="C704" s="10">
        <f t="shared" si="21"/>
        <v>8</v>
      </c>
      <c r="D704" s="20">
        <v>45167</v>
      </c>
      <c r="E704">
        <v>469.5</v>
      </c>
      <c r="F704">
        <v>1382</v>
      </c>
      <c r="G704">
        <v>419.3</v>
      </c>
      <c r="H704">
        <v>569.75</v>
      </c>
      <c r="I704">
        <v>66.56</v>
      </c>
      <c r="J704">
        <v>4.8522999999999996</v>
      </c>
    </row>
    <row r="705" spans="2:10" x14ac:dyDescent="0.3">
      <c r="B705" s="10">
        <f t="shared" si="20"/>
        <v>2023</v>
      </c>
      <c r="C705" s="10">
        <f t="shared" si="21"/>
        <v>8</v>
      </c>
      <c r="D705" s="20">
        <v>45166</v>
      </c>
      <c r="E705">
        <v>478.5</v>
      </c>
      <c r="F705">
        <v>1395.25</v>
      </c>
      <c r="G705">
        <v>425.7</v>
      </c>
      <c r="H705">
        <v>588</v>
      </c>
      <c r="I705">
        <v>66.900000000000006</v>
      </c>
      <c r="J705">
        <v>4.8731</v>
      </c>
    </row>
    <row r="706" spans="2:10" x14ac:dyDescent="0.3">
      <c r="B706" s="10">
        <f t="shared" si="20"/>
        <v>2023</v>
      </c>
      <c r="C706" s="10">
        <f t="shared" si="21"/>
        <v>8</v>
      </c>
      <c r="D706" s="20">
        <v>45163</v>
      </c>
      <c r="E706">
        <v>470.75</v>
      </c>
      <c r="F706">
        <v>1381</v>
      </c>
      <c r="G706">
        <v>422.8</v>
      </c>
      <c r="H706">
        <v>593.25</v>
      </c>
      <c r="I706">
        <v>66.73</v>
      </c>
      <c r="J706">
        <v>4.8711000000000002</v>
      </c>
    </row>
    <row r="707" spans="2:10" x14ac:dyDescent="0.3">
      <c r="B707" s="10">
        <f t="shared" si="20"/>
        <v>2023</v>
      </c>
      <c r="C707" s="10">
        <f t="shared" si="21"/>
        <v>8</v>
      </c>
      <c r="D707" s="20">
        <v>45162</v>
      </c>
      <c r="E707">
        <v>472.25</v>
      </c>
      <c r="F707">
        <v>1365.75</v>
      </c>
      <c r="G707">
        <v>422.7</v>
      </c>
      <c r="H707">
        <v>604</v>
      </c>
      <c r="I707">
        <v>65.540000000000006</v>
      </c>
      <c r="J707">
        <v>4.8802000000000003</v>
      </c>
    </row>
    <row r="708" spans="2:10" x14ac:dyDescent="0.3">
      <c r="B708" s="10">
        <f t="shared" si="20"/>
        <v>2023</v>
      </c>
      <c r="C708" s="10">
        <f t="shared" si="21"/>
        <v>8</v>
      </c>
      <c r="D708" s="20">
        <v>45161</v>
      </c>
      <c r="E708">
        <v>476.25</v>
      </c>
      <c r="F708">
        <v>1359.5</v>
      </c>
      <c r="G708">
        <v>413</v>
      </c>
      <c r="H708">
        <v>612.5</v>
      </c>
      <c r="I708">
        <v>66.150000000000006</v>
      </c>
      <c r="J708">
        <v>4.8571999999999997</v>
      </c>
    </row>
    <row r="709" spans="2:10" x14ac:dyDescent="0.3">
      <c r="B709" s="10">
        <f t="shared" si="20"/>
        <v>2023</v>
      </c>
      <c r="C709" s="10">
        <f t="shared" si="21"/>
        <v>8</v>
      </c>
      <c r="D709" s="20">
        <v>45160</v>
      </c>
      <c r="E709">
        <v>466.5</v>
      </c>
      <c r="F709">
        <v>1351.5</v>
      </c>
      <c r="G709">
        <v>406.3</v>
      </c>
      <c r="H709">
        <v>601.75</v>
      </c>
      <c r="I709">
        <v>65.209999999999994</v>
      </c>
      <c r="J709">
        <v>4.9386000000000001</v>
      </c>
    </row>
    <row r="710" spans="2:10" x14ac:dyDescent="0.3">
      <c r="B710" s="10">
        <f t="shared" ref="B710:B773" si="22">YEAR(D710)</f>
        <v>2023</v>
      </c>
      <c r="C710" s="10">
        <f t="shared" ref="C710:C773" si="23">MONTH(D710)</f>
        <v>8</v>
      </c>
      <c r="D710" s="20">
        <v>45159</v>
      </c>
      <c r="E710">
        <v>469.25</v>
      </c>
      <c r="F710">
        <v>1370</v>
      </c>
      <c r="G710">
        <v>409.8</v>
      </c>
      <c r="H710">
        <v>599.25</v>
      </c>
      <c r="I710">
        <v>67.989999999999995</v>
      </c>
      <c r="J710">
        <v>4.9793000000000003</v>
      </c>
    </row>
    <row r="711" spans="2:10" x14ac:dyDescent="0.3">
      <c r="B711" s="10">
        <f t="shared" si="22"/>
        <v>2023</v>
      </c>
      <c r="C711" s="10">
        <f t="shared" si="23"/>
        <v>8</v>
      </c>
      <c r="D711" s="20">
        <v>45156</v>
      </c>
      <c r="E711">
        <v>479.5</v>
      </c>
      <c r="F711">
        <v>1362.75</v>
      </c>
      <c r="G711">
        <v>403.9</v>
      </c>
      <c r="H711">
        <v>613.25</v>
      </c>
      <c r="I711">
        <v>68.290000000000006</v>
      </c>
      <c r="J711">
        <v>4.9694000000000003</v>
      </c>
    </row>
    <row r="712" spans="2:10" x14ac:dyDescent="0.3">
      <c r="B712" s="10">
        <f t="shared" si="22"/>
        <v>2023</v>
      </c>
      <c r="C712" s="10">
        <f t="shared" si="23"/>
        <v>8</v>
      </c>
      <c r="D712" s="20">
        <v>45155</v>
      </c>
      <c r="E712">
        <v>473</v>
      </c>
      <c r="F712">
        <v>1336.75</v>
      </c>
      <c r="G712">
        <v>399.6</v>
      </c>
      <c r="H712">
        <v>589.5</v>
      </c>
      <c r="I712">
        <v>67.760000000000005</v>
      </c>
      <c r="J712">
        <v>4.9757999999999996</v>
      </c>
    </row>
    <row r="713" spans="2:10" x14ac:dyDescent="0.3">
      <c r="B713" s="10">
        <f t="shared" si="22"/>
        <v>2023</v>
      </c>
      <c r="C713" s="10">
        <f t="shared" si="23"/>
        <v>8</v>
      </c>
      <c r="D713" s="20">
        <v>45154</v>
      </c>
      <c r="E713">
        <v>469.5</v>
      </c>
      <c r="F713">
        <v>1334.75</v>
      </c>
      <c r="G713">
        <v>404.5</v>
      </c>
      <c r="H713">
        <v>597.75</v>
      </c>
      <c r="I713">
        <v>66.77</v>
      </c>
      <c r="J713">
        <v>4.9878999999999998</v>
      </c>
    </row>
    <row r="714" spans="2:10" x14ac:dyDescent="0.3">
      <c r="B714" s="10">
        <f t="shared" si="22"/>
        <v>2023</v>
      </c>
      <c r="C714" s="10">
        <f t="shared" si="23"/>
        <v>8</v>
      </c>
      <c r="D714" s="20">
        <v>45153</v>
      </c>
      <c r="E714">
        <v>464</v>
      </c>
      <c r="F714">
        <v>1323.25</v>
      </c>
      <c r="G714">
        <v>403.8</v>
      </c>
      <c r="H714">
        <v>598.5</v>
      </c>
      <c r="I714">
        <v>65.900000000000006</v>
      </c>
      <c r="J714">
        <v>4.9844999999999997</v>
      </c>
    </row>
    <row r="715" spans="2:10" x14ac:dyDescent="0.3">
      <c r="B715" s="10">
        <f t="shared" si="22"/>
        <v>2023</v>
      </c>
      <c r="C715" s="10">
        <f t="shared" si="23"/>
        <v>8</v>
      </c>
      <c r="D715" s="20">
        <v>45152</v>
      </c>
      <c r="E715">
        <v>475.75</v>
      </c>
      <c r="F715">
        <v>1391</v>
      </c>
      <c r="G715">
        <v>462.3</v>
      </c>
      <c r="H715">
        <v>616</v>
      </c>
      <c r="I715">
        <v>66.319999999999993</v>
      </c>
      <c r="J715">
        <v>4.9615</v>
      </c>
    </row>
    <row r="716" spans="2:10" x14ac:dyDescent="0.3">
      <c r="B716" s="10">
        <f t="shared" si="22"/>
        <v>2023</v>
      </c>
      <c r="C716" s="10">
        <f t="shared" si="23"/>
        <v>8</v>
      </c>
      <c r="D716" s="20">
        <v>45149</v>
      </c>
      <c r="E716">
        <v>474.5</v>
      </c>
      <c r="F716">
        <v>1401.25</v>
      </c>
      <c r="G716">
        <v>436.9</v>
      </c>
      <c r="H716">
        <v>626.75</v>
      </c>
      <c r="I716">
        <v>66.34</v>
      </c>
      <c r="J716">
        <v>4.9047999999999998</v>
      </c>
    </row>
    <row r="717" spans="2:10" x14ac:dyDescent="0.3">
      <c r="B717" s="10">
        <f t="shared" si="22"/>
        <v>2023</v>
      </c>
      <c r="C717" s="10">
        <f t="shared" si="23"/>
        <v>8</v>
      </c>
      <c r="D717" s="20">
        <v>45148</v>
      </c>
      <c r="E717">
        <v>483.25</v>
      </c>
      <c r="F717">
        <v>1412</v>
      </c>
      <c r="G717">
        <v>429.6</v>
      </c>
      <c r="H717">
        <v>637.75</v>
      </c>
      <c r="I717">
        <v>66.599999999999994</v>
      </c>
      <c r="J717">
        <v>4.8924000000000003</v>
      </c>
    </row>
    <row r="718" spans="2:10" x14ac:dyDescent="0.3">
      <c r="B718" s="10">
        <f t="shared" si="22"/>
        <v>2023</v>
      </c>
      <c r="C718" s="10">
        <f t="shared" si="23"/>
        <v>8</v>
      </c>
      <c r="D718" s="20">
        <v>45147</v>
      </c>
      <c r="E718">
        <v>481</v>
      </c>
      <c r="F718">
        <v>1431.5</v>
      </c>
      <c r="G718">
        <v>426.3</v>
      </c>
      <c r="H718">
        <v>635</v>
      </c>
      <c r="I718">
        <v>66.790000000000006</v>
      </c>
      <c r="J718">
        <v>4.9020000000000001</v>
      </c>
    </row>
    <row r="719" spans="2:10" x14ac:dyDescent="0.3">
      <c r="B719" s="10">
        <f t="shared" si="22"/>
        <v>2023</v>
      </c>
      <c r="C719" s="10">
        <f t="shared" si="23"/>
        <v>8</v>
      </c>
      <c r="D719" s="20">
        <v>45146</v>
      </c>
      <c r="E719">
        <v>485.75</v>
      </c>
      <c r="F719">
        <v>1430</v>
      </c>
      <c r="G719">
        <v>433.2</v>
      </c>
      <c r="H719">
        <v>656.25</v>
      </c>
      <c r="I719">
        <v>66.58</v>
      </c>
      <c r="J719">
        <v>4.8996000000000004</v>
      </c>
    </row>
    <row r="720" spans="2:10" x14ac:dyDescent="0.3">
      <c r="B720" s="10">
        <f t="shared" si="22"/>
        <v>2023</v>
      </c>
      <c r="C720" s="10">
        <f t="shared" si="23"/>
        <v>8</v>
      </c>
      <c r="D720" s="20">
        <v>45145</v>
      </c>
      <c r="E720">
        <v>482.25</v>
      </c>
      <c r="F720">
        <v>1414.5</v>
      </c>
      <c r="G720">
        <v>446.2</v>
      </c>
      <c r="H720">
        <v>657.5</v>
      </c>
      <c r="I720">
        <v>66.66</v>
      </c>
      <c r="J720">
        <v>4.8998999999999997</v>
      </c>
    </row>
    <row r="721" spans="2:10" x14ac:dyDescent="0.3">
      <c r="B721" s="10">
        <f t="shared" si="22"/>
        <v>2023</v>
      </c>
      <c r="C721" s="10">
        <f t="shared" si="23"/>
        <v>8</v>
      </c>
      <c r="D721" s="20">
        <v>45142</v>
      </c>
      <c r="E721">
        <v>484.25</v>
      </c>
      <c r="F721">
        <v>1444</v>
      </c>
      <c r="G721">
        <v>444.1</v>
      </c>
      <c r="H721">
        <v>633</v>
      </c>
      <c r="I721">
        <v>68</v>
      </c>
      <c r="J721">
        <v>4.8733000000000004</v>
      </c>
    </row>
    <row r="722" spans="2:10" x14ac:dyDescent="0.3">
      <c r="B722" s="10">
        <f t="shared" si="22"/>
        <v>2023</v>
      </c>
      <c r="C722" s="10">
        <f t="shared" si="23"/>
        <v>8</v>
      </c>
      <c r="D722" s="20">
        <v>45141</v>
      </c>
      <c r="E722">
        <v>480.75</v>
      </c>
      <c r="F722">
        <v>1428.75</v>
      </c>
      <c r="G722">
        <v>451.2</v>
      </c>
      <c r="H722">
        <v>627</v>
      </c>
      <c r="I722">
        <v>66.989999999999995</v>
      </c>
      <c r="J722">
        <v>4.9169999999999998</v>
      </c>
    </row>
    <row r="723" spans="2:10" x14ac:dyDescent="0.3">
      <c r="B723" s="10">
        <f t="shared" si="22"/>
        <v>2023</v>
      </c>
      <c r="C723" s="10">
        <f t="shared" si="23"/>
        <v>8</v>
      </c>
      <c r="D723" s="20">
        <v>45140</v>
      </c>
      <c r="E723">
        <v>488.25</v>
      </c>
      <c r="F723">
        <v>1429.75</v>
      </c>
      <c r="G723">
        <v>451.8</v>
      </c>
      <c r="H723">
        <v>640</v>
      </c>
      <c r="I723">
        <v>67.31</v>
      </c>
      <c r="J723">
        <v>4.8120000000000003</v>
      </c>
    </row>
    <row r="724" spans="2:10" x14ac:dyDescent="0.3">
      <c r="B724" s="10">
        <f t="shared" si="22"/>
        <v>2023</v>
      </c>
      <c r="C724" s="10">
        <f t="shared" si="23"/>
        <v>8</v>
      </c>
      <c r="D724" s="20">
        <v>45139</v>
      </c>
      <c r="E724">
        <v>497</v>
      </c>
      <c r="F724">
        <v>1446.75</v>
      </c>
      <c r="G724">
        <v>456.1</v>
      </c>
      <c r="H724">
        <v>652.25</v>
      </c>
      <c r="I724">
        <v>67.09</v>
      </c>
      <c r="J724">
        <v>4.7911000000000001</v>
      </c>
    </row>
    <row r="725" spans="2:10" x14ac:dyDescent="0.3">
      <c r="B725" s="10">
        <f t="shared" si="22"/>
        <v>2023</v>
      </c>
      <c r="C725" s="10">
        <f t="shared" si="23"/>
        <v>7</v>
      </c>
      <c r="D725" s="20">
        <v>45138</v>
      </c>
      <c r="E725">
        <v>504</v>
      </c>
      <c r="F725">
        <v>1445.75</v>
      </c>
      <c r="G725">
        <v>451.2</v>
      </c>
      <c r="H725">
        <v>665.75</v>
      </c>
      <c r="I725">
        <v>65.58</v>
      </c>
      <c r="J725">
        <v>4.7241</v>
      </c>
    </row>
    <row r="726" spans="2:10" x14ac:dyDescent="0.3">
      <c r="B726" s="10">
        <f t="shared" si="22"/>
        <v>2023</v>
      </c>
      <c r="C726" s="10">
        <f t="shared" si="23"/>
        <v>7</v>
      </c>
      <c r="D726" s="20">
        <v>45135</v>
      </c>
      <c r="E726">
        <v>521</v>
      </c>
      <c r="F726">
        <v>1486.75</v>
      </c>
      <c r="G726">
        <v>455.2</v>
      </c>
      <c r="H726">
        <v>704.25</v>
      </c>
      <c r="I726">
        <v>67.599999999999994</v>
      </c>
      <c r="J726">
        <v>4.7336</v>
      </c>
    </row>
    <row r="727" spans="2:10" x14ac:dyDescent="0.3">
      <c r="B727" s="10">
        <f t="shared" si="22"/>
        <v>2023</v>
      </c>
      <c r="C727" s="10">
        <f t="shared" si="23"/>
        <v>7</v>
      </c>
      <c r="D727" s="20">
        <v>45134</v>
      </c>
      <c r="E727">
        <v>533.25</v>
      </c>
      <c r="F727">
        <v>1532</v>
      </c>
      <c r="G727">
        <v>464.5</v>
      </c>
      <c r="H727">
        <v>712.75</v>
      </c>
      <c r="I727">
        <v>68.61</v>
      </c>
      <c r="J727">
        <v>4.7423999999999999</v>
      </c>
    </row>
    <row r="728" spans="2:10" x14ac:dyDescent="0.3">
      <c r="B728" s="10">
        <f t="shared" si="22"/>
        <v>2023</v>
      </c>
      <c r="C728" s="10">
        <f t="shared" si="23"/>
        <v>7</v>
      </c>
      <c r="D728" s="20">
        <v>45133</v>
      </c>
      <c r="E728">
        <v>540.25</v>
      </c>
      <c r="F728">
        <v>1546.25</v>
      </c>
      <c r="G728">
        <v>464.7</v>
      </c>
      <c r="H728">
        <v>720</v>
      </c>
      <c r="I728">
        <v>70.27</v>
      </c>
      <c r="J728">
        <v>4.7363999999999997</v>
      </c>
    </row>
    <row r="729" spans="2:10" x14ac:dyDescent="0.3">
      <c r="B729" s="10">
        <f t="shared" si="22"/>
        <v>2023</v>
      </c>
      <c r="C729" s="10">
        <f t="shared" si="23"/>
        <v>7</v>
      </c>
      <c r="D729" s="20">
        <v>45132</v>
      </c>
      <c r="E729">
        <v>557.5</v>
      </c>
      <c r="F729">
        <v>1515.5</v>
      </c>
      <c r="G729">
        <v>453.8</v>
      </c>
      <c r="H729">
        <v>760.25</v>
      </c>
      <c r="I729">
        <v>72.56</v>
      </c>
      <c r="J729">
        <v>4.7497999999999996</v>
      </c>
    </row>
    <row r="730" spans="2:10" x14ac:dyDescent="0.3">
      <c r="B730" s="10">
        <f t="shared" si="22"/>
        <v>2023</v>
      </c>
      <c r="C730" s="10">
        <f t="shared" si="23"/>
        <v>7</v>
      </c>
      <c r="D730" s="20">
        <v>45131</v>
      </c>
      <c r="E730">
        <v>560.5</v>
      </c>
      <c r="F730">
        <v>1523.25</v>
      </c>
      <c r="G730">
        <v>447.3</v>
      </c>
      <c r="H730">
        <v>757.5</v>
      </c>
      <c r="I730">
        <v>71.989999999999995</v>
      </c>
      <c r="J730">
        <v>4.7271000000000001</v>
      </c>
    </row>
    <row r="731" spans="2:10" x14ac:dyDescent="0.3">
      <c r="B731" s="10">
        <f t="shared" si="22"/>
        <v>2023</v>
      </c>
      <c r="C731" s="10">
        <f t="shared" si="23"/>
        <v>7</v>
      </c>
      <c r="D731" s="20">
        <v>45128</v>
      </c>
      <c r="E731">
        <v>527</v>
      </c>
      <c r="F731">
        <v>1501</v>
      </c>
      <c r="G731">
        <v>442.8</v>
      </c>
      <c r="H731">
        <v>697.5</v>
      </c>
      <c r="I731">
        <v>69.400000000000006</v>
      </c>
      <c r="J731">
        <v>4.7794999999999996</v>
      </c>
    </row>
    <row r="732" spans="2:10" x14ac:dyDescent="0.3">
      <c r="B732" s="10">
        <f t="shared" si="22"/>
        <v>2023</v>
      </c>
      <c r="C732" s="10">
        <f t="shared" si="23"/>
        <v>7</v>
      </c>
      <c r="D732" s="20">
        <v>45127</v>
      </c>
      <c r="E732">
        <v>537.25</v>
      </c>
      <c r="F732">
        <v>1495</v>
      </c>
      <c r="G732">
        <v>440.5</v>
      </c>
      <c r="H732">
        <v>727</v>
      </c>
      <c r="I732">
        <v>67.64</v>
      </c>
      <c r="J732">
        <v>4.798</v>
      </c>
    </row>
    <row r="733" spans="2:10" x14ac:dyDescent="0.3">
      <c r="B733" s="10">
        <f t="shared" si="22"/>
        <v>2023</v>
      </c>
      <c r="C733" s="10">
        <f t="shared" si="23"/>
        <v>7</v>
      </c>
      <c r="D733" s="20">
        <v>45126</v>
      </c>
      <c r="E733">
        <v>545.5</v>
      </c>
      <c r="F733">
        <v>1491.5</v>
      </c>
      <c r="G733">
        <v>443.8</v>
      </c>
      <c r="H733">
        <v>727.75</v>
      </c>
      <c r="I733">
        <v>66.05</v>
      </c>
      <c r="J733">
        <v>4.7908999999999997</v>
      </c>
    </row>
    <row r="734" spans="2:10" x14ac:dyDescent="0.3">
      <c r="B734" s="10">
        <f t="shared" si="22"/>
        <v>2023</v>
      </c>
      <c r="C734" s="10">
        <f t="shared" si="23"/>
        <v>7</v>
      </c>
      <c r="D734" s="20">
        <v>45125</v>
      </c>
      <c r="E734">
        <v>528.75</v>
      </c>
      <c r="F734">
        <v>1492</v>
      </c>
      <c r="G734">
        <v>442.7</v>
      </c>
      <c r="H734">
        <v>670.75</v>
      </c>
      <c r="I734">
        <v>64.05</v>
      </c>
      <c r="J734">
        <v>4.8105000000000002</v>
      </c>
    </row>
    <row r="735" spans="2:10" x14ac:dyDescent="0.3">
      <c r="B735" s="10">
        <f t="shared" si="22"/>
        <v>2023</v>
      </c>
      <c r="C735" s="10">
        <f t="shared" si="23"/>
        <v>7</v>
      </c>
      <c r="D735" s="20">
        <v>45124</v>
      </c>
      <c r="E735">
        <v>499.25</v>
      </c>
      <c r="F735">
        <v>1484</v>
      </c>
      <c r="G735">
        <v>434.4</v>
      </c>
      <c r="H735">
        <v>653.75</v>
      </c>
      <c r="I735">
        <v>64.760000000000005</v>
      </c>
      <c r="J735">
        <v>4.8066000000000004</v>
      </c>
    </row>
    <row r="736" spans="2:10" x14ac:dyDescent="0.3">
      <c r="B736" s="10">
        <f t="shared" si="22"/>
        <v>2023</v>
      </c>
      <c r="C736" s="10">
        <f t="shared" si="23"/>
        <v>7</v>
      </c>
      <c r="D736" s="20">
        <v>45121</v>
      </c>
      <c r="E736">
        <v>599.75</v>
      </c>
      <c r="F736">
        <v>1495.75</v>
      </c>
      <c r="G736">
        <v>430</v>
      </c>
      <c r="H736">
        <v>641.5</v>
      </c>
      <c r="I736">
        <v>67.89</v>
      </c>
      <c r="J736">
        <v>4.7893999999999997</v>
      </c>
    </row>
    <row r="737" spans="2:10" x14ac:dyDescent="0.3">
      <c r="B737" s="10">
        <f t="shared" si="22"/>
        <v>2023</v>
      </c>
      <c r="C737" s="10">
        <f t="shared" si="23"/>
        <v>7</v>
      </c>
      <c r="D737" s="20">
        <v>45120</v>
      </c>
      <c r="E737">
        <v>593.5</v>
      </c>
      <c r="F737">
        <v>1518</v>
      </c>
      <c r="G737">
        <v>430.9</v>
      </c>
      <c r="H737">
        <v>627.5</v>
      </c>
      <c r="I737">
        <v>69.67</v>
      </c>
      <c r="J737">
        <v>4.7971000000000004</v>
      </c>
    </row>
    <row r="738" spans="2:10" x14ac:dyDescent="0.3">
      <c r="B738" s="10">
        <f t="shared" si="22"/>
        <v>2023</v>
      </c>
      <c r="C738" s="10">
        <f t="shared" si="23"/>
        <v>7</v>
      </c>
      <c r="D738" s="20">
        <v>45119</v>
      </c>
      <c r="E738">
        <v>549.75</v>
      </c>
      <c r="F738">
        <v>1488.5</v>
      </c>
      <c r="G738">
        <v>421.4</v>
      </c>
      <c r="H738">
        <v>621.25</v>
      </c>
      <c r="I738">
        <v>68.680000000000007</v>
      </c>
      <c r="J738">
        <v>4.8183999999999996</v>
      </c>
    </row>
    <row r="739" spans="2:10" x14ac:dyDescent="0.3">
      <c r="B739" s="10">
        <f t="shared" si="22"/>
        <v>2023</v>
      </c>
      <c r="C739" s="10">
        <f t="shared" si="23"/>
        <v>7</v>
      </c>
      <c r="D739" s="20">
        <v>45118</v>
      </c>
      <c r="E739">
        <v>571.75</v>
      </c>
      <c r="F739">
        <v>1520.5</v>
      </c>
      <c r="G739">
        <v>422.3</v>
      </c>
      <c r="H739">
        <v>649.5</v>
      </c>
      <c r="I739">
        <v>68.53</v>
      </c>
      <c r="J739">
        <v>4.8537999999999997</v>
      </c>
    </row>
    <row r="740" spans="2:10" x14ac:dyDescent="0.3">
      <c r="B740" s="10">
        <f t="shared" si="22"/>
        <v>2023</v>
      </c>
      <c r="C740" s="10">
        <f t="shared" si="23"/>
        <v>7</v>
      </c>
      <c r="D740" s="20">
        <v>45117</v>
      </c>
      <c r="E740">
        <v>570.75</v>
      </c>
      <c r="F740">
        <v>1508</v>
      </c>
      <c r="G740">
        <v>412.3</v>
      </c>
      <c r="H740">
        <v>636.25</v>
      </c>
      <c r="I740">
        <v>69.22</v>
      </c>
      <c r="J740">
        <v>4.8978000000000002</v>
      </c>
    </row>
    <row r="741" spans="2:10" x14ac:dyDescent="0.3">
      <c r="B741" s="10">
        <f t="shared" si="22"/>
        <v>2023</v>
      </c>
      <c r="C741" s="10">
        <f t="shared" si="23"/>
        <v>7</v>
      </c>
      <c r="D741" s="20">
        <v>45114</v>
      </c>
      <c r="E741">
        <v>560.5</v>
      </c>
      <c r="F741">
        <v>1485.5</v>
      </c>
      <c r="G741">
        <v>409.6</v>
      </c>
      <c r="H741">
        <v>639.5</v>
      </c>
      <c r="I741">
        <v>66.55</v>
      </c>
      <c r="J741">
        <v>4.8719999999999999</v>
      </c>
    </row>
    <row r="742" spans="2:10" x14ac:dyDescent="0.3">
      <c r="B742" s="10">
        <f t="shared" si="22"/>
        <v>2023</v>
      </c>
      <c r="C742" s="10">
        <f t="shared" si="23"/>
        <v>7</v>
      </c>
      <c r="D742" s="20">
        <v>45113</v>
      </c>
      <c r="E742">
        <v>566.75</v>
      </c>
      <c r="F742">
        <v>1525.75</v>
      </c>
      <c r="G742">
        <v>415.6</v>
      </c>
      <c r="H742">
        <v>647</v>
      </c>
      <c r="I742">
        <v>65.95</v>
      </c>
      <c r="J742">
        <v>4.9192999999999998</v>
      </c>
    </row>
    <row r="743" spans="2:10" x14ac:dyDescent="0.3">
      <c r="B743" s="10">
        <f t="shared" si="22"/>
        <v>2023</v>
      </c>
      <c r="C743" s="10">
        <f t="shared" si="23"/>
        <v>7</v>
      </c>
      <c r="D743" s="20">
        <v>45112</v>
      </c>
      <c r="E743">
        <v>548.25</v>
      </c>
      <c r="F743">
        <v>1547.25</v>
      </c>
      <c r="G743">
        <v>417.9</v>
      </c>
      <c r="H743">
        <v>662</v>
      </c>
      <c r="I743">
        <v>68.58</v>
      </c>
      <c r="J743">
        <v>4.8478000000000003</v>
      </c>
    </row>
    <row r="744" spans="2:10" x14ac:dyDescent="0.3">
      <c r="B744" s="10">
        <f t="shared" si="22"/>
        <v>2023</v>
      </c>
      <c r="C744" s="10">
        <f t="shared" si="23"/>
        <v>7</v>
      </c>
      <c r="D744" s="20">
        <v>45111</v>
      </c>
      <c r="J744">
        <v>4.8407999999999998</v>
      </c>
    </row>
    <row r="745" spans="2:10" x14ac:dyDescent="0.3">
      <c r="B745" s="10">
        <f t="shared" si="22"/>
        <v>2023</v>
      </c>
      <c r="C745" s="10">
        <f t="shared" si="23"/>
        <v>7</v>
      </c>
      <c r="D745" s="20">
        <v>45110</v>
      </c>
      <c r="E745">
        <v>557.25</v>
      </c>
      <c r="F745">
        <v>1562</v>
      </c>
      <c r="G745">
        <v>418.6</v>
      </c>
      <c r="H745">
        <v>628.5</v>
      </c>
      <c r="I745">
        <v>67.02</v>
      </c>
      <c r="J745">
        <v>4.8076999999999996</v>
      </c>
    </row>
    <row r="746" spans="2:10" x14ac:dyDescent="0.3">
      <c r="B746" s="10">
        <f t="shared" si="22"/>
        <v>2023</v>
      </c>
      <c r="C746" s="10">
        <f t="shared" si="23"/>
        <v>6</v>
      </c>
      <c r="D746" s="20">
        <v>45107</v>
      </c>
      <c r="E746">
        <v>554.5</v>
      </c>
      <c r="F746">
        <v>1557.25</v>
      </c>
      <c r="G746">
        <v>419.2</v>
      </c>
      <c r="H746">
        <v>636.25</v>
      </c>
      <c r="I746">
        <v>65.010000000000005</v>
      </c>
      <c r="J746">
        <v>4.7859999999999996</v>
      </c>
    </row>
    <row r="747" spans="2:10" x14ac:dyDescent="0.3">
      <c r="B747" s="10">
        <f t="shared" si="22"/>
        <v>2023</v>
      </c>
      <c r="C747" s="10">
        <f t="shared" si="23"/>
        <v>6</v>
      </c>
      <c r="D747" s="20">
        <v>45106</v>
      </c>
      <c r="E747">
        <v>581</v>
      </c>
      <c r="F747">
        <v>1483</v>
      </c>
      <c r="G747">
        <v>403</v>
      </c>
      <c r="H747">
        <v>653</v>
      </c>
      <c r="I747">
        <v>60.83</v>
      </c>
      <c r="J747">
        <v>4.8552999999999997</v>
      </c>
    </row>
    <row r="748" spans="2:10" x14ac:dyDescent="0.3">
      <c r="B748" s="10">
        <f t="shared" si="22"/>
        <v>2023</v>
      </c>
      <c r="C748" s="10">
        <f t="shared" si="23"/>
        <v>6</v>
      </c>
      <c r="D748" s="20">
        <v>45105</v>
      </c>
      <c r="E748">
        <v>590</v>
      </c>
      <c r="F748">
        <v>1451</v>
      </c>
      <c r="G748">
        <v>401.8</v>
      </c>
      <c r="H748">
        <v>655.75</v>
      </c>
      <c r="I748">
        <v>59.62</v>
      </c>
      <c r="J748">
        <v>4.8506</v>
      </c>
    </row>
    <row r="749" spans="2:10" x14ac:dyDescent="0.3">
      <c r="B749" s="10">
        <f t="shared" si="22"/>
        <v>2023</v>
      </c>
      <c r="C749" s="10">
        <f t="shared" si="23"/>
        <v>6</v>
      </c>
      <c r="D749" s="20">
        <v>45104</v>
      </c>
      <c r="E749">
        <v>623</v>
      </c>
      <c r="F749">
        <v>1495</v>
      </c>
      <c r="G749">
        <v>407.3</v>
      </c>
      <c r="H749">
        <v>685</v>
      </c>
      <c r="I749">
        <v>60.55</v>
      </c>
      <c r="J749">
        <v>4.8102999999999998</v>
      </c>
    </row>
    <row r="750" spans="2:10" x14ac:dyDescent="0.3">
      <c r="B750" s="10">
        <f t="shared" si="22"/>
        <v>2023</v>
      </c>
      <c r="C750" s="10">
        <f t="shared" si="23"/>
        <v>6</v>
      </c>
      <c r="D750" s="20">
        <v>45103</v>
      </c>
      <c r="E750">
        <v>637.25</v>
      </c>
      <c r="F750">
        <v>1521</v>
      </c>
      <c r="G750">
        <v>414.6</v>
      </c>
      <c r="H750">
        <v>724.25</v>
      </c>
      <c r="I750">
        <v>59.51</v>
      </c>
      <c r="J750">
        <v>4.7675000000000001</v>
      </c>
    </row>
    <row r="751" spans="2:10" x14ac:dyDescent="0.3">
      <c r="B751" s="10">
        <f t="shared" si="22"/>
        <v>2023</v>
      </c>
      <c r="C751" s="10">
        <f t="shared" si="23"/>
        <v>6</v>
      </c>
      <c r="D751" s="20">
        <v>45100</v>
      </c>
      <c r="E751">
        <v>630.75</v>
      </c>
      <c r="F751">
        <v>1494.5</v>
      </c>
      <c r="G751">
        <v>410.7</v>
      </c>
      <c r="H751">
        <v>733.25</v>
      </c>
      <c r="I751">
        <v>57.94</v>
      </c>
      <c r="J751">
        <v>4.7864000000000004</v>
      </c>
    </row>
    <row r="752" spans="2:10" x14ac:dyDescent="0.3">
      <c r="B752" s="10">
        <f t="shared" si="22"/>
        <v>2023</v>
      </c>
      <c r="C752" s="10">
        <f t="shared" si="23"/>
        <v>6</v>
      </c>
      <c r="D752" s="20">
        <v>45099</v>
      </c>
      <c r="E752">
        <v>660.5</v>
      </c>
      <c r="F752">
        <v>1500.5</v>
      </c>
      <c r="G752">
        <v>424.7</v>
      </c>
      <c r="H752">
        <v>739</v>
      </c>
      <c r="I752">
        <v>55.77</v>
      </c>
      <c r="J752">
        <v>4.7689000000000004</v>
      </c>
    </row>
    <row r="753" spans="2:10" x14ac:dyDescent="0.3">
      <c r="B753" s="10">
        <f t="shared" si="22"/>
        <v>2023</v>
      </c>
      <c r="C753" s="10">
        <f t="shared" si="23"/>
        <v>6</v>
      </c>
      <c r="D753" s="20">
        <v>45098</v>
      </c>
      <c r="E753">
        <v>671</v>
      </c>
      <c r="F753">
        <v>1514.75</v>
      </c>
      <c r="G753">
        <v>439.2</v>
      </c>
      <c r="H753">
        <v>734.5</v>
      </c>
      <c r="I753">
        <v>55.63</v>
      </c>
      <c r="J753">
        <v>4.7629999999999999</v>
      </c>
    </row>
    <row r="754" spans="2:10" x14ac:dyDescent="0.3">
      <c r="B754" s="10">
        <f t="shared" si="22"/>
        <v>2023</v>
      </c>
      <c r="C754" s="10">
        <f t="shared" si="23"/>
        <v>6</v>
      </c>
      <c r="D754" s="20">
        <v>45097</v>
      </c>
      <c r="E754">
        <v>643.75</v>
      </c>
      <c r="F754">
        <v>1477.25</v>
      </c>
      <c r="G754">
        <v>412.8</v>
      </c>
      <c r="H754">
        <v>695.75</v>
      </c>
      <c r="I754">
        <v>59.63</v>
      </c>
      <c r="J754">
        <v>4.7901999999999996</v>
      </c>
    </row>
    <row r="755" spans="2:10" x14ac:dyDescent="0.3">
      <c r="B755" s="10">
        <f t="shared" si="22"/>
        <v>2023</v>
      </c>
      <c r="C755" s="10">
        <f t="shared" si="23"/>
        <v>6</v>
      </c>
      <c r="D755" s="20">
        <v>45096</v>
      </c>
      <c r="J755">
        <v>4.7771999999999997</v>
      </c>
    </row>
    <row r="756" spans="2:10" x14ac:dyDescent="0.3">
      <c r="B756" s="10">
        <f t="shared" si="22"/>
        <v>2023</v>
      </c>
      <c r="C756" s="10">
        <f t="shared" si="23"/>
        <v>6</v>
      </c>
      <c r="D756" s="20">
        <v>45093</v>
      </c>
      <c r="E756">
        <v>640.25</v>
      </c>
      <c r="F756">
        <v>1466.5</v>
      </c>
      <c r="G756">
        <v>416.4</v>
      </c>
      <c r="H756">
        <v>688</v>
      </c>
      <c r="I756">
        <v>59.69</v>
      </c>
      <c r="J756">
        <v>4.8198999999999996</v>
      </c>
    </row>
    <row r="757" spans="2:10" x14ac:dyDescent="0.3">
      <c r="B757" s="10">
        <f t="shared" si="22"/>
        <v>2023</v>
      </c>
      <c r="C757" s="10">
        <f t="shared" si="23"/>
        <v>6</v>
      </c>
      <c r="D757" s="20">
        <v>45092</v>
      </c>
      <c r="E757">
        <v>623.25</v>
      </c>
      <c r="F757">
        <v>1428.25</v>
      </c>
      <c r="G757">
        <v>394.2</v>
      </c>
      <c r="H757">
        <v>661.5</v>
      </c>
      <c r="I757">
        <v>58.43</v>
      </c>
      <c r="J757">
        <v>4.8102</v>
      </c>
    </row>
    <row r="758" spans="2:10" x14ac:dyDescent="0.3">
      <c r="B758" s="10">
        <f t="shared" si="22"/>
        <v>2023</v>
      </c>
      <c r="C758" s="10">
        <f t="shared" si="23"/>
        <v>6</v>
      </c>
      <c r="D758" s="20">
        <v>45091</v>
      </c>
      <c r="E758">
        <v>607.75</v>
      </c>
      <c r="F758">
        <v>1388.25</v>
      </c>
      <c r="G758">
        <v>389.7</v>
      </c>
      <c r="H758">
        <v>630.25</v>
      </c>
      <c r="I758">
        <v>55.96</v>
      </c>
      <c r="J758">
        <v>4.8146000000000004</v>
      </c>
    </row>
    <row r="759" spans="2:10" x14ac:dyDescent="0.3">
      <c r="B759" s="10">
        <f t="shared" si="22"/>
        <v>2023</v>
      </c>
      <c r="C759" s="10">
        <f t="shared" si="23"/>
        <v>6</v>
      </c>
      <c r="D759" s="20">
        <v>45090</v>
      </c>
      <c r="E759">
        <v>612.5</v>
      </c>
      <c r="F759">
        <v>1399.25</v>
      </c>
      <c r="G759">
        <v>397.5</v>
      </c>
      <c r="H759">
        <v>636.25</v>
      </c>
      <c r="I759">
        <v>55.43</v>
      </c>
      <c r="J759">
        <v>4.8621999999999996</v>
      </c>
    </row>
    <row r="760" spans="2:10" x14ac:dyDescent="0.3">
      <c r="B760" s="10">
        <f t="shared" si="22"/>
        <v>2023</v>
      </c>
      <c r="C760" s="10">
        <f t="shared" si="23"/>
        <v>6</v>
      </c>
      <c r="D760" s="20">
        <v>45089</v>
      </c>
      <c r="E760">
        <v>617.25</v>
      </c>
      <c r="F760">
        <v>1372.75</v>
      </c>
      <c r="G760">
        <v>397.4</v>
      </c>
      <c r="H760">
        <v>633.75</v>
      </c>
      <c r="I760">
        <v>53.98</v>
      </c>
      <c r="J760">
        <v>4.8613</v>
      </c>
    </row>
    <row r="761" spans="2:10" x14ac:dyDescent="0.3">
      <c r="B761" s="10">
        <f t="shared" si="22"/>
        <v>2023</v>
      </c>
      <c r="C761" s="10">
        <f t="shared" si="23"/>
        <v>6</v>
      </c>
      <c r="D761" s="20">
        <v>45086</v>
      </c>
      <c r="E761">
        <v>604.25</v>
      </c>
      <c r="F761">
        <v>1386.5</v>
      </c>
      <c r="G761">
        <v>397.2</v>
      </c>
      <c r="H761">
        <v>630.25</v>
      </c>
      <c r="I761">
        <v>54.59</v>
      </c>
      <c r="J761">
        <v>4.8791000000000002</v>
      </c>
    </row>
    <row r="762" spans="2:10" x14ac:dyDescent="0.3">
      <c r="B762" s="10">
        <f t="shared" si="22"/>
        <v>2023</v>
      </c>
      <c r="C762" s="10">
        <f t="shared" si="23"/>
        <v>6</v>
      </c>
      <c r="D762" s="20">
        <v>45085</v>
      </c>
      <c r="E762">
        <v>610.25</v>
      </c>
      <c r="F762">
        <v>1363.25</v>
      </c>
      <c r="G762">
        <v>404</v>
      </c>
      <c r="H762">
        <v>626.25</v>
      </c>
      <c r="I762">
        <v>52.5</v>
      </c>
      <c r="J762">
        <v>4.9234999999999998</v>
      </c>
    </row>
    <row r="763" spans="2:10" x14ac:dyDescent="0.3">
      <c r="B763" s="10">
        <f t="shared" si="22"/>
        <v>2023</v>
      </c>
      <c r="C763" s="10">
        <f t="shared" si="23"/>
        <v>6</v>
      </c>
      <c r="D763" s="20">
        <v>45084</v>
      </c>
      <c r="E763">
        <v>604.25</v>
      </c>
      <c r="F763">
        <v>1360.75</v>
      </c>
      <c r="G763">
        <v>405.2</v>
      </c>
      <c r="H763">
        <v>616.75</v>
      </c>
      <c r="I763">
        <v>50.47</v>
      </c>
      <c r="J763">
        <v>4.9234999999999998</v>
      </c>
    </row>
    <row r="764" spans="2:10" x14ac:dyDescent="0.3">
      <c r="B764" s="10">
        <f t="shared" si="22"/>
        <v>2023</v>
      </c>
      <c r="C764" s="10">
        <f t="shared" si="23"/>
        <v>6</v>
      </c>
      <c r="D764" s="20">
        <v>45083</v>
      </c>
      <c r="E764">
        <v>608</v>
      </c>
      <c r="F764">
        <v>1353.25</v>
      </c>
      <c r="G764">
        <v>396.7</v>
      </c>
      <c r="H764">
        <v>627.75</v>
      </c>
      <c r="I764">
        <v>50.92</v>
      </c>
      <c r="J764">
        <v>4.9124999999999996</v>
      </c>
    </row>
    <row r="765" spans="2:10" x14ac:dyDescent="0.3">
      <c r="B765" s="10">
        <f t="shared" si="22"/>
        <v>2023</v>
      </c>
      <c r="C765" s="10">
        <f t="shared" si="23"/>
        <v>6</v>
      </c>
      <c r="D765" s="20">
        <v>45082</v>
      </c>
      <c r="E765">
        <v>597.5</v>
      </c>
      <c r="F765">
        <v>1350</v>
      </c>
      <c r="G765">
        <v>401.2</v>
      </c>
      <c r="H765">
        <v>624</v>
      </c>
      <c r="I765">
        <v>49.26</v>
      </c>
      <c r="J765">
        <v>4.9288999999999996</v>
      </c>
    </row>
    <row r="766" spans="2:10" x14ac:dyDescent="0.3">
      <c r="B766" s="10">
        <f t="shared" si="22"/>
        <v>2023</v>
      </c>
      <c r="C766" s="10">
        <f t="shared" si="23"/>
        <v>6</v>
      </c>
      <c r="D766" s="20">
        <v>45079</v>
      </c>
      <c r="E766">
        <v>609</v>
      </c>
      <c r="F766">
        <v>1352.5</v>
      </c>
      <c r="G766">
        <v>397.8</v>
      </c>
      <c r="H766">
        <v>619</v>
      </c>
      <c r="I766">
        <v>49.5</v>
      </c>
      <c r="J766">
        <v>4.9570999999999996</v>
      </c>
    </row>
    <row r="767" spans="2:10" x14ac:dyDescent="0.3">
      <c r="B767" s="10">
        <f t="shared" si="22"/>
        <v>2023</v>
      </c>
      <c r="C767" s="10">
        <f t="shared" si="23"/>
        <v>6</v>
      </c>
      <c r="D767" s="20">
        <v>45078</v>
      </c>
      <c r="E767">
        <v>592.5</v>
      </c>
      <c r="F767">
        <v>1329.5</v>
      </c>
      <c r="G767">
        <v>401.4</v>
      </c>
      <c r="H767">
        <v>610.75</v>
      </c>
      <c r="I767">
        <v>47.86</v>
      </c>
      <c r="J767">
        <v>5.0140000000000002</v>
      </c>
    </row>
    <row r="768" spans="2:10" x14ac:dyDescent="0.3">
      <c r="B768" s="10">
        <f t="shared" si="22"/>
        <v>2023</v>
      </c>
      <c r="C768" s="10">
        <f t="shared" si="23"/>
        <v>5</v>
      </c>
      <c r="D768" s="20">
        <v>45077</v>
      </c>
      <c r="E768">
        <v>594</v>
      </c>
      <c r="F768">
        <v>1299.75</v>
      </c>
      <c r="G768">
        <v>393.4</v>
      </c>
      <c r="H768">
        <v>594.25</v>
      </c>
      <c r="I768">
        <v>46.2</v>
      </c>
      <c r="J768">
        <v>5.0574000000000003</v>
      </c>
    </row>
    <row r="769" spans="2:10" x14ac:dyDescent="0.3">
      <c r="B769" s="10">
        <f t="shared" si="22"/>
        <v>2023</v>
      </c>
      <c r="C769" s="10">
        <f t="shared" si="23"/>
        <v>5</v>
      </c>
      <c r="D769" s="20">
        <v>45076</v>
      </c>
      <c r="E769">
        <v>594</v>
      </c>
      <c r="F769">
        <v>1296.5</v>
      </c>
      <c r="G769">
        <v>392.6</v>
      </c>
      <c r="H769">
        <v>591</v>
      </c>
      <c r="I769">
        <v>46.2</v>
      </c>
      <c r="J769">
        <v>5.0357000000000003</v>
      </c>
    </row>
    <row r="770" spans="2:10" x14ac:dyDescent="0.3">
      <c r="B770" s="10">
        <f t="shared" si="22"/>
        <v>2023</v>
      </c>
      <c r="C770" s="10">
        <f t="shared" si="23"/>
        <v>5</v>
      </c>
      <c r="D770" s="20">
        <v>45075</v>
      </c>
      <c r="J770">
        <v>5.0171000000000001</v>
      </c>
    </row>
    <row r="771" spans="2:10" x14ac:dyDescent="0.3">
      <c r="B771" s="10">
        <f t="shared" si="22"/>
        <v>2023</v>
      </c>
      <c r="C771" s="10">
        <f t="shared" si="23"/>
        <v>5</v>
      </c>
      <c r="D771" s="20">
        <v>45072</v>
      </c>
      <c r="E771">
        <v>604</v>
      </c>
      <c r="F771">
        <v>1337.25</v>
      </c>
      <c r="G771">
        <v>402.2</v>
      </c>
      <c r="H771">
        <v>616</v>
      </c>
      <c r="I771">
        <v>48.82</v>
      </c>
      <c r="J771">
        <v>4.9939</v>
      </c>
    </row>
    <row r="772" spans="2:10" x14ac:dyDescent="0.3">
      <c r="B772" s="10">
        <f t="shared" si="22"/>
        <v>2023</v>
      </c>
      <c r="C772" s="10">
        <f t="shared" si="23"/>
        <v>5</v>
      </c>
      <c r="D772" s="20">
        <v>45071</v>
      </c>
      <c r="E772">
        <v>590.75</v>
      </c>
      <c r="F772">
        <v>1324</v>
      </c>
      <c r="G772">
        <v>397.2</v>
      </c>
      <c r="H772">
        <v>604.25</v>
      </c>
      <c r="I772">
        <v>48.52</v>
      </c>
      <c r="J772">
        <v>5.0355999999999996</v>
      </c>
    </row>
    <row r="773" spans="2:10" x14ac:dyDescent="0.3">
      <c r="B773" s="10">
        <f t="shared" si="22"/>
        <v>2023</v>
      </c>
      <c r="C773" s="10">
        <f t="shared" si="23"/>
        <v>5</v>
      </c>
      <c r="D773" s="20">
        <v>45070</v>
      </c>
      <c r="E773">
        <v>587.25</v>
      </c>
      <c r="F773">
        <v>1324.5</v>
      </c>
      <c r="G773">
        <v>402.2</v>
      </c>
      <c r="H773">
        <v>606.25</v>
      </c>
      <c r="I773">
        <v>48</v>
      </c>
      <c r="J773">
        <v>4.9619</v>
      </c>
    </row>
    <row r="774" spans="2:10" x14ac:dyDescent="0.3">
      <c r="B774" s="10">
        <f t="shared" ref="B774:B837" si="24">YEAR(D774)</f>
        <v>2023</v>
      </c>
      <c r="C774" s="10">
        <f t="shared" ref="C774:C837" si="25">MONTH(D774)</f>
        <v>5</v>
      </c>
      <c r="D774" s="20">
        <v>45069</v>
      </c>
      <c r="E774">
        <v>577.5</v>
      </c>
      <c r="F774">
        <v>1322.5</v>
      </c>
      <c r="G774">
        <v>406.4</v>
      </c>
      <c r="H774">
        <v>622.25</v>
      </c>
      <c r="I774">
        <v>47.76</v>
      </c>
      <c r="J774">
        <v>4.9714</v>
      </c>
    </row>
    <row r="775" spans="2:10" x14ac:dyDescent="0.3">
      <c r="B775" s="10">
        <f t="shared" si="24"/>
        <v>2023</v>
      </c>
      <c r="C775" s="10">
        <f t="shared" si="25"/>
        <v>5</v>
      </c>
      <c r="D775" s="20">
        <v>45068</v>
      </c>
      <c r="E775">
        <v>571</v>
      </c>
      <c r="F775">
        <v>1341.25</v>
      </c>
      <c r="G775">
        <v>412.2</v>
      </c>
      <c r="H775">
        <v>606.25</v>
      </c>
      <c r="I775">
        <v>48.77</v>
      </c>
      <c r="J775">
        <v>4.9667000000000003</v>
      </c>
    </row>
    <row r="776" spans="2:10" x14ac:dyDescent="0.3">
      <c r="B776" s="10">
        <f t="shared" si="24"/>
        <v>2023</v>
      </c>
      <c r="C776" s="10">
        <f t="shared" si="25"/>
        <v>5</v>
      </c>
      <c r="D776" s="20">
        <v>45065</v>
      </c>
      <c r="E776">
        <v>554.5</v>
      </c>
      <c r="F776">
        <v>1307.25</v>
      </c>
      <c r="G776">
        <v>409.1</v>
      </c>
      <c r="H776">
        <v>605</v>
      </c>
      <c r="I776">
        <v>47.27</v>
      </c>
      <c r="J776">
        <v>4.9981</v>
      </c>
    </row>
    <row r="777" spans="2:10" x14ac:dyDescent="0.3">
      <c r="B777" s="10">
        <f t="shared" si="24"/>
        <v>2023</v>
      </c>
      <c r="C777" s="10">
        <f t="shared" si="25"/>
        <v>5</v>
      </c>
      <c r="D777" s="20">
        <v>45064</v>
      </c>
      <c r="E777">
        <v>555.25</v>
      </c>
      <c r="F777">
        <v>1333.25</v>
      </c>
      <c r="G777">
        <v>414.1</v>
      </c>
      <c r="H777">
        <v>611.75</v>
      </c>
      <c r="I777">
        <v>47.29</v>
      </c>
      <c r="J777">
        <v>4.9652000000000003</v>
      </c>
    </row>
    <row r="778" spans="2:10" x14ac:dyDescent="0.3">
      <c r="B778" s="10">
        <f t="shared" si="24"/>
        <v>2023</v>
      </c>
      <c r="C778" s="10">
        <f t="shared" si="25"/>
        <v>5</v>
      </c>
      <c r="D778" s="20">
        <v>45063</v>
      </c>
      <c r="E778">
        <v>561.5</v>
      </c>
      <c r="F778">
        <v>1337</v>
      </c>
      <c r="G778">
        <v>425.3</v>
      </c>
      <c r="H778">
        <v>625.5</v>
      </c>
      <c r="I778">
        <v>46.41</v>
      </c>
      <c r="J778">
        <v>4.9396000000000004</v>
      </c>
    </row>
    <row r="779" spans="2:10" x14ac:dyDescent="0.3">
      <c r="B779" s="10">
        <f t="shared" si="24"/>
        <v>2023</v>
      </c>
      <c r="C779" s="10">
        <f t="shared" si="25"/>
        <v>5</v>
      </c>
      <c r="D779" s="20">
        <v>45062</v>
      </c>
      <c r="E779">
        <v>581.25</v>
      </c>
      <c r="F779">
        <v>1364</v>
      </c>
      <c r="G779">
        <v>426.9</v>
      </c>
      <c r="H779">
        <v>647.5</v>
      </c>
      <c r="I779">
        <v>47.45</v>
      </c>
      <c r="J779">
        <v>4.9401999999999999</v>
      </c>
    </row>
    <row r="780" spans="2:10" x14ac:dyDescent="0.3">
      <c r="B780" s="10">
        <f t="shared" si="24"/>
        <v>2023</v>
      </c>
      <c r="C780" s="10">
        <f t="shared" si="25"/>
        <v>5</v>
      </c>
      <c r="D780" s="20">
        <v>45061</v>
      </c>
      <c r="E780">
        <v>592.5</v>
      </c>
      <c r="F780">
        <v>1400.75</v>
      </c>
      <c r="G780">
        <v>430.9</v>
      </c>
      <c r="H780">
        <v>660.75</v>
      </c>
      <c r="I780">
        <v>49.69</v>
      </c>
      <c r="J780">
        <v>4.8903999999999996</v>
      </c>
    </row>
    <row r="781" spans="2:10" x14ac:dyDescent="0.3">
      <c r="B781" s="10">
        <f t="shared" si="24"/>
        <v>2023</v>
      </c>
      <c r="C781" s="10">
        <f t="shared" si="25"/>
        <v>5</v>
      </c>
      <c r="D781" s="20">
        <v>45058</v>
      </c>
      <c r="E781">
        <v>633.25</v>
      </c>
      <c r="F781">
        <v>1435</v>
      </c>
      <c r="G781">
        <v>428.1</v>
      </c>
      <c r="H781">
        <v>624.5</v>
      </c>
      <c r="I781">
        <v>49.89</v>
      </c>
      <c r="J781">
        <v>4.9195000000000002</v>
      </c>
    </row>
    <row r="782" spans="2:10" x14ac:dyDescent="0.3">
      <c r="B782" s="10">
        <f t="shared" si="24"/>
        <v>2023</v>
      </c>
      <c r="C782" s="10">
        <f t="shared" si="25"/>
        <v>5</v>
      </c>
      <c r="D782" s="20">
        <v>45057</v>
      </c>
      <c r="E782">
        <v>632.5</v>
      </c>
      <c r="F782">
        <v>1443.25</v>
      </c>
      <c r="G782">
        <v>426.6</v>
      </c>
      <c r="H782">
        <v>614.25</v>
      </c>
      <c r="I782">
        <v>50.91</v>
      </c>
      <c r="J782">
        <v>4.9295</v>
      </c>
    </row>
    <row r="783" spans="2:10" x14ac:dyDescent="0.3">
      <c r="B783" s="10">
        <f t="shared" si="24"/>
        <v>2023</v>
      </c>
      <c r="C783" s="10">
        <f t="shared" si="25"/>
        <v>5</v>
      </c>
      <c r="D783" s="20">
        <v>45056</v>
      </c>
      <c r="E783">
        <v>645.5</v>
      </c>
      <c r="F783">
        <v>1436.5</v>
      </c>
      <c r="G783">
        <v>417.9</v>
      </c>
      <c r="H783">
        <v>628.25</v>
      </c>
      <c r="I783">
        <v>51.85</v>
      </c>
      <c r="J783">
        <v>4.9424000000000001</v>
      </c>
    </row>
    <row r="784" spans="2:10" x14ac:dyDescent="0.3">
      <c r="B784" s="10">
        <f t="shared" si="24"/>
        <v>2023</v>
      </c>
      <c r="C784" s="10">
        <f t="shared" si="25"/>
        <v>5</v>
      </c>
      <c r="D784" s="20">
        <v>45055</v>
      </c>
      <c r="E784">
        <v>642.25</v>
      </c>
      <c r="F784">
        <v>1451.75</v>
      </c>
      <c r="G784">
        <v>416.4</v>
      </c>
      <c r="H784">
        <v>630.5</v>
      </c>
      <c r="I784">
        <v>52.72</v>
      </c>
      <c r="J784">
        <v>4.9862000000000002</v>
      </c>
    </row>
    <row r="785" spans="2:10" x14ac:dyDescent="0.3">
      <c r="B785" s="10">
        <f t="shared" si="24"/>
        <v>2023</v>
      </c>
      <c r="C785" s="10">
        <f t="shared" si="25"/>
        <v>5</v>
      </c>
      <c r="D785" s="20">
        <v>45054</v>
      </c>
      <c r="E785">
        <v>656.5</v>
      </c>
      <c r="F785">
        <v>1468.75</v>
      </c>
      <c r="G785">
        <v>425.5</v>
      </c>
      <c r="H785">
        <v>641</v>
      </c>
      <c r="I785">
        <v>53.34</v>
      </c>
      <c r="J785">
        <v>5.0096999999999996</v>
      </c>
    </row>
    <row r="786" spans="2:10" x14ac:dyDescent="0.3">
      <c r="B786" s="10">
        <f t="shared" si="24"/>
        <v>2023</v>
      </c>
      <c r="C786" s="10">
        <f t="shared" si="25"/>
        <v>5</v>
      </c>
      <c r="D786" s="20">
        <v>45051</v>
      </c>
      <c r="E786">
        <v>653.25</v>
      </c>
      <c r="F786">
        <v>1469</v>
      </c>
      <c r="G786">
        <v>428.9</v>
      </c>
      <c r="H786">
        <v>647</v>
      </c>
      <c r="I786">
        <v>54.09</v>
      </c>
      <c r="J786">
        <v>4.9518000000000004</v>
      </c>
    </row>
    <row r="787" spans="2:10" x14ac:dyDescent="0.3">
      <c r="B787" s="10">
        <f t="shared" si="24"/>
        <v>2023</v>
      </c>
      <c r="C787" s="10">
        <f t="shared" si="25"/>
        <v>5</v>
      </c>
      <c r="D787" s="20">
        <v>45050</v>
      </c>
      <c r="E787">
        <v>646.5</v>
      </c>
      <c r="F787">
        <v>1448.5</v>
      </c>
      <c r="G787">
        <v>427.3</v>
      </c>
      <c r="H787">
        <v>631.5</v>
      </c>
      <c r="I787">
        <v>52.27</v>
      </c>
      <c r="J787">
        <v>4.9821999999999997</v>
      </c>
    </row>
    <row r="788" spans="2:10" x14ac:dyDescent="0.3">
      <c r="B788" s="10">
        <f t="shared" si="24"/>
        <v>2023</v>
      </c>
      <c r="C788" s="10">
        <f t="shared" si="25"/>
        <v>5</v>
      </c>
      <c r="D788" s="20">
        <v>45049</v>
      </c>
      <c r="E788">
        <v>645.25</v>
      </c>
      <c r="F788">
        <v>1448</v>
      </c>
      <c r="G788">
        <v>427.8</v>
      </c>
      <c r="H788">
        <v>626.25</v>
      </c>
      <c r="I788">
        <v>52.37</v>
      </c>
      <c r="J788">
        <v>4.9949000000000003</v>
      </c>
    </row>
    <row r="789" spans="2:10" x14ac:dyDescent="0.3">
      <c r="B789" s="10">
        <f t="shared" si="24"/>
        <v>2023</v>
      </c>
      <c r="C789" s="10">
        <f t="shared" si="25"/>
        <v>5</v>
      </c>
      <c r="D789" s="20">
        <v>45048</v>
      </c>
      <c r="E789">
        <v>638</v>
      </c>
      <c r="F789">
        <v>1439.5</v>
      </c>
      <c r="G789">
        <v>429.8</v>
      </c>
      <c r="H789">
        <v>595.5</v>
      </c>
      <c r="I789">
        <v>51.39</v>
      </c>
      <c r="J789">
        <v>5.0387000000000004</v>
      </c>
    </row>
    <row r="790" spans="2:10" x14ac:dyDescent="0.3">
      <c r="B790" s="10">
        <f t="shared" si="24"/>
        <v>2023</v>
      </c>
      <c r="C790" s="10">
        <f t="shared" si="25"/>
        <v>5</v>
      </c>
      <c r="D790" s="20">
        <v>45047</v>
      </c>
      <c r="E790">
        <v>639.5</v>
      </c>
      <c r="F790">
        <v>1454.75</v>
      </c>
      <c r="G790">
        <v>435.3</v>
      </c>
      <c r="H790">
        <v>603.75</v>
      </c>
      <c r="I790">
        <v>51.55</v>
      </c>
      <c r="J790">
        <v>4.9889000000000001</v>
      </c>
    </row>
    <row r="791" spans="2:10" x14ac:dyDescent="0.3">
      <c r="B791" s="10">
        <f t="shared" si="24"/>
        <v>2023</v>
      </c>
      <c r="C791" s="10">
        <f t="shared" si="25"/>
        <v>4</v>
      </c>
      <c r="D791" s="20">
        <v>45044</v>
      </c>
      <c r="E791">
        <v>636</v>
      </c>
      <c r="F791">
        <v>1444.25</v>
      </c>
      <c r="G791">
        <v>435.3</v>
      </c>
      <c r="H791">
        <v>619.75</v>
      </c>
      <c r="I791">
        <v>51.61</v>
      </c>
      <c r="J791">
        <v>4.9865000000000004</v>
      </c>
    </row>
    <row r="792" spans="2:10" x14ac:dyDescent="0.3">
      <c r="B792" s="10">
        <f t="shared" si="24"/>
        <v>2023</v>
      </c>
      <c r="C792" s="10">
        <f t="shared" si="25"/>
        <v>4</v>
      </c>
      <c r="D792" s="20">
        <v>45043</v>
      </c>
      <c r="E792">
        <v>627</v>
      </c>
      <c r="F792">
        <v>1426.75</v>
      </c>
      <c r="G792">
        <v>427.9</v>
      </c>
      <c r="H792">
        <v>614.75</v>
      </c>
      <c r="I792">
        <v>50.78</v>
      </c>
      <c r="J792">
        <v>4.9771000000000001</v>
      </c>
    </row>
    <row r="793" spans="2:10" x14ac:dyDescent="0.3">
      <c r="B793" s="10">
        <f t="shared" si="24"/>
        <v>2023</v>
      </c>
      <c r="C793" s="10">
        <f t="shared" si="25"/>
        <v>4</v>
      </c>
      <c r="D793" s="20">
        <v>45042</v>
      </c>
      <c r="E793">
        <v>641.5</v>
      </c>
      <c r="F793">
        <v>1436</v>
      </c>
      <c r="G793">
        <v>426</v>
      </c>
      <c r="H793">
        <v>627.25</v>
      </c>
      <c r="I793">
        <v>52.08</v>
      </c>
      <c r="J793">
        <v>5.0434999999999999</v>
      </c>
    </row>
    <row r="794" spans="2:10" x14ac:dyDescent="0.3">
      <c r="B794" s="10">
        <f t="shared" si="24"/>
        <v>2023</v>
      </c>
      <c r="C794" s="10">
        <f t="shared" si="25"/>
        <v>4</v>
      </c>
      <c r="D794" s="20">
        <v>45041</v>
      </c>
      <c r="E794">
        <v>646.5</v>
      </c>
      <c r="F794">
        <v>1445.25</v>
      </c>
      <c r="G794">
        <v>434.8</v>
      </c>
      <c r="H794">
        <v>638.75</v>
      </c>
      <c r="I794">
        <v>51.71</v>
      </c>
      <c r="J794">
        <v>5.0496999999999996</v>
      </c>
    </row>
    <row r="795" spans="2:10" x14ac:dyDescent="0.3">
      <c r="B795" s="10">
        <f t="shared" si="24"/>
        <v>2023</v>
      </c>
      <c r="C795" s="10">
        <f t="shared" si="25"/>
        <v>4</v>
      </c>
      <c r="D795" s="20">
        <v>45040</v>
      </c>
      <c r="E795">
        <v>651.25</v>
      </c>
      <c r="F795">
        <v>1465.25</v>
      </c>
      <c r="G795">
        <v>439.5</v>
      </c>
      <c r="H795">
        <v>643.5</v>
      </c>
      <c r="I795">
        <v>52.56</v>
      </c>
      <c r="J795">
        <v>5.0336999999999996</v>
      </c>
    </row>
    <row r="796" spans="2:10" x14ac:dyDescent="0.3">
      <c r="B796" s="10">
        <f t="shared" si="24"/>
        <v>2023</v>
      </c>
      <c r="C796" s="10">
        <f t="shared" si="25"/>
        <v>4</v>
      </c>
      <c r="D796" s="20">
        <v>45037</v>
      </c>
      <c r="E796">
        <v>663.25</v>
      </c>
      <c r="F796">
        <v>1483.5</v>
      </c>
      <c r="G796">
        <v>445.7</v>
      </c>
      <c r="H796">
        <v>661.75</v>
      </c>
      <c r="I796">
        <v>53.4</v>
      </c>
      <c r="J796">
        <v>5.0486000000000004</v>
      </c>
    </row>
    <row r="797" spans="2:10" x14ac:dyDescent="0.3">
      <c r="B797" s="10">
        <f t="shared" si="24"/>
        <v>2023</v>
      </c>
      <c r="C797" s="10">
        <f t="shared" si="25"/>
        <v>4</v>
      </c>
      <c r="D797" s="20">
        <v>45036</v>
      </c>
      <c r="E797">
        <v>663.75</v>
      </c>
      <c r="F797">
        <v>1497.5</v>
      </c>
      <c r="G797">
        <v>451.3</v>
      </c>
      <c r="H797">
        <v>667.75</v>
      </c>
      <c r="I797">
        <v>54.43</v>
      </c>
      <c r="J797">
        <v>5.0486000000000004</v>
      </c>
    </row>
    <row r="798" spans="2:10" x14ac:dyDescent="0.3">
      <c r="B798" s="10">
        <f t="shared" si="24"/>
        <v>2023</v>
      </c>
      <c r="C798" s="10">
        <f t="shared" si="25"/>
        <v>4</v>
      </c>
      <c r="D798" s="20">
        <v>45035</v>
      </c>
      <c r="E798">
        <v>672.25</v>
      </c>
      <c r="F798">
        <v>1506.5</v>
      </c>
      <c r="G798">
        <v>454.4</v>
      </c>
      <c r="H798">
        <v>681.75</v>
      </c>
      <c r="I798">
        <v>55.02</v>
      </c>
      <c r="J798">
        <v>5.0753000000000004</v>
      </c>
    </row>
    <row r="799" spans="2:10" x14ac:dyDescent="0.3">
      <c r="B799" s="10">
        <f t="shared" si="24"/>
        <v>2023</v>
      </c>
      <c r="C799" s="10">
        <f t="shared" si="25"/>
        <v>4</v>
      </c>
      <c r="D799" s="20">
        <v>45034</v>
      </c>
      <c r="E799">
        <v>677.5</v>
      </c>
      <c r="F799">
        <v>1519.25</v>
      </c>
      <c r="G799">
        <v>461.1</v>
      </c>
      <c r="H799">
        <v>698</v>
      </c>
      <c r="I799">
        <v>55.36</v>
      </c>
      <c r="J799">
        <v>4.984</v>
      </c>
    </row>
    <row r="800" spans="2:10" x14ac:dyDescent="0.3">
      <c r="B800" s="10">
        <f t="shared" si="24"/>
        <v>2023</v>
      </c>
      <c r="C800" s="10">
        <f t="shared" si="25"/>
        <v>4</v>
      </c>
      <c r="D800" s="20">
        <v>45033</v>
      </c>
      <c r="E800">
        <v>676.5</v>
      </c>
      <c r="F800">
        <v>1517</v>
      </c>
      <c r="G800">
        <v>465.7</v>
      </c>
      <c r="H800">
        <v>696.5</v>
      </c>
      <c r="I800">
        <v>54.57</v>
      </c>
      <c r="J800">
        <v>4.9413</v>
      </c>
    </row>
    <row r="801" spans="2:10" x14ac:dyDescent="0.3">
      <c r="B801" s="10">
        <f t="shared" si="24"/>
        <v>2023</v>
      </c>
      <c r="C801" s="10">
        <f t="shared" si="25"/>
        <v>4</v>
      </c>
      <c r="D801" s="20">
        <v>45030</v>
      </c>
      <c r="E801">
        <v>666.25</v>
      </c>
      <c r="F801">
        <v>1500.5</v>
      </c>
      <c r="G801">
        <v>459.7</v>
      </c>
      <c r="H801">
        <v>682.5</v>
      </c>
      <c r="I801">
        <v>53.66</v>
      </c>
      <c r="J801">
        <v>4.9096000000000002</v>
      </c>
    </row>
    <row r="802" spans="2:10" x14ac:dyDescent="0.3">
      <c r="B802" s="10">
        <f t="shared" si="24"/>
        <v>2023</v>
      </c>
      <c r="C802" s="10">
        <f t="shared" si="25"/>
        <v>4</v>
      </c>
      <c r="D802" s="20">
        <v>45029</v>
      </c>
      <c r="E802">
        <v>652.25</v>
      </c>
      <c r="F802">
        <v>1501</v>
      </c>
      <c r="G802">
        <v>463.6</v>
      </c>
      <c r="H802">
        <v>667</v>
      </c>
      <c r="I802">
        <v>53.72</v>
      </c>
      <c r="J802">
        <v>4.9272</v>
      </c>
    </row>
    <row r="803" spans="2:10" x14ac:dyDescent="0.3">
      <c r="B803" s="10">
        <f t="shared" si="24"/>
        <v>2023</v>
      </c>
      <c r="C803" s="10">
        <f t="shared" si="25"/>
        <v>4</v>
      </c>
      <c r="D803" s="20">
        <v>45028</v>
      </c>
      <c r="E803">
        <v>656</v>
      </c>
      <c r="F803">
        <v>1504.25</v>
      </c>
      <c r="G803">
        <v>460.2</v>
      </c>
      <c r="H803">
        <v>679.5</v>
      </c>
      <c r="I803">
        <v>54</v>
      </c>
      <c r="J803">
        <v>4.9180999999999999</v>
      </c>
    </row>
    <row r="804" spans="2:10" x14ac:dyDescent="0.3">
      <c r="B804" s="10">
        <f t="shared" si="24"/>
        <v>2023</v>
      </c>
      <c r="C804" s="10">
        <f t="shared" si="25"/>
        <v>4</v>
      </c>
      <c r="D804" s="20">
        <v>45027</v>
      </c>
      <c r="E804">
        <v>651</v>
      </c>
      <c r="F804">
        <v>1497.25</v>
      </c>
      <c r="G804">
        <v>457.8</v>
      </c>
      <c r="H804">
        <v>674</v>
      </c>
      <c r="I804">
        <v>54.89</v>
      </c>
      <c r="J804">
        <v>5.0053999999999998</v>
      </c>
    </row>
    <row r="805" spans="2:10" x14ac:dyDescent="0.3">
      <c r="B805" s="10">
        <f t="shared" si="24"/>
        <v>2023</v>
      </c>
      <c r="C805" s="10">
        <f t="shared" si="25"/>
        <v>4</v>
      </c>
      <c r="D805" s="20">
        <v>45026</v>
      </c>
      <c r="E805">
        <v>654</v>
      </c>
      <c r="F805">
        <v>1487.25</v>
      </c>
      <c r="G805">
        <v>450.7</v>
      </c>
      <c r="H805">
        <v>678.5</v>
      </c>
      <c r="I805">
        <v>54.48</v>
      </c>
      <c r="J805">
        <v>5.0655000000000001</v>
      </c>
    </row>
    <row r="806" spans="2:10" x14ac:dyDescent="0.3">
      <c r="B806" s="10">
        <f t="shared" si="24"/>
        <v>2023</v>
      </c>
      <c r="C806" s="10">
        <f t="shared" si="25"/>
        <v>4</v>
      </c>
      <c r="D806" s="20">
        <v>45023</v>
      </c>
      <c r="E806">
        <v>643.5</v>
      </c>
      <c r="F806">
        <v>1492.5</v>
      </c>
      <c r="G806">
        <v>454.3</v>
      </c>
      <c r="H806">
        <v>675.5</v>
      </c>
      <c r="I806">
        <v>54.53</v>
      </c>
      <c r="J806">
        <v>5.0548999999999999</v>
      </c>
    </row>
    <row r="807" spans="2:10" x14ac:dyDescent="0.3">
      <c r="B807" s="10">
        <f t="shared" si="24"/>
        <v>2023</v>
      </c>
      <c r="C807" s="10">
        <f t="shared" si="25"/>
        <v>4</v>
      </c>
      <c r="D807" s="20">
        <v>45022</v>
      </c>
      <c r="E807">
        <v>643.5</v>
      </c>
      <c r="F807">
        <v>1492.5</v>
      </c>
      <c r="G807">
        <v>454.3</v>
      </c>
      <c r="H807">
        <v>675.5</v>
      </c>
      <c r="I807">
        <v>54.53</v>
      </c>
      <c r="J807">
        <v>5.0570000000000004</v>
      </c>
    </row>
    <row r="808" spans="2:10" x14ac:dyDescent="0.3">
      <c r="B808" s="10">
        <f t="shared" si="24"/>
        <v>2023</v>
      </c>
      <c r="C808" s="10">
        <f t="shared" si="25"/>
        <v>4</v>
      </c>
      <c r="D808" s="20">
        <v>45021</v>
      </c>
      <c r="E808">
        <v>652.75</v>
      </c>
      <c r="F808">
        <v>1511</v>
      </c>
      <c r="G808">
        <v>450.6</v>
      </c>
      <c r="H808">
        <v>682</v>
      </c>
      <c r="I808">
        <v>55.22</v>
      </c>
      <c r="J808">
        <v>5.0339999999999998</v>
      </c>
    </row>
    <row r="809" spans="2:10" x14ac:dyDescent="0.3">
      <c r="B809" s="10">
        <f t="shared" si="24"/>
        <v>2023</v>
      </c>
      <c r="C809" s="10">
        <f t="shared" si="25"/>
        <v>4</v>
      </c>
      <c r="D809" s="20">
        <v>45020</v>
      </c>
      <c r="E809">
        <v>653.75</v>
      </c>
      <c r="F809">
        <v>1517.5</v>
      </c>
      <c r="G809">
        <v>457.4</v>
      </c>
      <c r="H809">
        <v>691.5</v>
      </c>
      <c r="I809">
        <v>55.74</v>
      </c>
      <c r="J809">
        <v>5.0716000000000001</v>
      </c>
    </row>
    <row r="810" spans="2:10" x14ac:dyDescent="0.3">
      <c r="B810" s="10">
        <f t="shared" si="24"/>
        <v>2023</v>
      </c>
      <c r="C810" s="10">
        <f t="shared" si="25"/>
        <v>4</v>
      </c>
      <c r="D810" s="20">
        <v>45019</v>
      </c>
      <c r="E810">
        <v>657.75</v>
      </c>
      <c r="F810">
        <v>1522</v>
      </c>
      <c r="G810">
        <v>464.2</v>
      </c>
      <c r="H810">
        <v>693.5</v>
      </c>
      <c r="I810">
        <v>56.68</v>
      </c>
      <c r="J810">
        <v>5.0632000000000001</v>
      </c>
    </row>
    <row r="811" spans="2:10" x14ac:dyDescent="0.3">
      <c r="B811" s="10">
        <f t="shared" si="24"/>
        <v>2023</v>
      </c>
      <c r="C811" s="10">
        <f t="shared" si="25"/>
        <v>3</v>
      </c>
      <c r="D811" s="20">
        <v>45016</v>
      </c>
      <c r="E811">
        <v>660.5</v>
      </c>
      <c r="F811">
        <v>1505.5</v>
      </c>
      <c r="G811">
        <v>466</v>
      </c>
      <c r="H811">
        <v>692.25</v>
      </c>
      <c r="I811">
        <v>55.49</v>
      </c>
      <c r="J811">
        <v>5.0631000000000004</v>
      </c>
    </row>
    <row r="812" spans="2:10" x14ac:dyDescent="0.3">
      <c r="B812" s="10">
        <f t="shared" si="24"/>
        <v>2023</v>
      </c>
      <c r="C812" s="10">
        <f t="shared" si="25"/>
        <v>3</v>
      </c>
      <c r="D812" s="20">
        <v>45015</v>
      </c>
      <c r="E812">
        <v>649.5</v>
      </c>
      <c r="F812">
        <v>1474.5</v>
      </c>
      <c r="G812">
        <v>459.9</v>
      </c>
      <c r="H812">
        <v>692.25</v>
      </c>
      <c r="I812">
        <v>54.37</v>
      </c>
      <c r="J812">
        <v>5.0937999999999999</v>
      </c>
    </row>
    <row r="813" spans="2:10" x14ac:dyDescent="0.3">
      <c r="B813" s="10">
        <f t="shared" si="24"/>
        <v>2023</v>
      </c>
      <c r="C813" s="10">
        <f t="shared" si="25"/>
        <v>3</v>
      </c>
      <c r="D813" s="20">
        <v>45014</v>
      </c>
      <c r="E813">
        <v>650.5</v>
      </c>
      <c r="F813">
        <v>1477.25</v>
      </c>
      <c r="G813">
        <v>458.2</v>
      </c>
      <c r="H813">
        <v>704.75</v>
      </c>
      <c r="I813">
        <v>55.38</v>
      </c>
      <c r="J813">
        <v>5.1356000000000002</v>
      </c>
    </row>
    <row r="814" spans="2:10" x14ac:dyDescent="0.3">
      <c r="B814" s="10">
        <f t="shared" si="24"/>
        <v>2023</v>
      </c>
      <c r="C814" s="10">
        <f t="shared" si="25"/>
        <v>3</v>
      </c>
      <c r="D814" s="20">
        <v>45013</v>
      </c>
      <c r="E814">
        <v>647.25</v>
      </c>
      <c r="F814">
        <v>1467.75</v>
      </c>
      <c r="G814">
        <v>457.9</v>
      </c>
      <c r="H814">
        <v>699.75</v>
      </c>
      <c r="I814">
        <v>55.05</v>
      </c>
      <c r="J814">
        <v>5.1654999999999998</v>
      </c>
    </row>
    <row r="815" spans="2:10" x14ac:dyDescent="0.3">
      <c r="B815" s="10">
        <f t="shared" si="24"/>
        <v>2023</v>
      </c>
      <c r="C815" s="10">
        <f t="shared" si="25"/>
        <v>3</v>
      </c>
      <c r="D815" s="20">
        <v>45012</v>
      </c>
      <c r="E815">
        <v>648.25</v>
      </c>
      <c r="F815">
        <v>1442.25</v>
      </c>
      <c r="G815">
        <v>446</v>
      </c>
      <c r="H815">
        <v>698</v>
      </c>
      <c r="I815">
        <v>54.55</v>
      </c>
      <c r="J815">
        <v>5.1982999999999997</v>
      </c>
    </row>
    <row r="816" spans="2:10" x14ac:dyDescent="0.3">
      <c r="B816" s="10">
        <f t="shared" si="24"/>
        <v>2023</v>
      </c>
      <c r="C816" s="10">
        <f t="shared" si="25"/>
        <v>3</v>
      </c>
      <c r="D816" s="20">
        <v>45009</v>
      </c>
      <c r="E816">
        <v>643</v>
      </c>
      <c r="F816">
        <v>1428.25</v>
      </c>
      <c r="G816">
        <v>445.1</v>
      </c>
      <c r="H816">
        <v>688.5</v>
      </c>
      <c r="I816">
        <v>53.27</v>
      </c>
      <c r="J816">
        <v>5.2462999999999997</v>
      </c>
    </row>
    <row r="817" spans="2:10" x14ac:dyDescent="0.3">
      <c r="B817" s="10">
        <f t="shared" si="24"/>
        <v>2023</v>
      </c>
      <c r="C817" s="10">
        <f t="shared" si="25"/>
        <v>3</v>
      </c>
      <c r="D817" s="20">
        <v>45008</v>
      </c>
      <c r="E817">
        <v>631.75</v>
      </c>
      <c r="F817">
        <v>1419.5</v>
      </c>
      <c r="G817">
        <v>438.3</v>
      </c>
      <c r="H817">
        <v>662</v>
      </c>
      <c r="I817">
        <v>52.17</v>
      </c>
      <c r="J817">
        <v>5.2972999999999999</v>
      </c>
    </row>
    <row r="818" spans="2:10" x14ac:dyDescent="0.3">
      <c r="B818" s="10">
        <f t="shared" si="24"/>
        <v>2023</v>
      </c>
      <c r="C818" s="10">
        <f t="shared" si="25"/>
        <v>3</v>
      </c>
      <c r="D818" s="20">
        <v>45007</v>
      </c>
      <c r="E818">
        <v>633.5</v>
      </c>
      <c r="F818">
        <v>1448.5</v>
      </c>
      <c r="G818">
        <v>451.6</v>
      </c>
      <c r="H818">
        <v>663.5</v>
      </c>
      <c r="I818">
        <v>54.64</v>
      </c>
      <c r="J818">
        <v>5.2369000000000003</v>
      </c>
    </row>
    <row r="819" spans="2:10" x14ac:dyDescent="0.3">
      <c r="B819" s="10">
        <f t="shared" si="24"/>
        <v>2023</v>
      </c>
      <c r="C819" s="10">
        <f t="shared" si="25"/>
        <v>3</v>
      </c>
      <c r="D819" s="20">
        <v>45006</v>
      </c>
      <c r="E819">
        <v>630</v>
      </c>
      <c r="F819">
        <v>1467</v>
      </c>
      <c r="G819">
        <v>460.6</v>
      </c>
      <c r="H819">
        <v>683.25</v>
      </c>
      <c r="I819">
        <v>56.24</v>
      </c>
      <c r="J819">
        <v>5.2430000000000003</v>
      </c>
    </row>
    <row r="820" spans="2:10" x14ac:dyDescent="0.3">
      <c r="B820" s="10">
        <f t="shared" si="24"/>
        <v>2023</v>
      </c>
      <c r="C820" s="10">
        <f t="shared" si="25"/>
        <v>3</v>
      </c>
      <c r="D820" s="20">
        <v>45005</v>
      </c>
      <c r="E820">
        <v>633</v>
      </c>
      <c r="F820">
        <v>1486</v>
      </c>
      <c r="G820">
        <v>462.7</v>
      </c>
      <c r="H820">
        <v>700.75</v>
      </c>
      <c r="I820">
        <v>57.99</v>
      </c>
      <c r="J820">
        <v>5.2367999999999997</v>
      </c>
    </row>
    <row r="821" spans="2:10" x14ac:dyDescent="0.3">
      <c r="B821" s="10">
        <f t="shared" si="24"/>
        <v>2023</v>
      </c>
      <c r="C821" s="10">
        <f t="shared" si="25"/>
        <v>3</v>
      </c>
      <c r="D821" s="20">
        <v>45002</v>
      </c>
      <c r="E821">
        <v>634.25</v>
      </c>
      <c r="F821">
        <v>1476.5</v>
      </c>
      <c r="G821">
        <v>466</v>
      </c>
      <c r="H821">
        <v>710.5</v>
      </c>
      <c r="I821">
        <v>57.46</v>
      </c>
      <c r="J821">
        <v>5.2778</v>
      </c>
    </row>
    <row r="822" spans="2:10" x14ac:dyDescent="0.3">
      <c r="B822" s="10">
        <f t="shared" si="24"/>
        <v>2023</v>
      </c>
      <c r="C822" s="10">
        <f t="shared" si="25"/>
        <v>3</v>
      </c>
      <c r="D822" s="20">
        <v>45001</v>
      </c>
      <c r="E822">
        <v>632.75</v>
      </c>
      <c r="F822">
        <v>1491.5</v>
      </c>
      <c r="G822">
        <v>474</v>
      </c>
      <c r="H822">
        <v>699</v>
      </c>
      <c r="I822">
        <v>57.73</v>
      </c>
      <c r="J822">
        <v>5.2285000000000004</v>
      </c>
    </row>
    <row r="823" spans="2:10" x14ac:dyDescent="0.3">
      <c r="B823" s="10">
        <f t="shared" si="24"/>
        <v>2023</v>
      </c>
      <c r="C823" s="10">
        <f t="shared" si="25"/>
        <v>3</v>
      </c>
      <c r="D823" s="20">
        <v>45000</v>
      </c>
      <c r="E823">
        <v>626.5</v>
      </c>
      <c r="F823">
        <v>1489.25</v>
      </c>
      <c r="G823">
        <v>478.4</v>
      </c>
      <c r="H823">
        <v>702.75</v>
      </c>
      <c r="I823">
        <v>56.34</v>
      </c>
      <c r="J823">
        <v>5.2881999999999998</v>
      </c>
    </row>
    <row r="824" spans="2:10" x14ac:dyDescent="0.3">
      <c r="B824" s="10">
        <f t="shared" si="24"/>
        <v>2023</v>
      </c>
      <c r="C824" s="10">
        <f t="shared" si="25"/>
        <v>3</v>
      </c>
      <c r="D824" s="20">
        <v>44999</v>
      </c>
      <c r="E824">
        <v>627.5</v>
      </c>
      <c r="F824">
        <v>1499.75</v>
      </c>
      <c r="G824">
        <v>492.2</v>
      </c>
      <c r="H824">
        <v>686.5</v>
      </c>
      <c r="I824">
        <v>55.84</v>
      </c>
      <c r="J824">
        <v>5.2542999999999997</v>
      </c>
    </row>
    <row r="825" spans="2:10" x14ac:dyDescent="0.3">
      <c r="B825" s="10">
        <f t="shared" si="24"/>
        <v>2023</v>
      </c>
      <c r="C825" s="10">
        <f t="shared" si="25"/>
        <v>3</v>
      </c>
      <c r="D825" s="20">
        <v>44998</v>
      </c>
      <c r="E825">
        <v>624.5</v>
      </c>
      <c r="F825">
        <v>1500</v>
      </c>
      <c r="G825">
        <v>492.2</v>
      </c>
      <c r="H825">
        <v>672.25</v>
      </c>
      <c r="I825">
        <v>55.34</v>
      </c>
      <c r="J825">
        <v>5.2458999999999998</v>
      </c>
    </row>
    <row r="826" spans="2:10" x14ac:dyDescent="0.3">
      <c r="B826" s="10">
        <f t="shared" si="24"/>
        <v>2023</v>
      </c>
      <c r="C826" s="10">
        <f t="shared" si="25"/>
        <v>3</v>
      </c>
      <c r="D826" s="20">
        <v>44995</v>
      </c>
      <c r="E826">
        <v>624.25</v>
      </c>
      <c r="F826">
        <v>1513</v>
      </c>
      <c r="G826">
        <v>498.8</v>
      </c>
      <c r="H826">
        <v>666.75</v>
      </c>
      <c r="I826">
        <v>56.1</v>
      </c>
      <c r="J826">
        <v>5.2165999999999997</v>
      </c>
    </row>
    <row r="827" spans="2:10" x14ac:dyDescent="0.3">
      <c r="B827" s="10">
        <f t="shared" si="24"/>
        <v>2023</v>
      </c>
      <c r="C827" s="10">
        <f t="shared" si="25"/>
        <v>3</v>
      </c>
      <c r="D827" s="20">
        <v>44994</v>
      </c>
      <c r="E827">
        <v>618.5</v>
      </c>
      <c r="F827">
        <v>1520</v>
      </c>
      <c r="G827">
        <v>498.9</v>
      </c>
      <c r="H827">
        <v>653.5</v>
      </c>
      <c r="I827">
        <v>56.57</v>
      </c>
      <c r="J827">
        <v>5.1645000000000003</v>
      </c>
    </row>
    <row r="828" spans="2:10" x14ac:dyDescent="0.3">
      <c r="B828" s="10">
        <f t="shared" si="24"/>
        <v>2023</v>
      </c>
      <c r="C828" s="10">
        <f t="shared" si="25"/>
        <v>3</v>
      </c>
      <c r="D828" s="20">
        <v>44993</v>
      </c>
      <c r="E828">
        <v>634.5</v>
      </c>
      <c r="F828">
        <v>1526.75</v>
      </c>
      <c r="G828">
        <v>498.4</v>
      </c>
      <c r="H828">
        <v>674.5</v>
      </c>
      <c r="I828">
        <v>58.49</v>
      </c>
      <c r="J828">
        <v>5.1452999999999998</v>
      </c>
    </row>
    <row r="829" spans="2:10" x14ac:dyDescent="0.3">
      <c r="B829" s="10">
        <f t="shared" si="24"/>
        <v>2023</v>
      </c>
      <c r="C829" s="10">
        <f t="shared" si="25"/>
        <v>3</v>
      </c>
      <c r="D829" s="20">
        <v>44992</v>
      </c>
      <c r="E829">
        <v>642</v>
      </c>
      <c r="F829">
        <v>1525.25</v>
      </c>
      <c r="G829">
        <v>501.5</v>
      </c>
      <c r="H829">
        <v>684.75</v>
      </c>
      <c r="I829">
        <v>58.16</v>
      </c>
      <c r="J829">
        <v>5.1909999999999998</v>
      </c>
    </row>
    <row r="830" spans="2:10" x14ac:dyDescent="0.3">
      <c r="B830" s="10">
        <f t="shared" si="24"/>
        <v>2023</v>
      </c>
      <c r="C830" s="10">
        <f t="shared" si="25"/>
        <v>3</v>
      </c>
      <c r="D830" s="20">
        <v>44991</v>
      </c>
      <c r="E830">
        <v>644.5</v>
      </c>
      <c r="F830">
        <v>1541</v>
      </c>
      <c r="G830">
        <v>507.9</v>
      </c>
      <c r="H830">
        <v>682.5</v>
      </c>
      <c r="I830">
        <v>59.88</v>
      </c>
      <c r="J830">
        <v>5.1534000000000004</v>
      </c>
    </row>
    <row r="831" spans="2:10" x14ac:dyDescent="0.3">
      <c r="B831" s="10">
        <f t="shared" si="24"/>
        <v>2023</v>
      </c>
      <c r="C831" s="10">
        <f t="shared" si="25"/>
        <v>3</v>
      </c>
      <c r="D831" s="20">
        <v>44988</v>
      </c>
      <c r="E831">
        <v>645.25</v>
      </c>
      <c r="F831">
        <v>1530.5</v>
      </c>
      <c r="G831">
        <v>498.1</v>
      </c>
      <c r="H831">
        <v>695.75</v>
      </c>
      <c r="I831">
        <v>60.61</v>
      </c>
      <c r="J831">
        <v>5.1955999999999998</v>
      </c>
    </row>
    <row r="832" spans="2:10" x14ac:dyDescent="0.3">
      <c r="B832" s="10">
        <f t="shared" si="24"/>
        <v>2023</v>
      </c>
      <c r="C832" s="10">
        <f t="shared" si="25"/>
        <v>3</v>
      </c>
      <c r="D832" s="20">
        <v>44987</v>
      </c>
      <c r="E832">
        <v>637.75</v>
      </c>
      <c r="F832">
        <v>1519.75</v>
      </c>
      <c r="G832">
        <v>489.3</v>
      </c>
      <c r="H832">
        <v>701.25</v>
      </c>
      <c r="I832">
        <v>61.39</v>
      </c>
      <c r="J832">
        <v>5.2005999999999997</v>
      </c>
    </row>
    <row r="833" spans="2:10" x14ac:dyDescent="0.3">
      <c r="B833" s="10">
        <f t="shared" si="24"/>
        <v>2023</v>
      </c>
      <c r="C833" s="10">
        <f t="shared" si="25"/>
        <v>3</v>
      </c>
      <c r="D833" s="20">
        <v>44986</v>
      </c>
      <c r="E833">
        <v>640.5</v>
      </c>
      <c r="F833">
        <v>1504.25</v>
      </c>
      <c r="G833">
        <v>490.4</v>
      </c>
      <c r="H833">
        <v>697</v>
      </c>
      <c r="I833">
        <v>60.54</v>
      </c>
      <c r="J833">
        <v>5.1794000000000002</v>
      </c>
    </row>
    <row r="834" spans="2:10" x14ac:dyDescent="0.3">
      <c r="B834" s="10">
        <f t="shared" si="24"/>
        <v>2023</v>
      </c>
      <c r="C834" s="10">
        <f t="shared" si="25"/>
        <v>2</v>
      </c>
      <c r="D834" s="20">
        <v>44985</v>
      </c>
      <c r="E834">
        <v>629.5</v>
      </c>
      <c r="F834">
        <v>1490.5</v>
      </c>
      <c r="G834">
        <v>487.6</v>
      </c>
      <c r="H834">
        <v>691.5</v>
      </c>
      <c r="I834">
        <v>59.75</v>
      </c>
      <c r="J834">
        <v>5.2366999999999999</v>
      </c>
    </row>
    <row r="835" spans="2:10" x14ac:dyDescent="0.3">
      <c r="B835" s="10">
        <f t="shared" si="24"/>
        <v>2023</v>
      </c>
      <c r="C835" s="10">
        <f t="shared" si="25"/>
        <v>2</v>
      </c>
      <c r="D835" s="20">
        <v>44984</v>
      </c>
      <c r="E835">
        <v>642.75</v>
      </c>
      <c r="F835">
        <v>1518.25</v>
      </c>
      <c r="G835">
        <v>498.7</v>
      </c>
      <c r="H835">
        <v>696</v>
      </c>
      <c r="I835">
        <v>60.04</v>
      </c>
      <c r="J835">
        <v>5.2008000000000001</v>
      </c>
    </row>
    <row r="836" spans="2:10" x14ac:dyDescent="0.3">
      <c r="B836" s="10">
        <f t="shared" si="24"/>
        <v>2023</v>
      </c>
      <c r="C836" s="10">
        <f t="shared" si="25"/>
        <v>2</v>
      </c>
      <c r="D836" s="20">
        <v>44981</v>
      </c>
      <c r="E836">
        <v>650</v>
      </c>
      <c r="F836">
        <v>1529</v>
      </c>
      <c r="G836">
        <v>497.1</v>
      </c>
      <c r="H836">
        <v>708.25</v>
      </c>
      <c r="I836">
        <v>61.11</v>
      </c>
      <c r="J836">
        <v>5.21</v>
      </c>
    </row>
    <row r="837" spans="2:10" x14ac:dyDescent="0.3">
      <c r="B837" s="10">
        <f t="shared" si="24"/>
        <v>2023</v>
      </c>
      <c r="C837" s="10">
        <f t="shared" si="25"/>
        <v>2</v>
      </c>
      <c r="D837" s="20">
        <v>44980</v>
      </c>
      <c r="E837">
        <v>660.25</v>
      </c>
      <c r="F837">
        <v>1534.25</v>
      </c>
      <c r="G837">
        <v>493.1</v>
      </c>
      <c r="H837">
        <v>738.25</v>
      </c>
      <c r="I837">
        <v>62.04</v>
      </c>
      <c r="J837">
        <v>5.1372999999999998</v>
      </c>
    </row>
    <row r="838" spans="2:10" x14ac:dyDescent="0.3">
      <c r="B838" s="10">
        <f t="shared" ref="B838:B901" si="26">YEAR(D838)</f>
        <v>2023</v>
      </c>
      <c r="C838" s="10">
        <f t="shared" ref="C838:C901" si="27">MONTH(D838)</f>
        <v>2</v>
      </c>
      <c r="D838" s="20">
        <v>44979</v>
      </c>
      <c r="E838">
        <v>674</v>
      </c>
      <c r="F838">
        <v>1539.5</v>
      </c>
      <c r="G838">
        <v>492.6</v>
      </c>
      <c r="H838">
        <v>736.5</v>
      </c>
      <c r="I838">
        <v>62.83</v>
      </c>
      <c r="J838">
        <v>5.1521999999999997</v>
      </c>
    </row>
    <row r="839" spans="2:10" x14ac:dyDescent="0.3">
      <c r="B839" s="10">
        <f t="shared" si="26"/>
        <v>2023</v>
      </c>
      <c r="C839" s="10">
        <f t="shared" si="27"/>
        <v>2</v>
      </c>
      <c r="D839" s="20">
        <v>44978</v>
      </c>
      <c r="E839">
        <v>680.5</v>
      </c>
      <c r="F839">
        <v>1548.75</v>
      </c>
      <c r="G839">
        <v>497.7</v>
      </c>
      <c r="H839">
        <v>750.5</v>
      </c>
      <c r="I839">
        <v>62.77</v>
      </c>
      <c r="J839">
        <v>5.1675000000000004</v>
      </c>
    </row>
    <row r="840" spans="2:10" x14ac:dyDescent="0.3">
      <c r="B840" s="10">
        <f t="shared" si="26"/>
        <v>2023</v>
      </c>
      <c r="C840" s="10">
        <f t="shared" si="27"/>
        <v>2</v>
      </c>
      <c r="D840" s="20">
        <v>44977</v>
      </c>
      <c r="J840">
        <v>5.1673999999999998</v>
      </c>
    </row>
    <row r="841" spans="2:10" x14ac:dyDescent="0.3">
      <c r="B841" s="10">
        <f t="shared" si="26"/>
        <v>2023</v>
      </c>
      <c r="C841" s="10">
        <f t="shared" si="27"/>
        <v>2</v>
      </c>
      <c r="D841" s="20">
        <v>44974</v>
      </c>
      <c r="E841">
        <v>677.75</v>
      </c>
      <c r="F841">
        <v>1527.25</v>
      </c>
      <c r="G841">
        <v>491.1</v>
      </c>
      <c r="H841">
        <v>765.5</v>
      </c>
      <c r="I841">
        <v>61.51</v>
      </c>
      <c r="J841">
        <v>5.1673999999999998</v>
      </c>
    </row>
    <row r="842" spans="2:10" x14ac:dyDescent="0.3">
      <c r="B842" s="10">
        <f t="shared" si="26"/>
        <v>2023</v>
      </c>
      <c r="C842" s="10">
        <f t="shared" si="27"/>
        <v>2</v>
      </c>
      <c r="D842" s="20">
        <v>44973</v>
      </c>
      <c r="E842">
        <v>676</v>
      </c>
      <c r="F842">
        <v>1526.5</v>
      </c>
      <c r="G842">
        <v>491.4</v>
      </c>
      <c r="H842">
        <v>765</v>
      </c>
      <c r="I842">
        <v>61.9</v>
      </c>
      <c r="J842">
        <v>5.2178000000000004</v>
      </c>
    </row>
    <row r="843" spans="2:10" x14ac:dyDescent="0.3">
      <c r="B843" s="10">
        <f t="shared" si="26"/>
        <v>2023</v>
      </c>
      <c r="C843" s="10">
        <f t="shared" si="27"/>
        <v>2</v>
      </c>
      <c r="D843" s="20">
        <v>44972</v>
      </c>
      <c r="E843">
        <v>676.25</v>
      </c>
      <c r="F843">
        <v>1525.75</v>
      </c>
      <c r="G843">
        <v>491.1</v>
      </c>
      <c r="H843">
        <v>769.25</v>
      </c>
      <c r="I843">
        <v>61.24</v>
      </c>
      <c r="J843">
        <v>5.2190000000000003</v>
      </c>
    </row>
    <row r="844" spans="2:10" x14ac:dyDescent="0.3">
      <c r="B844" s="10">
        <f t="shared" si="26"/>
        <v>2023</v>
      </c>
      <c r="C844" s="10">
        <f t="shared" si="27"/>
        <v>2</v>
      </c>
      <c r="D844" s="20">
        <v>44971</v>
      </c>
      <c r="E844">
        <v>682.25</v>
      </c>
      <c r="F844">
        <v>1537.5</v>
      </c>
      <c r="G844">
        <v>501</v>
      </c>
      <c r="H844">
        <v>786</v>
      </c>
      <c r="I844">
        <v>60.4</v>
      </c>
      <c r="J844">
        <v>5.1923000000000004</v>
      </c>
    </row>
    <row r="845" spans="2:10" x14ac:dyDescent="0.3">
      <c r="B845" s="10">
        <f t="shared" si="26"/>
        <v>2023</v>
      </c>
      <c r="C845" s="10">
        <f t="shared" si="27"/>
        <v>2</v>
      </c>
      <c r="D845" s="20">
        <v>44970</v>
      </c>
      <c r="E845">
        <v>685</v>
      </c>
      <c r="F845">
        <v>1542.75</v>
      </c>
      <c r="G845">
        <v>504</v>
      </c>
      <c r="H845">
        <v>792</v>
      </c>
      <c r="I845">
        <v>60.14</v>
      </c>
      <c r="J845">
        <v>5.1596000000000002</v>
      </c>
    </row>
    <row r="846" spans="2:10" x14ac:dyDescent="0.3">
      <c r="B846" s="10">
        <f t="shared" si="26"/>
        <v>2023</v>
      </c>
      <c r="C846" s="10">
        <f t="shared" si="27"/>
        <v>2</v>
      </c>
      <c r="D846" s="20">
        <v>44967</v>
      </c>
      <c r="E846">
        <v>680.5</v>
      </c>
      <c r="F846">
        <v>1542.5</v>
      </c>
      <c r="G846">
        <v>499.4</v>
      </c>
      <c r="H846">
        <v>786</v>
      </c>
      <c r="I846">
        <v>60.54</v>
      </c>
      <c r="J846">
        <v>5.2150999999999996</v>
      </c>
    </row>
    <row r="847" spans="2:10" x14ac:dyDescent="0.3">
      <c r="B847" s="10">
        <f t="shared" si="26"/>
        <v>2023</v>
      </c>
      <c r="C847" s="10">
        <f t="shared" si="27"/>
        <v>2</v>
      </c>
      <c r="D847" s="20">
        <v>44966</v>
      </c>
      <c r="E847">
        <v>670.75</v>
      </c>
      <c r="F847">
        <v>1519.25</v>
      </c>
      <c r="G847">
        <v>495.5</v>
      </c>
      <c r="H847">
        <v>757.25</v>
      </c>
      <c r="I847">
        <v>59.04</v>
      </c>
      <c r="J847">
        <v>5.2911000000000001</v>
      </c>
    </row>
    <row r="848" spans="2:10" x14ac:dyDescent="0.3">
      <c r="B848" s="10">
        <f t="shared" si="26"/>
        <v>2023</v>
      </c>
      <c r="C848" s="10">
        <f t="shared" si="27"/>
        <v>2</v>
      </c>
      <c r="D848" s="20">
        <v>44965</v>
      </c>
      <c r="E848">
        <v>678.5</v>
      </c>
      <c r="F848">
        <v>1519.75</v>
      </c>
      <c r="G848">
        <v>481.9</v>
      </c>
      <c r="H848">
        <v>764.75</v>
      </c>
      <c r="I848">
        <v>60.58</v>
      </c>
      <c r="J848">
        <v>5.2007000000000003</v>
      </c>
    </row>
    <row r="849" spans="2:10" x14ac:dyDescent="0.3">
      <c r="B849" s="10">
        <f t="shared" si="26"/>
        <v>2023</v>
      </c>
      <c r="C849" s="10">
        <f t="shared" si="27"/>
        <v>2</v>
      </c>
      <c r="D849" s="20">
        <v>44964</v>
      </c>
      <c r="E849">
        <v>674</v>
      </c>
      <c r="F849">
        <v>1515.25</v>
      </c>
      <c r="G849">
        <v>481.4</v>
      </c>
      <c r="H849">
        <v>749.75</v>
      </c>
      <c r="I849">
        <v>60.89</v>
      </c>
      <c r="J849">
        <v>5.2100999999999997</v>
      </c>
    </row>
    <row r="850" spans="2:10" x14ac:dyDescent="0.3">
      <c r="B850" s="10">
        <f t="shared" si="26"/>
        <v>2023</v>
      </c>
      <c r="C850" s="10">
        <f t="shared" si="27"/>
        <v>2</v>
      </c>
      <c r="D850" s="20">
        <v>44963</v>
      </c>
      <c r="E850">
        <v>679</v>
      </c>
      <c r="F850">
        <v>1521.25</v>
      </c>
      <c r="G850">
        <v>489</v>
      </c>
      <c r="H850">
        <v>750.25</v>
      </c>
      <c r="I850">
        <v>59.31</v>
      </c>
      <c r="J850">
        <v>5.1463999999999999</v>
      </c>
    </row>
    <row r="851" spans="2:10" x14ac:dyDescent="0.3">
      <c r="B851" s="10">
        <f t="shared" si="26"/>
        <v>2023</v>
      </c>
      <c r="C851" s="10">
        <f t="shared" si="27"/>
        <v>2</v>
      </c>
      <c r="D851" s="20">
        <v>44960</v>
      </c>
      <c r="E851">
        <v>677.5</v>
      </c>
      <c r="F851">
        <v>1532</v>
      </c>
      <c r="G851">
        <v>496.5</v>
      </c>
      <c r="H851">
        <v>756.75</v>
      </c>
      <c r="I851">
        <v>59.06</v>
      </c>
      <c r="J851">
        <v>5.1521999999999997</v>
      </c>
    </row>
    <row r="852" spans="2:10" x14ac:dyDescent="0.3">
      <c r="B852" s="10">
        <f t="shared" si="26"/>
        <v>2023</v>
      </c>
      <c r="C852" s="10">
        <f t="shared" si="27"/>
        <v>2</v>
      </c>
      <c r="D852" s="20">
        <v>44959</v>
      </c>
      <c r="E852">
        <v>675.25</v>
      </c>
      <c r="F852">
        <v>1534.25</v>
      </c>
      <c r="G852">
        <v>491.8</v>
      </c>
      <c r="H852">
        <v>761</v>
      </c>
      <c r="I852">
        <v>60.94</v>
      </c>
      <c r="J852">
        <v>5.0503999999999998</v>
      </c>
    </row>
    <row r="853" spans="2:10" x14ac:dyDescent="0.3">
      <c r="B853" s="10">
        <f t="shared" si="26"/>
        <v>2023</v>
      </c>
      <c r="C853" s="10">
        <f t="shared" si="27"/>
        <v>2</v>
      </c>
      <c r="D853" s="20">
        <v>44958</v>
      </c>
      <c r="E853">
        <v>681</v>
      </c>
      <c r="F853">
        <v>1520.25</v>
      </c>
      <c r="G853">
        <v>484.7</v>
      </c>
      <c r="H853">
        <v>759.75</v>
      </c>
      <c r="I853">
        <v>60.79</v>
      </c>
      <c r="J853">
        <v>5.0547000000000004</v>
      </c>
    </row>
    <row r="854" spans="2:10" x14ac:dyDescent="0.3">
      <c r="B854" s="10">
        <f t="shared" si="26"/>
        <v>2023</v>
      </c>
      <c r="C854" s="10">
        <f t="shared" si="27"/>
        <v>1</v>
      </c>
      <c r="D854" s="20">
        <v>44957</v>
      </c>
      <c r="E854">
        <v>679.75</v>
      </c>
      <c r="F854">
        <v>1538</v>
      </c>
      <c r="G854">
        <v>484.2</v>
      </c>
      <c r="H854">
        <v>761.25</v>
      </c>
      <c r="I854">
        <v>62.33</v>
      </c>
      <c r="J854">
        <v>5.0731000000000002</v>
      </c>
    </row>
    <row r="855" spans="2:10" x14ac:dyDescent="0.3">
      <c r="B855" s="10">
        <f t="shared" si="26"/>
        <v>2023</v>
      </c>
      <c r="C855" s="10">
        <f t="shared" si="27"/>
        <v>1</v>
      </c>
      <c r="D855" s="20">
        <v>44956</v>
      </c>
      <c r="E855">
        <v>683.75</v>
      </c>
      <c r="F855">
        <v>1535.25</v>
      </c>
      <c r="G855">
        <v>488.7</v>
      </c>
      <c r="H855">
        <v>752.5</v>
      </c>
      <c r="I855">
        <v>61.32</v>
      </c>
      <c r="J855">
        <v>5.1162000000000001</v>
      </c>
    </row>
    <row r="856" spans="2:10" x14ac:dyDescent="0.3">
      <c r="B856" s="10">
        <f t="shared" si="26"/>
        <v>2023</v>
      </c>
      <c r="C856" s="10">
        <f t="shared" si="27"/>
        <v>1</v>
      </c>
      <c r="D856" s="20">
        <v>44953</v>
      </c>
      <c r="E856">
        <v>683</v>
      </c>
      <c r="F856">
        <v>1509.5</v>
      </c>
      <c r="G856">
        <v>473.5</v>
      </c>
      <c r="H856">
        <v>750</v>
      </c>
      <c r="I856">
        <v>60.62</v>
      </c>
      <c r="J856">
        <v>5.1089000000000002</v>
      </c>
    </row>
    <row r="857" spans="2:10" x14ac:dyDescent="0.3">
      <c r="B857" s="10">
        <f t="shared" si="26"/>
        <v>2023</v>
      </c>
      <c r="C857" s="10">
        <f t="shared" si="27"/>
        <v>1</v>
      </c>
      <c r="D857" s="20">
        <v>44952</v>
      </c>
      <c r="E857">
        <v>682.5</v>
      </c>
      <c r="F857">
        <v>1523.5</v>
      </c>
      <c r="G857">
        <v>477.1</v>
      </c>
      <c r="H857">
        <v>752.5</v>
      </c>
      <c r="I857">
        <v>60.79</v>
      </c>
      <c r="J857">
        <v>5.0658000000000003</v>
      </c>
    </row>
    <row r="858" spans="2:10" x14ac:dyDescent="0.3">
      <c r="B858" s="10">
        <f t="shared" si="26"/>
        <v>2023</v>
      </c>
      <c r="C858" s="10">
        <f t="shared" si="27"/>
        <v>1</v>
      </c>
      <c r="D858" s="20">
        <v>44951</v>
      </c>
      <c r="E858">
        <v>674.75</v>
      </c>
      <c r="F858">
        <v>1502.5</v>
      </c>
      <c r="G858">
        <v>465.5</v>
      </c>
      <c r="H858">
        <v>741.25</v>
      </c>
      <c r="I858">
        <v>60.54</v>
      </c>
      <c r="J858">
        <v>5.0734000000000004</v>
      </c>
    </row>
    <row r="859" spans="2:10" x14ac:dyDescent="0.3">
      <c r="B859" s="10">
        <f t="shared" si="26"/>
        <v>2023</v>
      </c>
      <c r="C859" s="10">
        <f t="shared" si="27"/>
        <v>1</v>
      </c>
      <c r="D859" s="20">
        <v>44950</v>
      </c>
      <c r="E859">
        <v>677</v>
      </c>
      <c r="F859">
        <v>1488.5</v>
      </c>
      <c r="G859">
        <v>459.8</v>
      </c>
      <c r="H859">
        <v>734.5</v>
      </c>
      <c r="I859">
        <v>60.98</v>
      </c>
      <c r="J859">
        <v>5.1391999999999998</v>
      </c>
    </row>
    <row r="860" spans="2:10" x14ac:dyDescent="0.3">
      <c r="B860" s="10">
        <f t="shared" si="26"/>
        <v>2023</v>
      </c>
      <c r="C860" s="10">
        <f t="shared" si="27"/>
        <v>1</v>
      </c>
      <c r="D860" s="20">
        <v>44949</v>
      </c>
      <c r="E860">
        <v>666.25</v>
      </c>
      <c r="F860">
        <v>1490.25</v>
      </c>
      <c r="G860">
        <v>461.9</v>
      </c>
      <c r="H860">
        <v>720</v>
      </c>
      <c r="I860">
        <v>62.04</v>
      </c>
      <c r="J860">
        <v>5.2076000000000002</v>
      </c>
    </row>
    <row r="861" spans="2:10" x14ac:dyDescent="0.3">
      <c r="B861" s="10">
        <f t="shared" si="26"/>
        <v>2023</v>
      </c>
      <c r="C861" s="10">
        <f t="shared" si="27"/>
        <v>1</v>
      </c>
      <c r="D861" s="20">
        <v>44946</v>
      </c>
      <c r="E861">
        <v>676.25</v>
      </c>
      <c r="F861">
        <v>1506.5</v>
      </c>
      <c r="G861">
        <v>463.7</v>
      </c>
      <c r="H861">
        <v>741.5</v>
      </c>
      <c r="I861">
        <v>61.97</v>
      </c>
      <c r="J861">
        <v>5.2073999999999998</v>
      </c>
    </row>
    <row r="862" spans="2:10" x14ac:dyDescent="0.3">
      <c r="B862" s="10">
        <f t="shared" si="26"/>
        <v>2023</v>
      </c>
      <c r="C862" s="10">
        <f t="shared" si="27"/>
        <v>1</v>
      </c>
      <c r="D862" s="20">
        <v>44945</v>
      </c>
      <c r="E862">
        <v>677.25</v>
      </c>
      <c r="F862">
        <v>1514.75</v>
      </c>
      <c r="G862">
        <v>471.2</v>
      </c>
      <c r="H862">
        <v>734.5</v>
      </c>
      <c r="I862">
        <v>63.15</v>
      </c>
      <c r="J862">
        <v>5.1741000000000001</v>
      </c>
    </row>
    <row r="863" spans="2:10" x14ac:dyDescent="0.3">
      <c r="B863" s="10">
        <f t="shared" si="26"/>
        <v>2023</v>
      </c>
      <c r="C863" s="10">
        <f t="shared" si="27"/>
        <v>1</v>
      </c>
      <c r="D863" s="20">
        <v>44944</v>
      </c>
      <c r="E863">
        <v>681.25</v>
      </c>
      <c r="F863">
        <v>1524.5</v>
      </c>
      <c r="G863">
        <v>478.1</v>
      </c>
      <c r="H863">
        <v>742.5</v>
      </c>
      <c r="I863">
        <v>64.12</v>
      </c>
      <c r="J863">
        <v>5.1863000000000001</v>
      </c>
    </row>
    <row r="864" spans="2:10" x14ac:dyDescent="0.3">
      <c r="B864" s="10">
        <f t="shared" si="26"/>
        <v>2023</v>
      </c>
      <c r="C864" s="10">
        <f t="shared" si="27"/>
        <v>1</v>
      </c>
      <c r="D864" s="20">
        <v>44943</v>
      </c>
      <c r="E864">
        <v>685.25</v>
      </c>
      <c r="F864">
        <v>1539.75</v>
      </c>
      <c r="G864">
        <v>481.2</v>
      </c>
      <c r="H864">
        <v>751.75</v>
      </c>
      <c r="I864">
        <v>63.84</v>
      </c>
      <c r="J864">
        <v>5.1002999999999998</v>
      </c>
    </row>
    <row r="865" spans="2:10" x14ac:dyDescent="0.3">
      <c r="B865" s="10">
        <f t="shared" si="26"/>
        <v>2023</v>
      </c>
      <c r="C865" s="10">
        <f t="shared" si="27"/>
        <v>1</v>
      </c>
      <c r="D865" s="20">
        <v>44942</v>
      </c>
      <c r="J865">
        <v>5.1474000000000002</v>
      </c>
    </row>
    <row r="866" spans="2:10" x14ac:dyDescent="0.3">
      <c r="B866" s="10">
        <f t="shared" si="26"/>
        <v>2023</v>
      </c>
      <c r="C866" s="10">
        <f t="shared" si="27"/>
        <v>1</v>
      </c>
      <c r="D866" s="20">
        <v>44939</v>
      </c>
      <c r="E866">
        <v>675</v>
      </c>
      <c r="F866">
        <v>1538.25</v>
      </c>
      <c r="G866">
        <v>513</v>
      </c>
      <c r="H866">
        <v>743.75</v>
      </c>
      <c r="I866">
        <v>63.25</v>
      </c>
      <c r="J866">
        <v>5.0956000000000001</v>
      </c>
    </row>
    <row r="867" spans="2:10" x14ac:dyDescent="0.3">
      <c r="B867" s="10">
        <f t="shared" si="26"/>
        <v>2023</v>
      </c>
      <c r="C867" s="10">
        <f t="shared" si="27"/>
        <v>1</v>
      </c>
      <c r="D867" s="20">
        <v>44938</v>
      </c>
      <c r="E867">
        <v>671</v>
      </c>
      <c r="F867">
        <v>1529.5</v>
      </c>
      <c r="G867">
        <v>513</v>
      </c>
      <c r="H867">
        <v>742.75</v>
      </c>
      <c r="I867">
        <v>63.25</v>
      </c>
      <c r="J867">
        <v>5.1082000000000001</v>
      </c>
    </row>
    <row r="868" spans="2:10" x14ac:dyDescent="0.3">
      <c r="B868" s="10">
        <f t="shared" si="26"/>
        <v>2023</v>
      </c>
      <c r="C868" s="10">
        <f t="shared" si="27"/>
        <v>1</v>
      </c>
      <c r="D868" s="20">
        <v>44937</v>
      </c>
      <c r="E868">
        <v>656</v>
      </c>
      <c r="F868">
        <v>1515</v>
      </c>
      <c r="G868">
        <v>505</v>
      </c>
      <c r="H868">
        <v>740</v>
      </c>
      <c r="I868">
        <v>62.39</v>
      </c>
      <c r="J868">
        <v>5.16</v>
      </c>
    </row>
    <row r="869" spans="2:10" x14ac:dyDescent="0.3">
      <c r="B869" s="10">
        <f t="shared" si="26"/>
        <v>2023</v>
      </c>
      <c r="C869" s="10">
        <f t="shared" si="27"/>
        <v>1</v>
      </c>
      <c r="D869" s="20">
        <v>44936</v>
      </c>
      <c r="E869">
        <v>655</v>
      </c>
      <c r="F869">
        <v>1510</v>
      </c>
      <c r="G869">
        <v>500.9</v>
      </c>
      <c r="H869">
        <v>731</v>
      </c>
      <c r="I869">
        <v>63.13</v>
      </c>
      <c r="J869">
        <v>5.1997</v>
      </c>
    </row>
    <row r="870" spans="2:10" x14ac:dyDescent="0.3">
      <c r="B870" s="10">
        <f t="shared" si="26"/>
        <v>2023</v>
      </c>
      <c r="C870" s="10">
        <f t="shared" si="27"/>
        <v>1</v>
      </c>
      <c r="D870" s="20">
        <v>44935</v>
      </c>
      <c r="E870">
        <v>652.75</v>
      </c>
      <c r="F870">
        <v>1503.5</v>
      </c>
      <c r="G870">
        <v>496.7</v>
      </c>
      <c r="H870">
        <v>741.5</v>
      </c>
      <c r="I870">
        <v>63.91</v>
      </c>
      <c r="J870">
        <v>5.2545999999999999</v>
      </c>
    </row>
    <row r="871" spans="2:10" x14ac:dyDescent="0.3">
      <c r="B871" s="10">
        <f t="shared" si="26"/>
        <v>2023</v>
      </c>
      <c r="C871" s="10">
        <f t="shared" si="27"/>
        <v>1</v>
      </c>
      <c r="D871" s="20">
        <v>44932</v>
      </c>
      <c r="E871">
        <v>654</v>
      </c>
      <c r="F871">
        <v>1501.5</v>
      </c>
      <c r="G871">
        <v>503.1</v>
      </c>
      <c r="H871">
        <v>743.5</v>
      </c>
      <c r="I871">
        <v>63.73</v>
      </c>
      <c r="J871">
        <v>5.2253999999999996</v>
      </c>
    </row>
    <row r="872" spans="2:10" x14ac:dyDescent="0.3">
      <c r="B872" s="10">
        <f t="shared" si="26"/>
        <v>2023</v>
      </c>
      <c r="C872" s="10">
        <f t="shared" si="27"/>
        <v>1</v>
      </c>
      <c r="D872" s="20">
        <v>44931</v>
      </c>
      <c r="E872">
        <v>652.75</v>
      </c>
      <c r="F872">
        <v>1466.75</v>
      </c>
      <c r="G872">
        <v>488.7</v>
      </c>
      <c r="H872">
        <v>746.75</v>
      </c>
      <c r="I872">
        <v>62.94</v>
      </c>
      <c r="J872">
        <v>5.3509000000000002</v>
      </c>
    </row>
    <row r="873" spans="2:10" x14ac:dyDescent="0.3">
      <c r="B873" s="10">
        <f t="shared" si="26"/>
        <v>2023</v>
      </c>
      <c r="C873" s="10">
        <f t="shared" si="27"/>
        <v>1</v>
      </c>
      <c r="D873" s="20">
        <v>44930</v>
      </c>
      <c r="E873">
        <v>653.75</v>
      </c>
      <c r="F873">
        <v>1478.25</v>
      </c>
      <c r="G873">
        <v>482.5</v>
      </c>
      <c r="H873">
        <v>745.5</v>
      </c>
      <c r="I873">
        <v>63.11</v>
      </c>
      <c r="J873">
        <v>5.4311999999999996</v>
      </c>
    </row>
    <row r="874" spans="2:10" x14ac:dyDescent="0.3">
      <c r="B874" s="10">
        <f t="shared" si="26"/>
        <v>2023</v>
      </c>
      <c r="C874" s="10">
        <f t="shared" si="27"/>
        <v>1</v>
      </c>
      <c r="D874" s="20">
        <v>44929</v>
      </c>
      <c r="E874">
        <v>670.5</v>
      </c>
      <c r="F874">
        <v>1487.25</v>
      </c>
      <c r="G874">
        <v>476.8</v>
      </c>
      <c r="H874">
        <v>775.5</v>
      </c>
      <c r="I874">
        <v>63.16</v>
      </c>
      <c r="J874">
        <v>5.4797000000000002</v>
      </c>
    </row>
    <row r="875" spans="2:10" x14ac:dyDescent="0.3">
      <c r="B875" s="10">
        <f t="shared" si="26"/>
        <v>2023</v>
      </c>
      <c r="C875" s="10">
        <f t="shared" si="27"/>
        <v>1</v>
      </c>
      <c r="D875" s="20">
        <v>44928</v>
      </c>
      <c r="J875">
        <v>5.3632999999999997</v>
      </c>
    </row>
    <row r="876" spans="2:10" x14ac:dyDescent="0.3">
      <c r="B876" s="10">
        <f t="shared" si="26"/>
        <v>2022</v>
      </c>
      <c r="C876" s="10">
        <f t="shared" si="27"/>
        <v>12</v>
      </c>
      <c r="D876" s="20">
        <v>44925</v>
      </c>
      <c r="E876">
        <v>678.5</v>
      </c>
      <c r="F876">
        <v>1519.25</v>
      </c>
      <c r="G876">
        <v>478.5</v>
      </c>
      <c r="H876">
        <v>792</v>
      </c>
      <c r="I876">
        <v>63.81</v>
      </c>
      <c r="J876">
        <v>5.2859999999999996</v>
      </c>
    </row>
    <row r="877" spans="2:10" x14ac:dyDescent="0.3">
      <c r="B877" s="10">
        <f t="shared" si="26"/>
        <v>2022</v>
      </c>
      <c r="C877" s="10">
        <f t="shared" si="27"/>
        <v>12</v>
      </c>
      <c r="D877" s="20">
        <v>44924</v>
      </c>
      <c r="E877">
        <v>679.5</v>
      </c>
      <c r="F877">
        <v>1508.75</v>
      </c>
      <c r="G877">
        <v>464.1</v>
      </c>
      <c r="H877">
        <v>774</v>
      </c>
      <c r="I877">
        <v>66.400000000000006</v>
      </c>
      <c r="J877">
        <v>5.2859999999999996</v>
      </c>
    </row>
    <row r="878" spans="2:10" x14ac:dyDescent="0.3">
      <c r="B878" s="10">
        <f t="shared" si="26"/>
        <v>2022</v>
      </c>
      <c r="C878" s="10">
        <f t="shared" si="27"/>
        <v>12</v>
      </c>
      <c r="D878" s="20">
        <v>44923</v>
      </c>
      <c r="E878">
        <v>682.75</v>
      </c>
      <c r="F878">
        <v>1506.5</v>
      </c>
      <c r="G878">
        <v>466.3</v>
      </c>
      <c r="H878">
        <v>785.5</v>
      </c>
      <c r="I878">
        <v>65.8</v>
      </c>
      <c r="J878">
        <v>5.2675999999999998</v>
      </c>
    </row>
    <row r="879" spans="2:10" x14ac:dyDescent="0.3">
      <c r="B879" s="10">
        <f t="shared" si="26"/>
        <v>2022</v>
      </c>
      <c r="C879" s="10">
        <f t="shared" si="27"/>
        <v>12</v>
      </c>
      <c r="D879" s="20">
        <v>44922</v>
      </c>
      <c r="E879">
        <v>674.75</v>
      </c>
      <c r="F879">
        <v>1482.25</v>
      </c>
      <c r="G879">
        <v>451.8</v>
      </c>
      <c r="H879">
        <v>774.5</v>
      </c>
      <c r="I879">
        <v>67.650000000000006</v>
      </c>
      <c r="J879">
        <v>5.2927999999999997</v>
      </c>
    </row>
    <row r="880" spans="2:10" x14ac:dyDescent="0.3">
      <c r="B880" s="10">
        <f t="shared" si="26"/>
        <v>2022</v>
      </c>
      <c r="C880" s="10">
        <f t="shared" si="27"/>
        <v>12</v>
      </c>
      <c r="D880" s="20">
        <v>44921</v>
      </c>
      <c r="J880">
        <v>5.2186000000000003</v>
      </c>
    </row>
    <row r="881" spans="2:10" x14ac:dyDescent="0.3">
      <c r="B881" s="10">
        <f t="shared" si="26"/>
        <v>2022</v>
      </c>
      <c r="C881" s="10">
        <f t="shared" si="27"/>
        <v>12</v>
      </c>
      <c r="D881" s="20">
        <v>44918</v>
      </c>
      <c r="E881">
        <v>666.25</v>
      </c>
      <c r="F881">
        <v>1479</v>
      </c>
      <c r="G881">
        <v>455.3</v>
      </c>
      <c r="H881">
        <v>776</v>
      </c>
      <c r="I881">
        <v>65.930000000000007</v>
      </c>
      <c r="J881">
        <v>5.1651999999999996</v>
      </c>
    </row>
    <row r="882" spans="2:10" x14ac:dyDescent="0.3">
      <c r="B882" s="10">
        <f t="shared" si="26"/>
        <v>2022</v>
      </c>
      <c r="C882" s="10">
        <f t="shared" si="27"/>
        <v>12</v>
      </c>
      <c r="D882" s="20">
        <v>44917</v>
      </c>
      <c r="E882">
        <v>660.5</v>
      </c>
      <c r="F882">
        <v>1467.75</v>
      </c>
      <c r="G882">
        <v>452</v>
      </c>
      <c r="H882">
        <v>762.25</v>
      </c>
      <c r="I882">
        <v>65.8</v>
      </c>
      <c r="J882">
        <v>5.1665000000000001</v>
      </c>
    </row>
    <row r="883" spans="2:10" x14ac:dyDescent="0.3">
      <c r="B883" s="10">
        <f t="shared" si="26"/>
        <v>2022</v>
      </c>
      <c r="C883" s="10">
        <f t="shared" si="27"/>
        <v>12</v>
      </c>
      <c r="D883" s="20">
        <v>44916</v>
      </c>
      <c r="E883">
        <v>662.25</v>
      </c>
      <c r="F883">
        <v>1481</v>
      </c>
      <c r="G883">
        <v>456</v>
      </c>
      <c r="H883">
        <v>767.75</v>
      </c>
      <c r="I883">
        <v>66.31</v>
      </c>
      <c r="J883">
        <v>5.2008999999999999</v>
      </c>
    </row>
    <row r="884" spans="2:10" x14ac:dyDescent="0.3">
      <c r="B884" s="10">
        <f t="shared" si="26"/>
        <v>2022</v>
      </c>
      <c r="C884" s="10">
        <f t="shared" si="27"/>
        <v>12</v>
      </c>
      <c r="D884" s="20">
        <v>44915</v>
      </c>
      <c r="E884">
        <v>652</v>
      </c>
      <c r="F884">
        <v>1478.5</v>
      </c>
      <c r="G884">
        <v>452.4</v>
      </c>
      <c r="H884">
        <v>750.5</v>
      </c>
      <c r="I884">
        <v>66.05</v>
      </c>
      <c r="J884">
        <v>5.1996000000000002</v>
      </c>
    </row>
    <row r="885" spans="2:10" x14ac:dyDescent="0.3">
      <c r="B885" s="10">
        <f t="shared" si="26"/>
        <v>2022</v>
      </c>
      <c r="C885" s="10">
        <f t="shared" si="27"/>
        <v>12</v>
      </c>
      <c r="D885" s="20">
        <v>44914</v>
      </c>
      <c r="E885">
        <v>647.25</v>
      </c>
      <c r="F885">
        <v>1460.75</v>
      </c>
      <c r="G885">
        <v>449.1</v>
      </c>
      <c r="H885">
        <v>748.5</v>
      </c>
      <c r="I885">
        <v>64.41</v>
      </c>
      <c r="J885">
        <v>5.2930000000000001</v>
      </c>
    </row>
    <row r="886" spans="2:10" x14ac:dyDescent="0.3">
      <c r="B886" s="10">
        <f t="shared" si="26"/>
        <v>2022</v>
      </c>
      <c r="C886" s="10">
        <f t="shared" si="27"/>
        <v>12</v>
      </c>
      <c r="D886" s="20">
        <v>44911</v>
      </c>
      <c r="E886">
        <v>653</v>
      </c>
      <c r="F886">
        <v>1480</v>
      </c>
      <c r="G886">
        <v>463</v>
      </c>
      <c r="H886">
        <v>753.5</v>
      </c>
      <c r="I886">
        <v>63.36</v>
      </c>
      <c r="J886">
        <v>5.3140000000000001</v>
      </c>
    </row>
    <row r="887" spans="2:10" x14ac:dyDescent="0.3">
      <c r="B887" s="10">
        <f t="shared" si="26"/>
        <v>2022</v>
      </c>
      <c r="C887" s="10">
        <f t="shared" si="27"/>
        <v>12</v>
      </c>
      <c r="D887" s="20">
        <v>44910</v>
      </c>
      <c r="E887">
        <v>653.5</v>
      </c>
      <c r="F887">
        <v>1473.5</v>
      </c>
      <c r="G887">
        <v>455.3</v>
      </c>
      <c r="H887">
        <v>757.25</v>
      </c>
      <c r="I887">
        <v>63.82</v>
      </c>
      <c r="J887">
        <v>5.3129999999999997</v>
      </c>
    </row>
    <row r="888" spans="2:10" x14ac:dyDescent="0.3">
      <c r="B888" s="10">
        <f t="shared" si="26"/>
        <v>2022</v>
      </c>
      <c r="C888" s="10">
        <f t="shared" si="27"/>
        <v>12</v>
      </c>
      <c r="D888" s="20">
        <v>44909</v>
      </c>
      <c r="E888">
        <v>639</v>
      </c>
      <c r="F888">
        <v>1482.25</v>
      </c>
      <c r="G888">
        <v>456</v>
      </c>
      <c r="H888">
        <v>728.25</v>
      </c>
      <c r="I888">
        <v>66.31</v>
      </c>
      <c r="J888">
        <v>5.2786999999999997</v>
      </c>
    </row>
    <row r="889" spans="2:10" x14ac:dyDescent="0.3">
      <c r="B889" s="10">
        <f t="shared" si="26"/>
        <v>2022</v>
      </c>
      <c r="C889" s="10">
        <f t="shared" si="27"/>
        <v>12</v>
      </c>
      <c r="D889" s="20">
        <v>44908</v>
      </c>
      <c r="E889">
        <v>643.75</v>
      </c>
      <c r="F889">
        <v>1479.75</v>
      </c>
      <c r="G889">
        <v>450</v>
      </c>
      <c r="H889">
        <v>728.75</v>
      </c>
      <c r="I889">
        <v>66.31</v>
      </c>
      <c r="J889">
        <v>5.2938000000000001</v>
      </c>
    </row>
    <row r="890" spans="2:10" x14ac:dyDescent="0.3">
      <c r="B890" s="10">
        <f t="shared" si="26"/>
        <v>2022</v>
      </c>
      <c r="C890" s="10">
        <f t="shared" si="27"/>
        <v>12</v>
      </c>
      <c r="D890" s="20">
        <v>44907</v>
      </c>
      <c r="E890">
        <v>641.25</v>
      </c>
      <c r="F890">
        <v>1460.5</v>
      </c>
      <c r="G890">
        <v>448.3</v>
      </c>
      <c r="H890">
        <v>733</v>
      </c>
      <c r="I890">
        <v>64.39</v>
      </c>
      <c r="J890">
        <v>5.3226000000000004</v>
      </c>
    </row>
    <row r="891" spans="2:10" x14ac:dyDescent="0.3">
      <c r="B891" s="10">
        <f t="shared" si="26"/>
        <v>2022</v>
      </c>
      <c r="C891" s="10">
        <f t="shared" si="27"/>
        <v>12</v>
      </c>
      <c r="D891" s="20">
        <v>44904</v>
      </c>
      <c r="E891">
        <v>634.75</v>
      </c>
      <c r="F891">
        <v>1483.75</v>
      </c>
      <c r="G891">
        <v>471.7</v>
      </c>
      <c r="H891">
        <v>712.75</v>
      </c>
      <c r="I891">
        <v>62.2</v>
      </c>
      <c r="J891">
        <v>5.24</v>
      </c>
    </row>
    <row r="892" spans="2:10" x14ac:dyDescent="0.3">
      <c r="B892" s="10">
        <f t="shared" si="26"/>
        <v>2022</v>
      </c>
      <c r="C892" s="10">
        <f t="shared" si="27"/>
        <v>12</v>
      </c>
      <c r="D892" s="20">
        <v>44903</v>
      </c>
      <c r="E892">
        <v>632</v>
      </c>
      <c r="F892">
        <v>1486.25</v>
      </c>
      <c r="G892">
        <v>469.3</v>
      </c>
      <c r="H892">
        <v>724.25</v>
      </c>
      <c r="I892">
        <v>63.5</v>
      </c>
      <c r="J892">
        <v>5.2252999999999998</v>
      </c>
    </row>
    <row r="893" spans="2:10" x14ac:dyDescent="0.3">
      <c r="B893" s="10">
        <f t="shared" si="26"/>
        <v>2022</v>
      </c>
      <c r="C893" s="10">
        <f t="shared" si="27"/>
        <v>12</v>
      </c>
      <c r="D893" s="20">
        <v>44902</v>
      </c>
      <c r="E893">
        <v>627.75</v>
      </c>
      <c r="F893">
        <v>1472</v>
      </c>
      <c r="G893">
        <v>462.2</v>
      </c>
      <c r="H893">
        <v>727</v>
      </c>
      <c r="I893">
        <v>63.15</v>
      </c>
      <c r="J893">
        <v>5.2047999999999996</v>
      </c>
    </row>
    <row r="894" spans="2:10" x14ac:dyDescent="0.3">
      <c r="B894" s="10">
        <f t="shared" si="26"/>
        <v>2022</v>
      </c>
      <c r="C894" s="10">
        <f t="shared" si="27"/>
        <v>12</v>
      </c>
      <c r="D894" s="20">
        <v>44901</v>
      </c>
      <c r="E894">
        <v>625.5</v>
      </c>
      <c r="F894">
        <v>1455</v>
      </c>
      <c r="G894">
        <v>449.2</v>
      </c>
      <c r="H894">
        <v>705.5</v>
      </c>
      <c r="I894">
        <v>63.87</v>
      </c>
      <c r="J894">
        <v>5.2351999999999999</v>
      </c>
    </row>
    <row r="895" spans="2:10" x14ac:dyDescent="0.3">
      <c r="B895" s="10">
        <f t="shared" si="26"/>
        <v>2022</v>
      </c>
      <c r="C895" s="10">
        <f t="shared" si="27"/>
        <v>12</v>
      </c>
      <c r="D895" s="20">
        <v>44900</v>
      </c>
      <c r="E895">
        <v>628.75</v>
      </c>
      <c r="F895">
        <v>1437.75</v>
      </c>
      <c r="G895">
        <v>432</v>
      </c>
      <c r="H895">
        <v>715.5</v>
      </c>
      <c r="I895">
        <v>64.900000000000006</v>
      </c>
      <c r="J895">
        <v>5.2808999999999999</v>
      </c>
    </row>
    <row r="896" spans="2:10" x14ac:dyDescent="0.3">
      <c r="B896" s="10">
        <f t="shared" si="26"/>
        <v>2022</v>
      </c>
      <c r="C896" s="10">
        <f t="shared" si="27"/>
        <v>12</v>
      </c>
      <c r="D896" s="20">
        <v>44897</v>
      </c>
      <c r="E896">
        <v>635</v>
      </c>
      <c r="F896">
        <v>1438.5</v>
      </c>
      <c r="G896">
        <v>424.5</v>
      </c>
      <c r="H896">
        <v>737.25</v>
      </c>
      <c r="I896">
        <v>67.59</v>
      </c>
      <c r="J896">
        <v>5.2188999999999997</v>
      </c>
    </row>
    <row r="897" spans="2:10" x14ac:dyDescent="0.3">
      <c r="B897" s="10">
        <f t="shared" si="26"/>
        <v>2022</v>
      </c>
      <c r="C897" s="10">
        <f t="shared" si="27"/>
        <v>12</v>
      </c>
      <c r="D897" s="20">
        <v>44896</v>
      </c>
      <c r="E897">
        <v>650</v>
      </c>
      <c r="F897">
        <v>1429.75</v>
      </c>
      <c r="G897">
        <v>420.9</v>
      </c>
      <c r="H897">
        <v>758.75</v>
      </c>
      <c r="I897">
        <v>68.400000000000006</v>
      </c>
      <c r="J897">
        <v>5.1848000000000001</v>
      </c>
    </row>
    <row r="898" spans="2:10" x14ac:dyDescent="0.3">
      <c r="B898" s="10">
        <f t="shared" si="26"/>
        <v>2022</v>
      </c>
      <c r="C898" s="10">
        <f t="shared" si="27"/>
        <v>11</v>
      </c>
      <c r="D898" s="20">
        <v>44895</v>
      </c>
      <c r="E898">
        <v>662</v>
      </c>
      <c r="F898">
        <v>1469.5</v>
      </c>
      <c r="G898">
        <v>417.7</v>
      </c>
      <c r="H898">
        <v>771.5</v>
      </c>
      <c r="I898">
        <v>75.23</v>
      </c>
      <c r="J898">
        <v>5.1851000000000003</v>
      </c>
    </row>
    <row r="899" spans="2:10" x14ac:dyDescent="0.3">
      <c r="B899" s="10">
        <f t="shared" si="26"/>
        <v>2022</v>
      </c>
      <c r="C899" s="10">
        <f t="shared" si="27"/>
        <v>11</v>
      </c>
      <c r="D899" s="20">
        <v>44894</v>
      </c>
      <c r="E899">
        <v>665.75</v>
      </c>
      <c r="F899">
        <v>1459.5</v>
      </c>
      <c r="G899">
        <v>408.5</v>
      </c>
      <c r="H899">
        <v>757.75</v>
      </c>
      <c r="I899">
        <v>76.540000000000006</v>
      </c>
      <c r="J899">
        <v>5.2694999999999999</v>
      </c>
    </row>
    <row r="900" spans="2:10" x14ac:dyDescent="0.3">
      <c r="B900" s="10">
        <f t="shared" si="26"/>
        <v>2022</v>
      </c>
      <c r="C900" s="10">
        <f t="shared" si="27"/>
        <v>11</v>
      </c>
      <c r="D900" s="20">
        <v>44893</v>
      </c>
      <c r="E900">
        <v>668.75</v>
      </c>
      <c r="F900">
        <v>1457.25</v>
      </c>
      <c r="G900">
        <v>413.6</v>
      </c>
      <c r="H900">
        <v>756.75</v>
      </c>
      <c r="I900">
        <v>76.069999999999993</v>
      </c>
      <c r="J900">
        <v>5.3654000000000002</v>
      </c>
    </row>
    <row r="901" spans="2:10" x14ac:dyDescent="0.3">
      <c r="B901" s="10">
        <f t="shared" si="26"/>
        <v>2022</v>
      </c>
      <c r="C901" s="10">
        <f t="shared" si="27"/>
        <v>11</v>
      </c>
      <c r="D901" s="20">
        <v>44890</v>
      </c>
      <c r="E901">
        <v>668</v>
      </c>
      <c r="F901">
        <v>1436.25</v>
      </c>
      <c r="G901">
        <v>408.8</v>
      </c>
      <c r="H901">
        <v>775.5</v>
      </c>
      <c r="I901">
        <v>74.52</v>
      </c>
      <c r="J901">
        <v>5.4097999999999997</v>
      </c>
    </row>
    <row r="902" spans="2:10" x14ac:dyDescent="0.3">
      <c r="B902" s="10">
        <f t="shared" ref="B902:B965" si="28">YEAR(D902)</f>
        <v>2022</v>
      </c>
      <c r="C902" s="10">
        <f t="shared" ref="C902:C965" si="29">MONTH(D902)</f>
        <v>11</v>
      </c>
      <c r="D902" s="20">
        <v>44889</v>
      </c>
      <c r="J902">
        <v>5.3208000000000002</v>
      </c>
    </row>
    <row r="903" spans="2:10" x14ac:dyDescent="0.3">
      <c r="B903" s="10">
        <f t="shared" si="28"/>
        <v>2022</v>
      </c>
      <c r="C903" s="10">
        <f t="shared" si="29"/>
        <v>11</v>
      </c>
      <c r="D903" s="20">
        <v>44888</v>
      </c>
      <c r="E903">
        <v>663.25</v>
      </c>
      <c r="F903">
        <v>1436</v>
      </c>
      <c r="G903">
        <v>409.7</v>
      </c>
      <c r="H903">
        <v>793.5</v>
      </c>
      <c r="I903">
        <v>74.91</v>
      </c>
      <c r="J903">
        <v>5.3590999999999998</v>
      </c>
    </row>
    <row r="904" spans="2:10" x14ac:dyDescent="0.3">
      <c r="B904" s="10">
        <f t="shared" si="28"/>
        <v>2022</v>
      </c>
      <c r="C904" s="10">
        <f t="shared" si="29"/>
        <v>11</v>
      </c>
      <c r="D904" s="20">
        <v>44887</v>
      </c>
      <c r="E904">
        <v>656.75</v>
      </c>
      <c r="F904">
        <v>1429.75</v>
      </c>
      <c r="G904">
        <v>408.6</v>
      </c>
      <c r="H904">
        <v>791.5</v>
      </c>
      <c r="I904">
        <v>73.84</v>
      </c>
      <c r="J904">
        <v>5.3586</v>
      </c>
    </row>
    <row r="905" spans="2:10" x14ac:dyDescent="0.3">
      <c r="B905" s="10">
        <f t="shared" si="28"/>
        <v>2022</v>
      </c>
      <c r="C905" s="10">
        <f t="shared" si="29"/>
        <v>11</v>
      </c>
      <c r="D905" s="20">
        <v>44886</v>
      </c>
      <c r="E905">
        <v>659.5</v>
      </c>
      <c r="F905">
        <v>1436.75</v>
      </c>
      <c r="G905">
        <v>411.4</v>
      </c>
      <c r="H905">
        <v>799.25</v>
      </c>
      <c r="I905">
        <v>73</v>
      </c>
      <c r="J905">
        <v>5.32</v>
      </c>
    </row>
    <row r="906" spans="2:10" x14ac:dyDescent="0.3">
      <c r="B906" s="10">
        <f t="shared" si="28"/>
        <v>2022</v>
      </c>
      <c r="C906" s="10">
        <f t="shared" si="29"/>
        <v>11</v>
      </c>
      <c r="D906" s="20">
        <v>44883</v>
      </c>
      <c r="E906">
        <v>667.75</v>
      </c>
      <c r="F906">
        <v>1428.25</v>
      </c>
      <c r="G906">
        <v>410.4</v>
      </c>
      <c r="H906">
        <v>803.25</v>
      </c>
      <c r="I906">
        <v>72.739999999999995</v>
      </c>
      <c r="J906">
        <v>5.3826999999999998</v>
      </c>
    </row>
    <row r="907" spans="2:10" x14ac:dyDescent="0.3">
      <c r="B907" s="10">
        <f t="shared" si="28"/>
        <v>2022</v>
      </c>
      <c r="C907" s="10">
        <f t="shared" si="29"/>
        <v>11</v>
      </c>
      <c r="D907" s="20">
        <v>44882</v>
      </c>
      <c r="E907">
        <v>667.5</v>
      </c>
      <c r="F907">
        <v>1417</v>
      </c>
      <c r="G907">
        <v>405.7</v>
      </c>
      <c r="H907">
        <v>806.75</v>
      </c>
      <c r="I907">
        <v>72.13</v>
      </c>
      <c r="J907">
        <v>5.4230999999999998</v>
      </c>
    </row>
    <row r="908" spans="2:10" x14ac:dyDescent="0.3">
      <c r="B908" s="10">
        <f t="shared" si="28"/>
        <v>2022</v>
      </c>
      <c r="C908" s="10">
        <f t="shared" si="29"/>
        <v>11</v>
      </c>
      <c r="D908" s="20">
        <v>44881</v>
      </c>
      <c r="E908">
        <v>665.25</v>
      </c>
      <c r="F908">
        <v>1429.25</v>
      </c>
      <c r="G908">
        <v>406.6</v>
      </c>
      <c r="H908">
        <v>817.5</v>
      </c>
      <c r="I908">
        <v>74.08</v>
      </c>
      <c r="J908">
        <v>5.3997999999999999</v>
      </c>
    </row>
    <row r="909" spans="2:10" x14ac:dyDescent="0.3">
      <c r="B909" s="10">
        <f t="shared" si="28"/>
        <v>2022</v>
      </c>
      <c r="C909" s="10">
        <f t="shared" si="29"/>
        <v>11</v>
      </c>
      <c r="D909" s="20">
        <v>44880</v>
      </c>
      <c r="E909">
        <v>666.75</v>
      </c>
      <c r="F909">
        <v>1457.25</v>
      </c>
      <c r="G909">
        <v>409.9</v>
      </c>
      <c r="H909">
        <v>828.25</v>
      </c>
      <c r="I909">
        <v>76.98</v>
      </c>
      <c r="J909">
        <v>5.3324999999999996</v>
      </c>
    </row>
    <row r="910" spans="2:10" x14ac:dyDescent="0.3">
      <c r="B910" s="10">
        <f t="shared" si="28"/>
        <v>2022</v>
      </c>
      <c r="C910" s="10">
        <f t="shared" si="29"/>
        <v>11</v>
      </c>
      <c r="D910" s="20">
        <v>44879</v>
      </c>
      <c r="E910">
        <v>657.25</v>
      </c>
      <c r="F910">
        <v>1441.75</v>
      </c>
      <c r="G910">
        <v>406</v>
      </c>
      <c r="H910">
        <v>818.5</v>
      </c>
      <c r="I910">
        <v>76.28</v>
      </c>
      <c r="J910">
        <v>5.3320999999999996</v>
      </c>
    </row>
    <row r="911" spans="2:10" x14ac:dyDescent="0.3">
      <c r="B911" s="10">
        <f t="shared" si="28"/>
        <v>2022</v>
      </c>
      <c r="C911" s="10">
        <f t="shared" si="29"/>
        <v>11</v>
      </c>
      <c r="D911" s="20">
        <v>44876</v>
      </c>
      <c r="E911">
        <v>658</v>
      </c>
      <c r="F911">
        <v>1455.5</v>
      </c>
      <c r="G911">
        <v>407.4</v>
      </c>
      <c r="H911">
        <v>813.75</v>
      </c>
      <c r="I911">
        <v>76.97</v>
      </c>
      <c r="J911">
        <v>5.3250000000000002</v>
      </c>
    </row>
    <row r="912" spans="2:10" x14ac:dyDescent="0.3">
      <c r="B912" s="10">
        <f t="shared" si="28"/>
        <v>2022</v>
      </c>
      <c r="C912" s="10">
        <f t="shared" si="29"/>
        <v>11</v>
      </c>
      <c r="D912" s="20">
        <v>44875</v>
      </c>
      <c r="E912">
        <v>653.25</v>
      </c>
      <c r="F912">
        <v>1430.5</v>
      </c>
      <c r="G912">
        <v>404.1</v>
      </c>
      <c r="H912">
        <v>803.5</v>
      </c>
      <c r="I912">
        <v>76.09</v>
      </c>
      <c r="J912">
        <v>5.3449</v>
      </c>
    </row>
    <row r="913" spans="2:10" x14ac:dyDescent="0.3">
      <c r="B913" s="10">
        <f t="shared" si="28"/>
        <v>2022</v>
      </c>
      <c r="C913" s="10">
        <f t="shared" si="29"/>
        <v>11</v>
      </c>
      <c r="D913" s="20">
        <v>44874</v>
      </c>
      <c r="E913">
        <v>664.5</v>
      </c>
      <c r="F913">
        <v>1459.75</v>
      </c>
      <c r="G913">
        <v>417.6</v>
      </c>
      <c r="H913">
        <v>806.5</v>
      </c>
      <c r="I913">
        <v>75.540000000000006</v>
      </c>
      <c r="J913">
        <v>5.1863999999999999</v>
      </c>
    </row>
    <row r="914" spans="2:10" x14ac:dyDescent="0.3">
      <c r="B914" s="10">
        <f t="shared" si="28"/>
        <v>2022</v>
      </c>
      <c r="C914" s="10">
        <f t="shared" si="29"/>
        <v>11</v>
      </c>
      <c r="D914" s="20">
        <v>44873</v>
      </c>
      <c r="E914">
        <v>667.5</v>
      </c>
      <c r="F914">
        <v>1444</v>
      </c>
      <c r="G914">
        <v>419.3</v>
      </c>
      <c r="H914">
        <v>827.75</v>
      </c>
      <c r="I914">
        <v>75.03</v>
      </c>
      <c r="J914">
        <v>5.1440000000000001</v>
      </c>
    </row>
    <row r="915" spans="2:10" x14ac:dyDescent="0.3">
      <c r="B915" s="10">
        <f t="shared" si="28"/>
        <v>2022</v>
      </c>
      <c r="C915" s="10">
        <f t="shared" si="29"/>
        <v>11</v>
      </c>
      <c r="D915" s="20">
        <v>44872</v>
      </c>
      <c r="E915">
        <v>675.75</v>
      </c>
      <c r="F915">
        <v>1440</v>
      </c>
      <c r="G915">
        <v>419</v>
      </c>
      <c r="H915">
        <v>845.75</v>
      </c>
      <c r="I915">
        <v>76.33</v>
      </c>
      <c r="J915">
        <v>5.1566999999999998</v>
      </c>
    </row>
    <row r="916" spans="2:10" x14ac:dyDescent="0.3">
      <c r="B916" s="10">
        <f t="shared" si="28"/>
        <v>2022</v>
      </c>
      <c r="C916" s="10">
        <f t="shared" si="29"/>
        <v>11</v>
      </c>
      <c r="D916" s="20">
        <v>44869</v>
      </c>
      <c r="E916">
        <v>681</v>
      </c>
      <c r="F916">
        <v>1451.5</v>
      </c>
      <c r="G916">
        <v>420.4</v>
      </c>
      <c r="H916">
        <v>847.75</v>
      </c>
      <c r="I916">
        <v>77.17</v>
      </c>
      <c r="J916">
        <v>5.0556999999999999</v>
      </c>
    </row>
    <row r="917" spans="2:10" x14ac:dyDescent="0.3">
      <c r="B917" s="10">
        <f t="shared" si="28"/>
        <v>2022</v>
      </c>
      <c r="C917" s="10">
        <f t="shared" si="29"/>
        <v>11</v>
      </c>
      <c r="D917" s="20">
        <v>44868</v>
      </c>
      <c r="E917">
        <v>679.25</v>
      </c>
      <c r="F917">
        <v>1426.75</v>
      </c>
      <c r="G917">
        <v>414.3</v>
      </c>
      <c r="H917">
        <v>840.5</v>
      </c>
      <c r="I917">
        <v>75.290000000000006</v>
      </c>
      <c r="J917">
        <v>5.1136999999999997</v>
      </c>
    </row>
    <row r="918" spans="2:10" x14ac:dyDescent="0.3">
      <c r="B918" s="10">
        <f t="shared" si="28"/>
        <v>2022</v>
      </c>
      <c r="C918" s="10">
        <f t="shared" si="29"/>
        <v>11</v>
      </c>
      <c r="D918" s="20">
        <v>44867</v>
      </c>
      <c r="E918">
        <v>687.5</v>
      </c>
      <c r="F918">
        <v>1440</v>
      </c>
      <c r="G918">
        <v>424.5</v>
      </c>
      <c r="H918">
        <v>846</v>
      </c>
      <c r="I918">
        <v>75.61</v>
      </c>
      <c r="J918">
        <v>5.1432000000000002</v>
      </c>
    </row>
    <row r="919" spans="2:10" x14ac:dyDescent="0.3">
      <c r="B919" s="10">
        <f t="shared" si="28"/>
        <v>2022</v>
      </c>
      <c r="C919" s="10">
        <f t="shared" si="29"/>
        <v>11</v>
      </c>
      <c r="D919" s="20">
        <v>44866</v>
      </c>
      <c r="E919">
        <v>697.75</v>
      </c>
      <c r="F919">
        <v>1435.75</v>
      </c>
      <c r="G919">
        <v>424.8</v>
      </c>
      <c r="H919">
        <v>902.5</v>
      </c>
      <c r="I919">
        <v>73.37</v>
      </c>
      <c r="J919">
        <v>5.1475</v>
      </c>
    </row>
    <row r="920" spans="2:10" x14ac:dyDescent="0.3">
      <c r="B920" s="10">
        <f t="shared" si="28"/>
        <v>2022</v>
      </c>
      <c r="C920" s="10">
        <f t="shared" si="29"/>
        <v>10</v>
      </c>
      <c r="D920" s="20">
        <v>44865</v>
      </c>
      <c r="E920">
        <v>691.5</v>
      </c>
      <c r="F920">
        <v>1407</v>
      </c>
      <c r="G920">
        <v>428.1</v>
      </c>
      <c r="H920">
        <v>882.25</v>
      </c>
      <c r="I920">
        <v>73.209999999999994</v>
      </c>
      <c r="J920">
        <v>5.1791</v>
      </c>
    </row>
    <row r="921" spans="2:10" x14ac:dyDescent="0.3">
      <c r="B921" s="10">
        <f t="shared" si="28"/>
        <v>2022</v>
      </c>
      <c r="C921" s="10">
        <f t="shared" si="29"/>
        <v>10</v>
      </c>
      <c r="D921" s="20">
        <v>44862</v>
      </c>
      <c r="E921">
        <v>680.75</v>
      </c>
      <c r="F921">
        <v>1387.75</v>
      </c>
      <c r="G921">
        <v>425.4</v>
      </c>
      <c r="H921">
        <v>829.25</v>
      </c>
      <c r="I921">
        <v>71.790000000000006</v>
      </c>
      <c r="J921">
        <v>5.2949000000000002</v>
      </c>
    </row>
    <row r="922" spans="2:10" x14ac:dyDescent="0.3">
      <c r="B922" s="10">
        <f t="shared" si="28"/>
        <v>2022</v>
      </c>
      <c r="C922" s="10">
        <f t="shared" si="29"/>
        <v>10</v>
      </c>
      <c r="D922" s="20">
        <v>44861</v>
      </c>
      <c r="E922">
        <v>682.25</v>
      </c>
      <c r="F922">
        <v>1382.25</v>
      </c>
      <c r="G922">
        <v>415.4</v>
      </c>
      <c r="H922">
        <v>838.5</v>
      </c>
      <c r="I922">
        <v>72.3</v>
      </c>
      <c r="J922">
        <v>5.3449</v>
      </c>
    </row>
    <row r="923" spans="2:10" x14ac:dyDescent="0.3">
      <c r="B923" s="10">
        <f t="shared" si="28"/>
        <v>2022</v>
      </c>
      <c r="C923" s="10">
        <f t="shared" si="29"/>
        <v>10</v>
      </c>
      <c r="D923" s="20">
        <v>44860</v>
      </c>
      <c r="E923">
        <v>685</v>
      </c>
      <c r="F923">
        <v>1381.75</v>
      </c>
      <c r="G923">
        <v>408.7</v>
      </c>
      <c r="H923">
        <v>840.5</v>
      </c>
      <c r="I923">
        <v>73.42</v>
      </c>
      <c r="J923">
        <v>5.3803999999999998</v>
      </c>
    </row>
    <row r="924" spans="2:10" x14ac:dyDescent="0.3">
      <c r="B924" s="10">
        <f t="shared" si="28"/>
        <v>2022</v>
      </c>
      <c r="C924" s="10">
        <f t="shared" si="29"/>
        <v>10</v>
      </c>
      <c r="D924" s="20">
        <v>44859</v>
      </c>
      <c r="E924">
        <v>686.25</v>
      </c>
      <c r="F924">
        <v>1382</v>
      </c>
      <c r="G924">
        <v>415.6</v>
      </c>
      <c r="H924">
        <v>834.75</v>
      </c>
      <c r="I924">
        <v>72.28</v>
      </c>
      <c r="J924">
        <v>5.3167</v>
      </c>
    </row>
    <row r="925" spans="2:10" x14ac:dyDescent="0.3">
      <c r="B925" s="10">
        <f t="shared" si="28"/>
        <v>2022</v>
      </c>
      <c r="C925" s="10">
        <f t="shared" si="29"/>
        <v>10</v>
      </c>
      <c r="D925" s="20">
        <v>44858</v>
      </c>
      <c r="E925">
        <v>681.5</v>
      </c>
      <c r="F925">
        <v>1372</v>
      </c>
      <c r="G925">
        <v>408.7</v>
      </c>
      <c r="H925">
        <v>838.75</v>
      </c>
      <c r="I925">
        <v>71.87</v>
      </c>
      <c r="J925">
        <v>5.3032000000000004</v>
      </c>
    </row>
    <row r="926" spans="2:10" x14ac:dyDescent="0.3">
      <c r="B926" s="10">
        <f t="shared" si="28"/>
        <v>2022</v>
      </c>
      <c r="C926" s="10">
        <f t="shared" si="29"/>
        <v>10</v>
      </c>
      <c r="D926" s="20">
        <v>44855</v>
      </c>
      <c r="E926">
        <v>684.25</v>
      </c>
      <c r="F926">
        <v>1395.5</v>
      </c>
      <c r="G926">
        <v>417.9</v>
      </c>
      <c r="H926">
        <v>850.75</v>
      </c>
      <c r="I926">
        <v>71.5</v>
      </c>
      <c r="J926">
        <v>5.1604999999999999</v>
      </c>
    </row>
    <row r="927" spans="2:10" x14ac:dyDescent="0.3">
      <c r="B927" s="10">
        <f t="shared" si="28"/>
        <v>2022</v>
      </c>
      <c r="C927" s="10">
        <f t="shared" si="29"/>
        <v>10</v>
      </c>
      <c r="D927" s="20">
        <v>44854</v>
      </c>
      <c r="E927">
        <v>684</v>
      </c>
      <c r="F927">
        <v>1391.5</v>
      </c>
      <c r="G927">
        <v>413.3</v>
      </c>
      <c r="H927">
        <v>849.25</v>
      </c>
      <c r="I927">
        <v>70.42</v>
      </c>
      <c r="J927">
        <v>5.2146999999999997</v>
      </c>
    </row>
    <row r="928" spans="2:10" x14ac:dyDescent="0.3">
      <c r="B928" s="10">
        <f t="shared" si="28"/>
        <v>2022</v>
      </c>
      <c r="C928" s="10">
        <f t="shared" si="29"/>
        <v>10</v>
      </c>
      <c r="D928" s="20">
        <v>44853</v>
      </c>
      <c r="E928">
        <v>678.25</v>
      </c>
      <c r="F928">
        <v>1372.5</v>
      </c>
      <c r="G928">
        <v>401.7</v>
      </c>
      <c r="H928">
        <v>841.25</v>
      </c>
      <c r="I928">
        <v>70.64</v>
      </c>
      <c r="J928">
        <v>5.27</v>
      </c>
    </row>
    <row r="929" spans="2:10" x14ac:dyDescent="0.3">
      <c r="B929" s="10">
        <f t="shared" si="28"/>
        <v>2022</v>
      </c>
      <c r="C929" s="10">
        <f t="shared" si="29"/>
        <v>10</v>
      </c>
      <c r="D929" s="20">
        <v>44852</v>
      </c>
      <c r="E929">
        <v>681</v>
      </c>
      <c r="F929">
        <v>1372</v>
      </c>
      <c r="G929">
        <v>401.8</v>
      </c>
      <c r="H929">
        <v>849.5</v>
      </c>
      <c r="I929">
        <v>68.739999999999995</v>
      </c>
      <c r="J929">
        <v>5.2404999999999999</v>
      </c>
    </row>
    <row r="930" spans="2:10" x14ac:dyDescent="0.3">
      <c r="B930" s="10">
        <f t="shared" si="28"/>
        <v>2022</v>
      </c>
      <c r="C930" s="10">
        <f t="shared" si="29"/>
        <v>10</v>
      </c>
      <c r="D930" s="20">
        <v>44851</v>
      </c>
      <c r="E930">
        <v>683.5</v>
      </c>
      <c r="F930">
        <v>1385.25</v>
      </c>
      <c r="G930">
        <v>411</v>
      </c>
      <c r="H930">
        <v>861</v>
      </c>
      <c r="I930">
        <v>66.84</v>
      </c>
      <c r="J930">
        <v>5.2808000000000002</v>
      </c>
    </row>
    <row r="931" spans="2:10" x14ac:dyDescent="0.3">
      <c r="B931" s="10">
        <f t="shared" si="28"/>
        <v>2022</v>
      </c>
      <c r="C931" s="10">
        <f t="shared" si="29"/>
        <v>10</v>
      </c>
      <c r="D931" s="20">
        <v>44848</v>
      </c>
      <c r="E931">
        <v>689.75</v>
      </c>
      <c r="F931">
        <v>1383.75</v>
      </c>
      <c r="G931">
        <v>418.5</v>
      </c>
      <c r="H931">
        <v>859.75</v>
      </c>
      <c r="I931">
        <v>69.569999999999993</v>
      </c>
      <c r="J931">
        <v>5.3251999999999997</v>
      </c>
    </row>
    <row r="932" spans="2:10" x14ac:dyDescent="0.3">
      <c r="B932" s="10">
        <f t="shared" si="28"/>
        <v>2022</v>
      </c>
      <c r="C932" s="10">
        <f t="shared" si="29"/>
        <v>10</v>
      </c>
      <c r="D932" s="20">
        <v>44847</v>
      </c>
      <c r="E932">
        <v>697.75</v>
      </c>
      <c r="F932">
        <v>1395.75</v>
      </c>
      <c r="G932">
        <v>418.5</v>
      </c>
      <c r="H932">
        <v>892.25</v>
      </c>
      <c r="I932">
        <v>70.010000000000005</v>
      </c>
      <c r="J932">
        <v>5.2625999999999999</v>
      </c>
    </row>
    <row r="933" spans="2:10" x14ac:dyDescent="0.3">
      <c r="B933" s="10">
        <f t="shared" si="28"/>
        <v>2022</v>
      </c>
      <c r="C933" s="10">
        <f t="shared" si="29"/>
        <v>10</v>
      </c>
      <c r="D933" s="20">
        <v>44846</v>
      </c>
      <c r="E933">
        <v>693</v>
      </c>
      <c r="F933">
        <v>1396</v>
      </c>
      <c r="G933">
        <v>421.8</v>
      </c>
      <c r="H933">
        <v>882.25</v>
      </c>
      <c r="I933">
        <v>69.17</v>
      </c>
      <c r="J933">
        <v>5.2930000000000001</v>
      </c>
    </row>
    <row r="934" spans="2:10" x14ac:dyDescent="0.3">
      <c r="B934" s="10">
        <f t="shared" si="28"/>
        <v>2022</v>
      </c>
      <c r="C934" s="10">
        <f t="shared" si="29"/>
        <v>10</v>
      </c>
      <c r="D934" s="20">
        <v>44845</v>
      </c>
      <c r="E934">
        <v>693</v>
      </c>
      <c r="F934">
        <v>1376.25</v>
      </c>
      <c r="G934">
        <v>410.4</v>
      </c>
      <c r="H934">
        <v>901</v>
      </c>
      <c r="I934">
        <v>68.98</v>
      </c>
      <c r="J934">
        <v>5.3005000000000004</v>
      </c>
    </row>
    <row r="935" spans="2:10" x14ac:dyDescent="0.3">
      <c r="B935" s="10">
        <f t="shared" si="28"/>
        <v>2022</v>
      </c>
      <c r="C935" s="10">
        <f t="shared" si="29"/>
        <v>10</v>
      </c>
      <c r="D935" s="20">
        <v>44844</v>
      </c>
      <c r="E935">
        <v>698.25</v>
      </c>
      <c r="F935">
        <v>1374</v>
      </c>
      <c r="G935">
        <v>410.7</v>
      </c>
      <c r="H935">
        <v>938</v>
      </c>
      <c r="I935">
        <v>69.540000000000006</v>
      </c>
      <c r="J935">
        <v>5.1901000000000002</v>
      </c>
    </row>
    <row r="936" spans="2:10" x14ac:dyDescent="0.3">
      <c r="B936" s="10">
        <f t="shared" si="28"/>
        <v>2022</v>
      </c>
      <c r="C936" s="10">
        <f t="shared" si="29"/>
        <v>10</v>
      </c>
      <c r="D936" s="20">
        <v>44841</v>
      </c>
      <c r="E936">
        <v>683.25</v>
      </c>
      <c r="F936">
        <v>1367</v>
      </c>
      <c r="G936">
        <v>404.9</v>
      </c>
      <c r="H936">
        <v>880.25</v>
      </c>
      <c r="I936">
        <v>70.08</v>
      </c>
      <c r="J936">
        <v>5.1996000000000002</v>
      </c>
    </row>
    <row r="937" spans="2:10" x14ac:dyDescent="0.3">
      <c r="B937" s="10">
        <f t="shared" si="28"/>
        <v>2022</v>
      </c>
      <c r="C937" s="10">
        <f t="shared" si="29"/>
        <v>10</v>
      </c>
      <c r="D937" s="20">
        <v>44840</v>
      </c>
      <c r="E937">
        <v>675.5</v>
      </c>
      <c r="F937">
        <v>1358</v>
      </c>
      <c r="G937">
        <v>397.4</v>
      </c>
      <c r="H937">
        <v>879</v>
      </c>
      <c r="I937">
        <v>69.67</v>
      </c>
      <c r="J937">
        <v>5.2217000000000002</v>
      </c>
    </row>
    <row r="938" spans="2:10" x14ac:dyDescent="0.3">
      <c r="B938" s="10">
        <f t="shared" si="28"/>
        <v>2022</v>
      </c>
      <c r="C938" s="10">
        <f t="shared" si="29"/>
        <v>10</v>
      </c>
      <c r="D938" s="20">
        <v>44839</v>
      </c>
      <c r="E938">
        <v>684</v>
      </c>
      <c r="F938">
        <v>1369.75</v>
      </c>
      <c r="G938">
        <v>402.5</v>
      </c>
      <c r="H938">
        <v>902</v>
      </c>
      <c r="I938">
        <v>69.02</v>
      </c>
      <c r="J938">
        <v>5.194</v>
      </c>
    </row>
    <row r="939" spans="2:10" x14ac:dyDescent="0.3">
      <c r="B939" s="10">
        <f t="shared" si="28"/>
        <v>2022</v>
      </c>
      <c r="C939" s="10">
        <f t="shared" si="29"/>
        <v>10</v>
      </c>
      <c r="D939" s="20">
        <v>44838</v>
      </c>
      <c r="E939">
        <v>683</v>
      </c>
      <c r="F939">
        <v>1383.5</v>
      </c>
      <c r="G939">
        <v>403</v>
      </c>
      <c r="H939">
        <v>903</v>
      </c>
      <c r="I939">
        <v>68.63</v>
      </c>
      <c r="J939">
        <v>5.1769999999999996</v>
      </c>
    </row>
    <row r="940" spans="2:10" x14ac:dyDescent="0.3">
      <c r="B940" s="10">
        <f t="shared" si="28"/>
        <v>2022</v>
      </c>
      <c r="C940" s="10">
        <f t="shared" si="29"/>
        <v>10</v>
      </c>
      <c r="D940" s="20">
        <v>44837</v>
      </c>
      <c r="E940">
        <v>680.75</v>
      </c>
      <c r="F940">
        <v>1374</v>
      </c>
      <c r="G940">
        <v>405.6</v>
      </c>
      <c r="H940">
        <v>912</v>
      </c>
      <c r="I940">
        <v>66.88</v>
      </c>
      <c r="J940">
        <v>5.1672000000000002</v>
      </c>
    </row>
    <row r="941" spans="2:10" x14ac:dyDescent="0.3">
      <c r="B941" s="10">
        <f t="shared" si="28"/>
        <v>2022</v>
      </c>
      <c r="C941" s="10">
        <f t="shared" si="29"/>
        <v>9</v>
      </c>
      <c r="D941" s="20">
        <v>44834</v>
      </c>
      <c r="E941">
        <v>677.5</v>
      </c>
      <c r="F941">
        <v>1364.75</v>
      </c>
      <c r="G941">
        <v>403.2</v>
      </c>
      <c r="H941">
        <v>921.5</v>
      </c>
      <c r="I941">
        <v>65.349999999999994</v>
      </c>
      <c r="J941">
        <v>5.4154</v>
      </c>
    </row>
    <row r="942" spans="2:10" x14ac:dyDescent="0.3">
      <c r="B942" s="10">
        <f t="shared" si="28"/>
        <v>2022</v>
      </c>
      <c r="C942" s="10">
        <f t="shared" si="29"/>
        <v>9</v>
      </c>
      <c r="D942" s="20">
        <v>44833</v>
      </c>
      <c r="E942">
        <v>669.5</v>
      </c>
      <c r="F942">
        <v>1410.75</v>
      </c>
      <c r="G942">
        <v>409.1</v>
      </c>
      <c r="H942">
        <v>896.25</v>
      </c>
      <c r="I942">
        <v>67.48</v>
      </c>
      <c r="J942">
        <v>5.3963999999999999</v>
      </c>
    </row>
    <row r="943" spans="2:10" x14ac:dyDescent="0.3">
      <c r="B943" s="10">
        <f t="shared" si="28"/>
        <v>2022</v>
      </c>
      <c r="C943" s="10">
        <f t="shared" si="29"/>
        <v>9</v>
      </c>
      <c r="D943" s="20">
        <v>44832</v>
      </c>
      <c r="E943">
        <v>670.5</v>
      </c>
      <c r="F943">
        <v>1408.75</v>
      </c>
      <c r="G943">
        <v>421.8</v>
      </c>
      <c r="H943">
        <v>903.25</v>
      </c>
      <c r="I943">
        <v>65.52</v>
      </c>
      <c r="J943">
        <v>5.3745000000000003</v>
      </c>
    </row>
    <row r="944" spans="2:10" x14ac:dyDescent="0.3">
      <c r="B944" s="10">
        <f t="shared" si="28"/>
        <v>2022</v>
      </c>
      <c r="C944" s="10">
        <f t="shared" si="29"/>
        <v>9</v>
      </c>
      <c r="D944" s="20">
        <v>44831</v>
      </c>
      <c r="E944">
        <v>667.5</v>
      </c>
      <c r="F944">
        <v>1408</v>
      </c>
      <c r="G944">
        <v>426.1</v>
      </c>
      <c r="H944">
        <v>871.5</v>
      </c>
      <c r="I944">
        <v>65.66</v>
      </c>
      <c r="J944">
        <v>5.3823999999999996</v>
      </c>
    </row>
    <row r="945" spans="2:10" x14ac:dyDescent="0.3">
      <c r="B945" s="10">
        <f t="shared" si="28"/>
        <v>2022</v>
      </c>
      <c r="C945" s="10">
        <f t="shared" si="29"/>
        <v>9</v>
      </c>
      <c r="D945" s="20">
        <v>44830</v>
      </c>
      <c r="E945">
        <v>666.25</v>
      </c>
      <c r="F945">
        <v>1411.25</v>
      </c>
      <c r="G945">
        <v>432.6</v>
      </c>
      <c r="H945">
        <v>858</v>
      </c>
      <c r="I945">
        <v>66.11</v>
      </c>
      <c r="J945">
        <v>5.3898000000000001</v>
      </c>
    </row>
    <row r="946" spans="2:10" x14ac:dyDescent="0.3">
      <c r="B946" s="10">
        <f t="shared" si="28"/>
        <v>2022</v>
      </c>
      <c r="C946" s="10">
        <f t="shared" si="29"/>
        <v>9</v>
      </c>
      <c r="D946" s="20">
        <v>44827</v>
      </c>
      <c r="E946">
        <v>676.75</v>
      </c>
      <c r="F946">
        <v>1425.75</v>
      </c>
      <c r="G946">
        <v>439.9</v>
      </c>
      <c r="H946">
        <v>880.5</v>
      </c>
      <c r="I946">
        <v>67</v>
      </c>
      <c r="J946">
        <v>5.2595000000000001</v>
      </c>
    </row>
    <row r="947" spans="2:10" x14ac:dyDescent="0.3">
      <c r="B947" s="10">
        <f t="shared" si="28"/>
        <v>2022</v>
      </c>
      <c r="C947" s="10">
        <f t="shared" si="29"/>
        <v>9</v>
      </c>
      <c r="D947" s="20">
        <v>44826</v>
      </c>
      <c r="E947">
        <v>688.25</v>
      </c>
      <c r="F947">
        <v>1457</v>
      </c>
      <c r="G947">
        <v>445.9</v>
      </c>
      <c r="H947">
        <v>910.75</v>
      </c>
      <c r="I947">
        <v>69.430000000000007</v>
      </c>
      <c r="J947">
        <v>5.1166</v>
      </c>
    </row>
    <row r="948" spans="2:10" x14ac:dyDescent="0.3">
      <c r="B948" s="10">
        <f t="shared" si="28"/>
        <v>2022</v>
      </c>
      <c r="C948" s="10">
        <f t="shared" si="29"/>
        <v>9</v>
      </c>
      <c r="D948" s="20">
        <v>44825</v>
      </c>
      <c r="E948">
        <v>685.5</v>
      </c>
      <c r="F948">
        <v>1461.25</v>
      </c>
      <c r="G948">
        <v>454.7</v>
      </c>
      <c r="H948">
        <v>903.75</v>
      </c>
      <c r="I948">
        <v>67.83</v>
      </c>
      <c r="J948">
        <v>5.1715999999999998</v>
      </c>
    </row>
    <row r="949" spans="2:10" x14ac:dyDescent="0.3">
      <c r="B949" s="10">
        <f t="shared" si="28"/>
        <v>2022</v>
      </c>
      <c r="C949" s="10">
        <f t="shared" si="29"/>
        <v>9</v>
      </c>
      <c r="D949" s="20">
        <v>44824</v>
      </c>
      <c r="E949">
        <v>692</v>
      </c>
      <c r="F949">
        <v>1478.75</v>
      </c>
      <c r="G949">
        <v>450.8</v>
      </c>
      <c r="H949">
        <v>893.75</v>
      </c>
      <c r="I949">
        <v>68.59</v>
      </c>
      <c r="J949">
        <v>5.1417000000000002</v>
      </c>
    </row>
    <row r="950" spans="2:10" x14ac:dyDescent="0.3">
      <c r="B950" s="10">
        <f t="shared" si="28"/>
        <v>2022</v>
      </c>
      <c r="C950" s="10">
        <f t="shared" si="29"/>
        <v>9</v>
      </c>
      <c r="D950" s="20">
        <v>44823</v>
      </c>
      <c r="E950">
        <v>678.25</v>
      </c>
      <c r="F950">
        <v>1461.25</v>
      </c>
      <c r="G950">
        <v>438.2</v>
      </c>
      <c r="H950">
        <v>830.5</v>
      </c>
      <c r="I950">
        <v>68</v>
      </c>
      <c r="J950">
        <v>5.1669999999999998</v>
      </c>
    </row>
    <row r="951" spans="2:10" x14ac:dyDescent="0.3">
      <c r="B951" s="10">
        <f t="shared" si="28"/>
        <v>2022</v>
      </c>
      <c r="C951" s="10">
        <f t="shared" si="29"/>
        <v>9</v>
      </c>
      <c r="D951" s="20">
        <v>44820</v>
      </c>
      <c r="E951">
        <v>677.25</v>
      </c>
      <c r="F951">
        <v>1448.5</v>
      </c>
      <c r="G951">
        <v>429.6</v>
      </c>
      <c r="H951">
        <v>859.75</v>
      </c>
      <c r="I951">
        <v>68.66</v>
      </c>
      <c r="J951">
        <v>5.2530999999999999</v>
      </c>
    </row>
    <row r="952" spans="2:10" x14ac:dyDescent="0.3">
      <c r="B952" s="10">
        <f t="shared" si="28"/>
        <v>2022</v>
      </c>
      <c r="C952" s="10">
        <f t="shared" si="29"/>
        <v>9</v>
      </c>
      <c r="D952" s="20">
        <v>44819</v>
      </c>
      <c r="E952">
        <v>677.5</v>
      </c>
      <c r="F952">
        <v>1451.5</v>
      </c>
      <c r="G952">
        <v>434.5</v>
      </c>
      <c r="H952">
        <v>845</v>
      </c>
      <c r="I952">
        <v>66.790000000000006</v>
      </c>
      <c r="J952">
        <v>5.2469999999999999</v>
      </c>
    </row>
    <row r="953" spans="2:10" x14ac:dyDescent="0.3">
      <c r="B953" s="10">
        <f t="shared" si="28"/>
        <v>2022</v>
      </c>
      <c r="C953" s="10">
        <f t="shared" si="29"/>
        <v>9</v>
      </c>
      <c r="D953" s="20">
        <v>44818</v>
      </c>
      <c r="E953">
        <v>709</v>
      </c>
      <c r="F953">
        <v>1503.75</v>
      </c>
      <c r="G953">
        <v>461.3</v>
      </c>
      <c r="H953">
        <v>853.75</v>
      </c>
      <c r="I953">
        <v>68.510000000000005</v>
      </c>
      <c r="J953">
        <v>5.1631</v>
      </c>
    </row>
    <row r="954" spans="2:10" x14ac:dyDescent="0.3">
      <c r="B954" s="10">
        <f t="shared" si="28"/>
        <v>2022</v>
      </c>
      <c r="C954" s="10">
        <f t="shared" si="29"/>
        <v>9</v>
      </c>
      <c r="D954" s="20">
        <v>44817</v>
      </c>
      <c r="E954">
        <v>709</v>
      </c>
      <c r="F954">
        <v>1534.25</v>
      </c>
      <c r="G954">
        <v>462.1</v>
      </c>
      <c r="H954">
        <v>842.75</v>
      </c>
      <c r="I954">
        <v>71.959999999999994</v>
      </c>
      <c r="J954">
        <v>5.1910999999999996</v>
      </c>
    </row>
    <row r="955" spans="2:10" x14ac:dyDescent="0.3">
      <c r="B955" s="10">
        <f t="shared" si="28"/>
        <v>2022</v>
      </c>
      <c r="C955" s="10">
        <f t="shared" si="29"/>
        <v>9</v>
      </c>
      <c r="D955" s="20">
        <v>44816</v>
      </c>
      <c r="E955">
        <v>712.25</v>
      </c>
      <c r="F955">
        <v>1549.75</v>
      </c>
      <c r="G955">
        <v>472.9</v>
      </c>
      <c r="H955">
        <v>841.25</v>
      </c>
      <c r="I955">
        <v>71.92</v>
      </c>
      <c r="J955">
        <v>5.093</v>
      </c>
    </row>
    <row r="956" spans="2:10" x14ac:dyDescent="0.3">
      <c r="B956" s="10">
        <f t="shared" si="28"/>
        <v>2022</v>
      </c>
      <c r="C956" s="10">
        <f t="shared" si="29"/>
        <v>9</v>
      </c>
      <c r="D956" s="20">
        <v>44813</v>
      </c>
      <c r="E956">
        <v>698.5</v>
      </c>
      <c r="F956">
        <v>1489.25</v>
      </c>
      <c r="G956">
        <v>440.9</v>
      </c>
      <c r="H956">
        <v>853.25</v>
      </c>
      <c r="I956">
        <v>70.25</v>
      </c>
      <c r="J956">
        <v>5.1462000000000003</v>
      </c>
    </row>
    <row r="957" spans="2:10" x14ac:dyDescent="0.3">
      <c r="B957" s="10">
        <f t="shared" si="28"/>
        <v>2022</v>
      </c>
      <c r="C957" s="10">
        <f t="shared" si="29"/>
        <v>9</v>
      </c>
      <c r="D957" s="20">
        <v>44812</v>
      </c>
      <c r="E957">
        <v>674.5</v>
      </c>
      <c r="F957">
        <v>1470.5</v>
      </c>
      <c r="G957">
        <v>427.8</v>
      </c>
      <c r="H957">
        <v>810.5</v>
      </c>
      <c r="I957">
        <v>68.86</v>
      </c>
      <c r="J957">
        <v>5.2141000000000002</v>
      </c>
    </row>
    <row r="958" spans="2:10" x14ac:dyDescent="0.3">
      <c r="B958" s="10">
        <f t="shared" si="28"/>
        <v>2022</v>
      </c>
      <c r="C958" s="10">
        <f t="shared" si="29"/>
        <v>9</v>
      </c>
      <c r="D958" s="20">
        <v>44811</v>
      </c>
      <c r="E958">
        <v>676.75</v>
      </c>
      <c r="F958">
        <v>1466.75</v>
      </c>
      <c r="G958">
        <v>436.1</v>
      </c>
      <c r="H958">
        <v>826.5</v>
      </c>
      <c r="I958">
        <v>67.73</v>
      </c>
      <c r="J958">
        <v>5.2480000000000002</v>
      </c>
    </row>
    <row r="959" spans="2:10" x14ac:dyDescent="0.3">
      <c r="B959" s="10">
        <f t="shared" si="28"/>
        <v>2022</v>
      </c>
      <c r="C959" s="10">
        <f t="shared" si="29"/>
        <v>9</v>
      </c>
      <c r="D959" s="20">
        <v>44810</v>
      </c>
      <c r="E959">
        <v>680.75</v>
      </c>
      <c r="F959">
        <v>1490</v>
      </c>
      <c r="G959">
        <v>433.5</v>
      </c>
      <c r="H959">
        <v>800</v>
      </c>
      <c r="I959">
        <v>68.959999999999994</v>
      </c>
      <c r="J959">
        <v>5.2527999999999997</v>
      </c>
    </row>
    <row r="960" spans="2:10" x14ac:dyDescent="0.3">
      <c r="B960" s="10">
        <f t="shared" si="28"/>
        <v>2022</v>
      </c>
      <c r="C960" s="10">
        <f t="shared" si="29"/>
        <v>9</v>
      </c>
      <c r="D960" s="20">
        <v>44809</v>
      </c>
      <c r="J960">
        <v>5.1516000000000002</v>
      </c>
    </row>
    <row r="961" spans="2:10" x14ac:dyDescent="0.3">
      <c r="B961" s="10">
        <f t="shared" si="28"/>
        <v>2022</v>
      </c>
      <c r="C961" s="10">
        <f t="shared" si="29"/>
        <v>9</v>
      </c>
      <c r="D961" s="20">
        <v>44806</v>
      </c>
      <c r="E961">
        <v>669</v>
      </c>
      <c r="F961">
        <v>1510.5</v>
      </c>
      <c r="G961">
        <v>444.1</v>
      </c>
      <c r="H961">
        <v>793</v>
      </c>
      <c r="I961">
        <v>71.5</v>
      </c>
      <c r="J961">
        <v>5.1680999999999999</v>
      </c>
    </row>
    <row r="962" spans="2:10" x14ac:dyDescent="0.3">
      <c r="B962" s="10">
        <f t="shared" si="28"/>
        <v>2022</v>
      </c>
      <c r="C962" s="10">
        <f t="shared" si="29"/>
        <v>9</v>
      </c>
      <c r="D962" s="20">
        <v>44805</v>
      </c>
      <c r="E962">
        <v>658.25</v>
      </c>
      <c r="F962">
        <v>1472.75</v>
      </c>
      <c r="G962">
        <v>452</v>
      </c>
      <c r="H962">
        <v>775.5</v>
      </c>
      <c r="I962">
        <v>68.52</v>
      </c>
      <c r="J962">
        <v>5.2416</v>
      </c>
    </row>
    <row r="963" spans="2:10" x14ac:dyDescent="0.3">
      <c r="B963" s="10">
        <f t="shared" si="28"/>
        <v>2022</v>
      </c>
      <c r="C963" s="10">
        <f t="shared" si="29"/>
        <v>8</v>
      </c>
      <c r="D963" s="20">
        <v>44804</v>
      </c>
      <c r="E963">
        <v>673.75</v>
      </c>
      <c r="F963">
        <v>1507.5</v>
      </c>
      <c r="G963">
        <v>458.9</v>
      </c>
      <c r="H963">
        <v>809</v>
      </c>
      <c r="I963">
        <v>72.739999999999995</v>
      </c>
      <c r="J963">
        <v>5.1830999999999996</v>
      </c>
    </row>
    <row r="964" spans="2:10" x14ac:dyDescent="0.3">
      <c r="B964" s="10">
        <f t="shared" si="28"/>
        <v>2022</v>
      </c>
      <c r="C964" s="10">
        <f t="shared" si="29"/>
        <v>8</v>
      </c>
      <c r="D964" s="20">
        <v>44803</v>
      </c>
      <c r="E964">
        <v>679.75</v>
      </c>
      <c r="F964">
        <v>1513</v>
      </c>
      <c r="G964">
        <v>462.4</v>
      </c>
      <c r="H964">
        <v>798.25</v>
      </c>
      <c r="I964">
        <v>70.790000000000006</v>
      </c>
      <c r="J964">
        <v>5.1223000000000001</v>
      </c>
    </row>
    <row r="965" spans="2:10" x14ac:dyDescent="0.3">
      <c r="B965" s="10">
        <f t="shared" si="28"/>
        <v>2022</v>
      </c>
      <c r="C965" s="10">
        <f t="shared" si="29"/>
        <v>8</v>
      </c>
      <c r="D965" s="20">
        <v>44802</v>
      </c>
      <c r="E965">
        <v>683.75</v>
      </c>
      <c r="F965">
        <v>1534.75</v>
      </c>
      <c r="G965">
        <v>478.4</v>
      </c>
      <c r="H965">
        <v>820</v>
      </c>
      <c r="I965">
        <v>70.98</v>
      </c>
      <c r="J965">
        <v>5.0282</v>
      </c>
    </row>
    <row r="966" spans="2:10" x14ac:dyDescent="0.3">
      <c r="B966" s="10">
        <f t="shared" ref="B966:B1029" si="30">YEAR(D966)</f>
        <v>2022</v>
      </c>
      <c r="C966" s="10">
        <f t="shared" ref="C966:C1029" si="31">MONTH(D966)</f>
        <v>8</v>
      </c>
      <c r="D966" s="20">
        <v>44799</v>
      </c>
      <c r="E966">
        <v>668.75</v>
      </c>
      <c r="F966">
        <v>1605.25</v>
      </c>
      <c r="G966">
        <v>478.1</v>
      </c>
      <c r="H966">
        <v>784.75</v>
      </c>
      <c r="I966">
        <v>70.819999999999993</v>
      </c>
      <c r="J966">
        <v>5.0601000000000003</v>
      </c>
    </row>
    <row r="967" spans="2:10" x14ac:dyDescent="0.3">
      <c r="B967" s="10">
        <f t="shared" si="30"/>
        <v>2022</v>
      </c>
      <c r="C967" s="10">
        <f t="shared" si="31"/>
        <v>8</v>
      </c>
      <c r="D967" s="20">
        <v>44798</v>
      </c>
      <c r="E967">
        <v>657.5</v>
      </c>
      <c r="F967">
        <v>1552.5</v>
      </c>
      <c r="G967">
        <v>458</v>
      </c>
      <c r="H967">
        <v>769.75</v>
      </c>
      <c r="I967">
        <v>69.09</v>
      </c>
      <c r="J967">
        <v>5.1098999999999997</v>
      </c>
    </row>
    <row r="968" spans="2:10" x14ac:dyDescent="0.3">
      <c r="B968" s="10">
        <f t="shared" si="30"/>
        <v>2022</v>
      </c>
      <c r="C968" s="10">
        <f t="shared" si="31"/>
        <v>8</v>
      </c>
      <c r="D968" s="20">
        <v>44797</v>
      </c>
      <c r="E968">
        <v>665.75</v>
      </c>
      <c r="F968">
        <v>1560.75</v>
      </c>
      <c r="G968">
        <v>467.7</v>
      </c>
      <c r="H968">
        <v>795</v>
      </c>
      <c r="I968">
        <v>68.77</v>
      </c>
      <c r="J968">
        <v>5.1113999999999997</v>
      </c>
    </row>
    <row r="969" spans="2:10" x14ac:dyDescent="0.3">
      <c r="B969" s="10">
        <f t="shared" si="30"/>
        <v>2022</v>
      </c>
      <c r="C969" s="10">
        <f t="shared" si="31"/>
        <v>8</v>
      </c>
      <c r="D969" s="20">
        <v>44796</v>
      </c>
      <c r="E969">
        <v>660</v>
      </c>
      <c r="F969">
        <v>1566.75</v>
      </c>
      <c r="G969">
        <v>468.5</v>
      </c>
      <c r="H969">
        <v>782.75</v>
      </c>
      <c r="I969">
        <v>69.59</v>
      </c>
      <c r="J969">
        <v>5.1036999999999999</v>
      </c>
    </row>
    <row r="970" spans="2:10" x14ac:dyDescent="0.3">
      <c r="B970" s="10">
        <f t="shared" si="30"/>
        <v>2022</v>
      </c>
      <c r="C970" s="10">
        <f t="shared" si="31"/>
        <v>8</v>
      </c>
      <c r="D970" s="20">
        <v>44795</v>
      </c>
      <c r="E970">
        <v>633.5</v>
      </c>
      <c r="F970">
        <v>1527</v>
      </c>
      <c r="G970">
        <v>460.5</v>
      </c>
      <c r="H970">
        <v>770.5</v>
      </c>
      <c r="I970">
        <v>68.77</v>
      </c>
      <c r="J970">
        <v>5.1574</v>
      </c>
    </row>
    <row r="971" spans="2:10" x14ac:dyDescent="0.3">
      <c r="B971" s="10">
        <f t="shared" si="30"/>
        <v>2022</v>
      </c>
      <c r="C971" s="10">
        <f t="shared" si="31"/>
        <v>8</v>
      </c>
      <c r="D971" s="20">
        <v>44792</v>
      </c>
      <c r="E971">
        <v>626</v>
      </c>
      <c r="F971">
        <v>1488.75</v>
      </c>
      <c r="G971">
        <v>448.7</v>
      </c>
      <c r="H971">
        <v>753.25</v>
      </c>
      <c r="I971">
        <v>67.900000000000006</v>
      </c>
      <c r="J971">
        <v>5.1696999999999997</v>
      </c>
    </row>
    <row r="972" spans="2:10" x14ac:dyDescent="0.3">
      <c r="B972" s="10">
        <f t="shared" si="30"/>
        <v>2022</v>
      </c>
      <c r="C972" s="10">
        <f t="shared" si="31"/>
        <v>8</v>
      </c>
      <c r="D972" s="20">
        <v>44791</v>
      </c>
      <c r="E972">
        <v>619.75</v>
      </c>
      <c r="F972">
        <v>1495.5</v>
      </c>
      <c r="G972">
        <v>449.4</v>
      </c>
      <c r="H972">
        <v>731.5</v>
      </c>
      <c r="I972">
        <v>66.260000000000005</v>
      </c>
      <c r="J972">
        <v>5.1673999999999998</v>
      </c>
    </row>
    <row r="973" spans="2:10" x14ac:dyDescent="0.3">
      <c r="B973" s="10">
        <f t="shared" si="30"/>
        <v>2022</v>
      </c>
      <c r="C973" s="10">
        <f t="shared" si="31"/>
        <v>8</v>
      </c>
      <c r="D973" s="20">
        <v>44790</v>
      </c>
      <c r="E973">
        <v>615</v>
      </c>
      <c r="F973">
        <v>1475.25</v>
      </c>
      <c r="G973">
        <v>440.6</v>
      </c>
      <c r="H973">
        <v>763.25</v>
      </c>
      <c r="I973">
        <v>67.41</v>
      </c>
      <c r="J973">
        <v>5.1642000000000001</v>
      </c>
    </row>
    <row r="974" spans="2:10" x14ac:dyDescent="0.3">
      <c r="B974" s="10">
        <f t="shared" si="30"/>
        <v>2022</v>
      </c>
      <c r="C974" s="10">
        <f t="shared" si="31"/>
        <v>8</v>
      </c>
      <c r="D974" s="20">
        <v>44789</v>
      </c>
      <c r="E974">
        <v>611</v>
      </c>
      <c r="F974">
        <v>1454.25</v>
      </c>
      <c r="G974">
        <v>435.9</v>
      </c>
      <c r="H974">
        <v>786</v>
      </c>
      <c r="I974">
        <v>67.84</v>
      </c>
      <c r="J974">
        <v>5.1459000000000001</v>
      </c>
    </row>
    <row r="975" spans="2:10" x14ac:dyDescent="0.3">
      <c r="B975" s="10">
        <f t="shared" si="30"/>
        <v>2022</v>
      </c>
      <c r="C975" s="10">
        <f t="shared" si="31"/>
        <v>8</v>
      </c>
      <c r="D975" s="20">
        <v>44788</v>
      </c>
      <c r="E975">
        <v>626.75</v>
      </c>
      <c r="F975">
        <v>1494</v>
      </c>
      <c r="G975">
        <v>452.2</v>
      </c>
      <c r="H975">
        <v>800.75</v>
      </c>
      <c r="I975">
        <v>68.94</v>
      </c>
      <c r="J975">
        <v>5.0960999999999999</v>
      </c>
    </row>
    <row r="976" spans="2:10" x14ac:dyDescent="0.3">
      <c r="B976" s="10">
        <f t="shared" si="30"/>
        <v>2022</v>
      </c>
      <c r="C976" s="10">
        <f t="shared" si="31"/>
        <v>8</v>
      </c>
      <c r="D976" s="20">
        <v>44785</v>
      </c>
      <c r="E976">
        <v>639.75</v>
      </c>
      <c r="F976">
        <v>1669.25</v>
      </c>
      <c r="G976">
        <v>520.20000000000005</v>
      </c>
      <c r="H976">
        <v>806</v>
      </c>
      <c r="I976">
        <v>71.97</v>
      </c>
      <c r="J976">
        <v>5.0735000000000001</v>
      </c>
    </row>
    <row r="977" spans="2:10" x14ac:dyDescent="0.3">
      <c r="B977" s="10">
        <f t="shared" si="30"/>
        <v>2022</v>
      </c>
      <c r="C977" s="10">
        <f t="shared" si="31"/>
        <v>8</v>
      </c>
      <c r="D977" s="20">
        <v>44784</v>
      </c>
      <c r="E977">
        <v>629.25</v>
      </c>
      <c r="F977">
        <v>1709.5</v>
      </c>
      <c r="G977">
        <v>520.20000000000005</v>
      </c>
      <c r="H977">
        <v>810.75</v>
      </c>
      <c r="I977">
        <v>71.97</v>
      </c>
      <c r="J977">
        <v>5.1581000000000001</v>
      </c>
    </row>
    <row r="978" spans="2:10" x14ac:dyDescent="0.3">
      <c r="B978" s="10">
        <f t="shared" si="30"/>
        <v>2022</v>
      </c>
      <c r="C978" s="10">
        <f t="shared" si="31"/>
        <v>8</v>
      </c>
      <c r="D978" s="20">
        <v>44783</v>
      </c>
      <c r="E978">
        <v>621.25</v>
      </c>
      <c r="F978">
        <v>1688.75</v>
      </c>
      <c r="G978">
        <v>515.6</v>
      </c>
      <c r="H978">
        <v>799.75</v>
      </c>
      <c r="I978">
        <v>70.56</v>
      </c>
      <c r="J978">
        <v>5.0926999999999998</v>
      </c>
    </row>
    <row r="979" spans="2:10" x14ac:dyDescent="0.3">
      <c r="B979" s="10">
        <f t="shared" si="30"/>
        <v>2022</v>
      </c>
      <c r="C979" s="10">
        <f t="shared" si="31"/>
        <v>8</v>
      </c>
      <c r="D979" s="20">
        <v>44782</v>
      </c>
      <c r="E979">
        <v>615.5</v>
      </c>
      <c r="F979">
        <v>1693.25</v>
      </c>
      <c r="G979">
        <v>513.6</v>
      </c>
      <c r="H979">
        <v>781.5</v>
      </c>
      <c r="I979">
        <v>69.69</v>
      </c>
      <c r="J979">
        <v>5.1237000000000004</v>
      </c>
    </row>
    <row r="980" spans="2:10" x14ac:dyDescent="0.3">
      <c r="B980" s="10">
        <f t="shared" si="30"/>
        <v>2022</v>
      </c>
      <c r="C980" s="10">
        <f t="shared" si="31"/>
        <v>8</v>
      </c>
      <c r="D980" s="20">
        <v>44781</v>
      </c>
      <c r="E980">
        <v>608.5</v>
      </c>
      <c r="F980">
        <v>1619.5</v>
      </c>
      <c r="G980">
        <v>498.7</v>
      </c>
      <c r="H980">
        <v>779.75</v>
      </c>
      <c r="I980">
        <v>69.2</v>
      </c>
      <c r="J980">
        <v>5.1116999999999999</v>
      </c>
    </row>
    <row r="981" spans="2:10" x14ac:dyDescent="0.3">
      <c r="B981" s="10">
        <f t="shared" si="30"/>
        <v>2022</v>
      </c>
      <c r="C981" s="10">
        <f t="shared" si="31"/>
        <v>8</v>
      </c>
      <c r="D981" s="20">
        <v>44778</v>
      </c>
      <c r="E981">
        <v>610.25</v>
      </c>
      <c r="F981">
        <v>1614.75</v>
      </c>
      <c r="G981">
        <v>499.1</v>
      </c>
      <c r="H981">
        <v>775.75</v>
      </c>
      <c r="I981">
        <v>68.59</v>
      </c>
      <c r="J981">
        <v>5.1646000000000001</v>
      </c>
    </row>
    <row r="982" spans="2:10" x14ac:dyDescent="0.3">
      <c r="B982" s="10">
        <f t="shared" si="30"/>
        <v>2022</v>
      </c>
      <c r="C982" s="10">
        <f t="shared" si="31"/>
        <v>8</v>
      </c>
      <c r="D982" s="20">
        <v>44777</v>
      </c>
      <c r="E982">
        <v>602.25</v>
      </c>
      <c r="F982">
        <v>1615</v>
      </c>
      <c r="G982">
        <v>513.70000000000005</v>
      </c>
      <c r="H982">
        <v>782.5</v>
      </c>
      <c r="I982">
        <v>66.040000000000006</v>
      </c>
      <c r="J982">
        <v>5.2164000000000001</v>
      </c>
    </row>
    <row r="983" spans="2:10" x14ac:dyDescent="0.3">
      <c r="B983" s="10">
        <f t="shared" si="30"/>
        <v>2022</v>
      </c>
      <c r="C983" s="10">
        <f t="shared" si="31"/>
        <v>8</v>
      </c>
      <c r="D983" s="20">
        <v>44776</v>
      </c>
      <c r="E983">
        <v>591.5</v>
      </c>
      <c r="F983">
        <v>1558</v>
      </c>
      <c r="G983">
        <v>481.7</v>
      </c>
      <c r="H983">
        <v>763.75</v>
      </c>
      <c r="I983">
        <v>65.08</v>
      </c>
      <c r="J983">
        <v>5.2815000000000003</v>
      </c>
    </row>
    <row r="984" spans="2:10" x14ac:dyDescent="0.3">
      <c r="B984" s="10">
        <f t="shared" si="30"/>
        <v>2022</v>
      </c>
      <c r="C984" s="10">
        <f t="shared" si="31"/>
        <v>8</v>
      </c>
      <c r="D984" s="20">
        <v>44775</v>
      </c>
      <c r="E984">
        <v>591.25</v>
      </c>
      <c r="F984">
        <v>1569.25</v>
      </c>
      <c r="G984">
        <v>489.2</v>
      </c>
      <c r="H984">
        <v>774.75</v>
      </c>
      <c r="I984">
        <v>65.2</v>
      </c>
      <c r="J984">
        <v>5.2784000000000004</v>
      </c>
    </row>
    <row r="985" spans="2:10" x14ac:dyDescent="0.3">
      <c r="B985" s="10">
        <f t="shared" si="30"/>
        <v>2022</v>
      </c>
      <c r="C985" s="10">
        <f t="shared" si="31"/>
        <v>8</v>
      </c>
      <c r="D985" s="20">
        <v>44774</v>
      </c>
      <c r="E985">
        <v>607</v>
      </c>
      <c r="F985">
        <v>1594.25</v>
      </c>
      <c r="G985">
        <v>487</v>
      </c>
      <c r="H985">
        <v>800.25</v>
      </c>
      <c r="I985">
        <v>66.23</v>
      </c>
      <c r="J985">
        <v>5.1837999999999997</v>
      </c>
    </row>
    <row r="986" spans="2:10" x14ac:dyDescent="0.3">
      <c r="B986" s="10">
        <f t="shared" si="30"/>
        <v>2022</v>
      </c>
      <c r="C986" s="10">
        <f t="shared" si="31"/>
        <v>7</v>
      </c>
      <c r="D986" s="20">
        <v>44771</v>
      </c>
      <c r="E986">
        <v>616.25</v>
      </c>
      <c r="F986">
        <v>1637</v>
      </c>
      <c r="G986">
        <v>495.3</v>
      </c>
      <c r="H986">
        <v>807.75</v>
      </c>
      <c r="I986">
        <v>68.599999999999994</v>
      </c>
      <c r="J986">
        <v>5.1734</v>
      </c>
    </row>
    <row r="987" spans="2:10" x14ac:dyDescent="0.3">
      <c r="B987" s="10">
        <f t="shared" si="30"/>
        <v>2022</v>
      </c>
      <c r="C987" s="10">
        <f t="shared" si="31"/>
        <v>7</v>
      </c>
      <c r="D987" s="20">
        <v>44770</v>
      </c>
      <c r="E987">
        <v>615</v>
      </c>
      <c r="F987">
        <v>1609.25</v>
      </c>
      <c r="G987">
        <v>489.7</v>
      </c>
      <c r="H987">
        <v>817</v>
      </c>
      <c r="I987">
        <v>65.84</v>
      </c>
      <c r="J987">
        <v>5.1822999999999997</v>
      </c>
    </row>
    <row r="988" spans="2:10" x14ac:dyDescent="0.3">
      <c r="B988" s="10">
        <f t="shared" si="30"/>
        <v>2022</v>
      </c>
      <c r="C988" s="10">
        <f t="shared" si="31"/>
        <v>7</v>
      </c>
      <c r="D988" s="20">
        <v>44769</v>
      </c>
      <c r="E988">
        <v>600.25</v>
      </c>
      <c r="F988">
        <v>1578.75</v>
      </c>
      <c r="G988">
        <v>488.9</v>
      </c>
      <c r="H988">
        <v>790.25</v>
      </c>
      <c r="I988">
        <v>61.18</v>
      </c>
      <c r="J988">
        <v>5.2431999999999999</v>
      </c>
    </row>
    <row r="989" spans="2:10" x14ac:dyDescent="0.3">
      <c r="B989" s="10">
        <f t="shared" si="30"/>
        <v>2022</v>
      </c>
      <c r="C989" s="10">
        <f t="shared" si="31"/>
        <v>7</v>
      </c>
      <c r="D989" s="20">
        <v>44768</v>
      </c>
      <c r="E989">
        <v>597</v>
      </c>
      <c r="F989">
        <v>1532.75</v>
      </c>
      <c r="G989">
        <v>472.4</v>
      </c>
      <c r="H989">
        <v>803.75</v>
      </c>
      <c r="I989">
        <v>60.42</v>
      </c>
      <c r="J989">
        <v>5.3510999999999997</v>
      </c>
    </row>
    <row r="990" spans="2:10" x14ac:dyDescent="0.3">
      <c r="B990" s="10">
        <f t="shared" si="30"/>
        <v>2022</v>
      </c>
      <c r="C990" s="10">
        <f t="shared" si="31"/>
        <v>7</v>
      </c>
      <c r="D990" s="20">
        <v>44767</v>
      </c>
      <c r="E990">
        <v>580</v>
      </c>
      <c r="F990">
        <v>1473</v>
      </c>
      <c r="G990">
        <v>447.5</v>
      </c>
      <c r="H990">
        <v>770</v>
      </c>
      <c r="I990">
        <v>60.01</v>
      </c>
      <c r="J990">
        <v>5.3575999999999997</v>
      </c>
    </row>
    <row r="991" spans="2:10" x14ac:dyDescent="0.3">
      <c r="B991" s="10">
        <f t="shared" si="30"/>
        <v>2022</v>
      </c>
      <c r="C991" s="10">
        <f t="shared" si="31"/>
        <v>7</v>
      </c>
      <c r="D991" s="20">
        <v>44764</v>
      </c>
      <c r="E991">
        <v>564.25</v>
      </c>
      <c r="F991">
        <v>1434.5</v>
      </c>
      <c r="G991">
        <v>431.5</v>
      </c>
      <c r="H991">
        <v>759</v>
      </c>
      <c r="I991">
        <v>60.32</v>
      </c>
      <c r="J991">
        <v>5.4968000000000004</v>
      </c>
    </row>
    <row r="992" spans="2:10" x14ac:dyDescent="0.3">
      <c r="B992" s="10">
        <f t="shared" si="30"/>
        <v>2022</v>
      </c>
      <c r="C992" s="10">
        <f t="shared" si="31"/>
        <v>7</v>
      </c>
      <c r="D992" s="20">
        <v>44763</v>
      </c>
      <c r="E992">
        <v>575.75</v>
      </c>
      <c r="F992">
        <v>1418.5</v>
      </c>
      <c r="G992">
        <v>434.4</v>
      </c>
      <c r="H992">
        <v>806.25</v>
      </c>
      <c r="I992">
        <v>58.6</v>
      </c>
      <c r="J992">
        <v>5.4968000000000004</v>
      </c>
    </row>
    <row r="993" spans="2:10" x14ac:dyDescent="0.3">
      <c r="B993" s="10">
        <f t="shared" si="30"/>
        <v>2022</v>
      </c>
      <c r="C993" s="10">
        <f t="shared" si="31"/>
        <v>7</v>
      </c>
      <c r="D993" s="20">
        <v>44762</v>
      </c>
      <c r="E993">
        <v>592.25</v>
      </c>
      <c r="F993">
        <v>1449</v>
      </c>
      <c r="G993">
        <v>436.5</v>
      </c>
      <c r="H993">
        <v>819.5</v>
      </c>
      <c r="I993">
        <v>60.03</v>
      </c>
      <c r="J993">
        <v>5.4714</v>
      </c>
    </row>
    <row r="994" spans="2:10" x14ac:dyDescent="0.3">
      <c r="B994" s="10">
        <f t="shared" si="30"/>
        <v>2022</v>
      </c>
      <c r="C994" s="10">
        <f t="shared" si="31"/>
        <v>7</v>
      </c>
      <c r="D994" s="20">
        <v>44761</v>
      </c>
      <c r="E994">
        <v>596.75</v>
      </c>
      <c r="F994">
        <v>1477.25</v>
      </c>
      <c r="G994">
        <v>435</v>
      </c>
      <c r="H994">
        <v>812.25</v>
      </c>
      <c r="I994">
        <v>61.89</v>
      </c>
      <c r="J994">
        <v>5.4135</v>
      </c>
    </row>
    <row r="995" spans="2:10" x14ac:dyDescent="0.3">
      <c r="B995" s="10">
        <f t="shared" si="30"/>
        <v>2022</v>
      </c>
      <c r="C995" s="10">
        <f t="shared" si="31"/>
        <v>7</v>
      </c>
      <c r="D995" s="20">
        <v>44760</v>
      </c>
      <c r="E995">
        <v>612.25</v>
      </c>
      <c r="F995">
        <v>1497.25</v>
      </c>
      <c r="G995">
        <v>434.5</v>
      </c>
      <c r="H995">
        <v>812.75</v>
      </c>
      <c r="I995">
        <v>63.2</v>
      </c>
      <c r="J995">
        <v>5.4375</v>
      </c>
    </row>
    <row r="996" spans="2:10" x14ac:dyDescent="0.3">
      <c r="B996" s="10">
        <f t="shared" si="30"/>
        <v>2022</v>
      </c>
      <c r="C996" s="10">
        <f t="shared" si="31"/>
        <v>7</v>
      </c>
      <c r="D996" s="20">
        <v>44757</v>
      </c>
      <c r="E996">
        <v>604.25</v>
      </c>
      <c r="F996">
        <v>1466</v>
      </c>
      <c r="G996">
        <v>431</v>
      </c>
      <c r="H996">
        <v>776.75</v>
      </c>
      <c r="I996">
        <v>60.08</v>
      </c>
      <c r="J996">
        <v>5.4081999999999999</v>
      </c>
    </row>
    <row r="997" spans="2:10" x14ac:dyDescent="0.3">
      <c r="B997" s="10">
        <f t="shared" si="30"/>
        <v>2022</v>
      </c>
      <c r="C997" s="10">
        <f t="shared" si="31"/>
        <v>7</v>
      </c>
      <c r="D997" s="20">
        <v>44756</v>
      </c>
      <c r="E997">
        <v>695</v>
      </c>
      <c r="F997">
        <v>1610</v>
      </c>
      <c r="G997">
        <v>497.3</v>
      </c>
      <c r="H997">
        <v>794.25</v>
      </c>
      <c r="I997">
        <v>59.8</v>
      </c>
      <c r="J997">
        <v>5.4233000000000002</v>
      </c>
    </row>
    <row r="998" spans="2:10" x14ac:dyDescent="0.3">
      <c r="B998" s="10">
        <f t="shared" si="30"/>
        <v>2022</v>
      </c>
      <c r="C998" s="10">
        <f t="shared" si="31"/>
        <v>7</v>
      </c>
      <c r="D998" s="20">
        <v>44755</v>
      </c>
      <c r="E998">
        <v>740</v>
      </c>
      <c r="F998">
        <v>1588.25</v>
      </c>
      <c r="G998">
        <v>491.5</v>
      </c>
      <c r="H998">
        <v>798.25</v>
      </c>
      <c r="I998">
        <v>60.21</v>
      </c>
      <c r="J998">
        <v>5.3917000000000002</v>
      </c>
    </row>
    <row r="999" spans="2:10" x14ac:dyDescent="0.3">
      <c r="B999" s="10">
        <f t="shared" si="30"/>
        <v>2022</v>
      </c>
      <c r="C999" s="10">
        <f t="shared" si="31"/>
        <v>7</v>
      </c>
      <c r="D999" s="20">
        <v>44754</v>
      </c>
      <c r="E999">
        <v>732.75</v>
      </c>
      <c r="F999">
        <v>1592.75</v>
      </c>
      <c r="G999">
        <v>478.7</v>
      </c>
      <c r="H999">
        <v>801.5</v>
      </c>
      <c r="I999">
        <v>61.41</v>
      </c>
      <c r="J999">
        <v>5.4367999999999999</v>
      </c>
    </row>
    <row r="1000" spans="2:10" x14ac:dyDescent="0.3">
      <c r="B1000" s="10">
        <f t="shared" si="30"/>
        <v>2022</v>
      </c>
      <c r="C1000" s="10">
        <f t="shared" si="31"/>
        <v>7</v>
      </c>
      <c r="D1000" s="20">
        <v>44753</v>
      </c>
      <c r="E1000">
        <v>781.25</v>
      </c>
      <c r="F1000">
        <v>1641</v>
      </c>
      <c r="G1000">
        <v>482.9</v>
      </c>
      <c r="H1000">
        <v>843.75</v>
      </c>
      <c r="I1000">
        <v>65.209999999999994</v>
      </c>
      <c r="J1000">
        <v>5.3781999999999996</v>
      </c>
    </row>
    <row r="1001" spans="2:10" x14ac:dyDescent="0.3">
      <c r="B1001" s="10">
        <f t="shared" si="30"/>
        <v>2022</v>
      </c>
      <c r="C1001" s="10">
        <f t="shared" si="31"/>
        <v>7</v>
      </c>
      <c r="D1001" s="20">
        <v>44750</v>
      </c>
      <c r="E1001">
        <v>778.25</v>
      </c>
      <c r="F1001">
        <v>1630.25</v>
      </c>
      <c r="G1001">
        <v>478.4</v>
      </c>
      <c r="H1001">
        <v>879.25</v>
      </c>
      <c r="I1001">
        <v>64.069999999999993</v>
      </c>
      <c r="J1001">
        <v>5.2535999999999996</v>
      </c>
    </row>
    <row r="1002" spans="2:10" x14ac:dyDescent="0.3">
      <c r="B1002" s="10">
        <f t="shared" si="30"/>
        <v>2022</v>
      </c>
      <c r="C1002" s="10">
        <f t="shared" si="31"/>
        <v>7</v>
      </c>
      <c r="D1002" s="20">
        <v>44749</v>
      </c>
      <c r="E1002">
        <v>747</v>
      </c>
      <c r="F1002">
        <v>1591.25</v>
      </c>
      <c r="G1002">
        <v>470</v>
      </c>
      <c r="H1002">
        <v>824.5</v>
      </c>
      <c r="I1002">
        <v>63.17</v>
      </c>
      <c r="J1002">
        <v>5.3391000000000002</v>
      </c>
    </row>
    <row r="1003" spans="2:10" x14ac:dyDescent="0.3">
      <c r="B1003" s="10">
        <f t="shared" si="30"/>
        <v>2022</v>
      </c>
      <c r="C1003" s="10">
        <f t="shared" si="31"/>
        <v>7</v>
      </c>
      <c r="D1003" s="20">
        <v>44748</v>
      </c>
      <c r="E1003">
        <v>744.25</v>
      </c>
      <c r="F1003">
        <v>1580.25</v>
      </c>
      <c r="G1003">
        <v>462.6</v>
      </c>
      <c r="H1003">
        <v>792.25</v>
      </c>
      <c r="I1003">
        <v>60.22</v>
      </c>
      <c r="J1003">
        <v>5.4287000000000001</v>
      </c>
    </row>
    <row r="1004" spans="2:10" x14ac:dyDescent="0.3">
      <c r="B1004" s="10">
        <f t="shared" si="30"/>
        <v>2022</v>
      </c>
      <c r="C1004" s="10">
        <f t="shared" si="31"/>
        <v>7</v>
      </c>
      <c r="D1004" s="20">
        <v>44747</v>
      </c>
      <c r="E1004">
        <v>736</v>
      </c>
      <c r="F1004">
        <v>1575.25</v>
      </c>
      <c r="G1004">
        <v>452.8</v>
      </c>
      <c r="H1004">
        <v>793.75</v>
      </c>
      <c r="I1004">
        <v>60.52</v>
      </c>
      <c r="J1004">
        <v>5.3860999999999999</v>
      </c>
    </row>
    <row r="1005" spans="2:10" x14ac:dyDescent="0.3">
      <c r="B1005" s="10">
        <f t="shared" si="30"/>
        <v>2022</v>
      </c>
      <c r="C1005" s="10">
        <f t="shared" si="31"/>
        <v>7</v>
      </c>
      <c r="D1005" s="20">
        <v>44746</v>
      </c>
      <c r="J1005">
        <v>5.3292999999999999</v>
      </c>
    </row>
    <row r="1006" spans="2:10" x14ac:dyDescent="0.3">
      <c r="B1006" s="10">
        <f t="shared" si="30"/>
        <v>2022</v>
      </c>
      <c r="C1006" s="10">
        <f t="shared" si="31"/>
        <v>7</v>
      </c>
      <c r="D1006" s="20">
        <v>44743</v>
      </c>
      <c r="E1006">
        <v>754.5</v>
      </c>
      <c r="F1006">
        <v>1626</v>
      </c>
      <c r="G1006">
        <v>459.7</v>
      </c>
      <c r="H1006">
        <v>831.25</v>
      </c>
      <c r="I1006">
        <v>65.680000000000007</v>
      </c>
      <c r="J1006">
        <v>5.3310000000000004</v>
      </c>
    </row>
    <row r="1007" spans="2:10" x14ac:dyDescent="0.3">
      <c r="B1007" s="10">
        <f t="shared" si="30"/>
        <v>2022</v>
      </c>
      <c r="C1007" s="10">
        <f t="shared" si="31"/>
        <v>6</v>
      </c>
      <c r="D1007" s="20">
        <v>44742</v>
      </c>
      <c r="E1007">
        <v>743.75</v>
      </c>
      <c r="F1007">
        <v>1675</v>
      </c>
      <c r="G1007">
        <v>469.9</v>
      </c>
      <c r="H1007">
        <v>868.75</v>
      </c>
      <c r="I1007">
        <v>69.930000000000007</v>
      </c>
      <c r="J1007">
        <v>5.2561999999999998</v>
      </c>
    </row>
    <row r="1008" spans="2:10" x14ac:dyDescent="0.3">
      <c r="B1008" s="10">
        <f t="shared" si="30"/>
        <v>2022</v>
      </c>
      <c r="C1008" s="10">
        <f t="shared" si="31"/>
        <v>6</v>
      </c>
      <c r="D1008" s="20">
        <v>44741</v>
      </c>
      <c r="E1008">
        <v>770.25</v>
      </c>
      <c r="F1008">
        <v>1674.25</v>
      </c>
      <c r="G1008">
        <v>463.2</v>
      </c>
      <c r="H1008">
        <v>915.5</v>
      </c>
      <c r="I1008">
        <v>72.599999999999994</v>
      </c>
      <c r="J1008">
        <v>5.1818</v>
      </c>
    </row>
    <row r="1009" spans="2:10" x14ac:dyDescent="0.3">
      <c r="B1009" s="10">
        <f t="shared" si="30"/>
        <v>2022</v>
      </c>
      <c r="C1009" s="10">
        <f t="shared" si="31"/>
        <v>6</v>
      </c>
      <c r="D1009" s="20">
        <v>44740</v>
      </c>
      <c r="E1009">
        <v>759.5</v>
      </c>
      <c r="F1009">
        <v>1663.75</v>
      </c>
      <c r="G1009">
        <v>455.1</v>
      </c>
      <c r="H1009">
        <v>921.25</v>
      </c>
      <c r="I1009">
        <v>72.09</v>
      </c>
      <c r="J1009">
        <v>5.2675000000000001</v>
      </c>
    </row>
    <row r="1010" spans="2:10" x14ac:dyDescent="0.3">
      <c r="B1010" s="10">
        <f t="shared" si="30"/>
        <v>2022</v>
      </c>
      <c r="C1010" s="10">
        <f t="shared" si="31"/>
        <v>6</v>
      </c>
      <c r="D1010" s="20">
        <v>44739</v>
      </c>
      <c r="E1010">
        <v>744.25</v>
      </c>
      <c r="F1010">
        <v>1630.5</v>
      </c>
      <c r="G1010">
        <v>442.7</v>
      </c>
      <c r="H1010">
        <v>904</v>
      </c>
      <c r="I1010">
        <v>70.819999999999993</v>
      </c>
      <c r="J1010">
        <v>5.2366000000000001</v>
      </c>
    </row>
    <row r="1011" spans="2:10" x14ac:dyDescent="0.3">
      <c r="B1011" s="10">
        <f t="shared" si="30"/>
        <v>2022</v>
      </c>
      <c r="C1011" s="10">
        <f t="shared" si="31"/>
        <v>6</v>
      </c>
      <c r="D1011" s="20">
        <v>44736</v>
      </c>
      <c r="E1011">
        <v>750.25</v>
      </c>
      <c r="F1011">
        <v>1610.75</v>
      </c>
      <c r="G1011">
        <v>432.6</v>
      </c>
      <c r="H1011">
        <v>923.75</v>
      </c>
      <c r="I1011">
        <v>69.75</v>
      </c>
      <c r="J1011">
        <v>5.2416999999999998</v>
      </c>
    </row>
    <row r="1012" spans="2:10" x14ac:dyDescent="0.3">
      <c r="B1012" s="10">
        <f t="shared" si="30"/>
        <v>2022</v>
      </c>
      <c r="C1012" s="10">
        <f t="shared" si="31"/>
        <v>6</v>
      </c>
      <c r="D1012" s="20">
        <v>44735</v>
      </c>
      <c r="E1012">
        <v>746.75</v>
      </c>
      <c r="F1012">
        <v>1593.25</v>
      </c>
      <c r="G1012">
        <v>426.7</v>
      </c>
      <c r="H1012">
        <v>937.25</v>
      </c>
      <c r="I1012">
        <v>67.709999999999994</v>
      </c>
      <c r="J1012">
        <v>5.2405999999999997</v>
      </c>
    </row>
    <row r="1013" spans="2:10" x14ac:dyDescent="0.3">
      <c r="B1013" s="10">
        <f t="shared" si="30"/>
        <v>2022</v>
      </c>
      <c r="C1013" s="10">
        <f t="shared" si="31"/>
        <v>6</v>
      </c>
      <c r="D1013" s="20">
        <v>44734</v>
      </c>
      <c r="E1013">
        <v>768</v>
      </c>
      <c r="F1013">
        <v>1652.75</v>
      </c>
      <c r="G1013">
        <v>432.4</v>
      </c>
      <c r="H1013">
        <v>976.5</v>
      </c>
      <c r="I1013">
        <v>70.66</v>
      </c>
      <c r="J1013">
        <v>5.194</v>
      </c>
    </row>
    <row r="1014" spans="2:10" x14ac:dyDescent="0.3">
      <c r="B1014" s="10">
        <f t="shared" si="30"/>
        <v>2022</v>
      </c>
      <c r="C1014" s="10">
        <f t="shared" si="31"/>
        <v>6</v>
      </c>
      <c r="D1014" s="20">
        <v>44733</v>
      </c>
      <c r="E1014">
        <v>760.75</v>
      </c>
      <c r="F1014">
        <v>1681</v>
      </c>
      <c r="G1014">
        <v>431.3</v>
      </c>
      <c r="H1014">
        <v>975.25</v>
      </c>
      <c r="I1014">
        <v>73.37</v>
      </c>
      <c r="J1014">
        <v>5.1257000000000001</v>
      </c>
    </row>
    <row r="1015" spans="2:10" x14ac:dyDescent="0.3">
      <c r="B1015" s="10">
        <f t="shared" si="30"/>
        <v>2022</v>
      </c>
      <c r="C1015" s="10">
        <f t="shared" si="31"/>
        <v>6</v>
      </c>
      <c r="D1015" s="20">
        <v>44732</v>
      </c>
      <c r="J1015">
        <v>5.1879999999999997</v>
      </c>
    </row>
    <row r="1016" spans="2:10" x14ac:dyDescent="0.3">
      <c r="B1016" s="10">
        <f t="shared" si="30"/>
        <v>2022</v>
      </c>
      <c r="C1016" s="10">
        <f t="shared" si="31"/>
        <v>6</v>
      </c>
      <c r="D1016" s="20">
        <v>44729</v>
      </c>
      <c r="E1016">
        <v>784.5</v>
      </c>
      <c r="F1016">
        <v>1702</v>
      </c>
      <c r="G1016">
        <v>438.1</v>
      </c>
      <c r="H1016">
        <v>1034.25</v>
      </c>
      <c r="I1016">
        <v>73.790000000000006</v>
      </c>
      <c r="J1016">
        <v>5.1517999999999997</v>
      </c>
    </row>
    <row r="1017" spans="2:10" x14ac:dyDescent="0.3">
      <c r="B1017" s="10">
        <f t="shared" si="30"/>
        <v>2022</v>
      </c>
      <c r="C1017" s="10">
        <f t="shared" si="31"/>
        <v>6</v>
      </c>
      <c r="D1017" s="20">
        <v>44728</v>
      </c>
      <c r="E1017">
        <v>788.25</v>
      </c>
      <c r="F1017">
        <v>1709.5</v>
      </c>
      <c r="G1017">
        <v>429.7</v>
      </c>
      <c r="H1017">
        <v>1078.25</v>
      </c>
      <c r="I1017">
        <v>76.34</v>
      </c>
      <c r="J1017">
        <v>5.0534999999999997</v>
      </c>
    </row>
    <row r="1018" spans="2:10" x14ac:dyDescent="0.3">
      <c r="B1018" s="10">
        <f t="shared" si="30"/>
        <v>2022</v>
      </c>
      <c r="C1018" s="10">
        <f t="shared" si="31"/>
        <v>6</v>
      </c>
      <c r="D1018" s="20">
        <v>44727</v>
      </c>
      <c r="E1018">
        <v>774</v>
      </c>
      <c r="F1018">
        <v>1693.75</v>
      </c>
      <c r="G1018">
        <v>417.5</v>
      </c>
      <c r="H1018">
        <v>1050</v>
      </c>
      <c r="I1018">
        <v>77.67</v>
      </c>
      <c r="J1018">
        <v>5.0536000000000003</v>
      </c>
    </row>
    <row r="1019" spans="2:10" x14ac:dyDescent="0.3">
      <c r="B1019" s="10">
        <f t="shared" si="30"/>
        <v>2022</v>
      </c>
      <c r="C1019" s="10">
        <f t="shared" si="31"/>
        <v>6</v>
      </c>
      <c r="D1019" s="20">
        <v>44726</v>
      </c>
      <c r="E1019">
        <v>768.25</v>
      </c>
      <c r="F1019">
        <v>1698.5</v>
      </c>
      <c r="G1019">
        <v>411</v>
      </c>
      <c r="H1019">
        <v>1050.25</v>
      </c>
      <c r="I1019">
        <v>78.28</v>
      </c>
      <c r="J1019">
        <v>5.1167999999999996</v>
      </c>
    </row>
    <row r="1020" spans="2:10" x14ac:dyDescent="0.3">
      <c r="B1020" s="10">
        <f t="shared" si="30"/>
        <v>2022</v>
      </c>
      <c r="C1020" s="10">
        <f t="shared" si="31"/>
        <v>6</v>
      </c>
      <c r="D1020" s="20">
        <v>44725</v>
      </c>
      <c r="E1020">
        <v>769.25</v>
      </c>
      <c r="F1020">
        <v>1707.5</v>
      </c>
      <c r="G1020">
        <v>415.1</v>
      </c>
      <c r="H1020">
        <v>1071</v>
      </c>
      <c r="I1020">
        <v>79.510000000000005</v>
      </c>
      <c r="J1020">
        <v>5.1154000000000002</v>
      </c>
    </row>
    <row r="1021" spans="2:10" x14ac:dyDescent="0.3">
      <c r="B1021" s="10">
        <f t="shared" si="30"/>
        <v>2022</v>
      </c>
      <c r="C1021" s="10">
        <f t="shared" si="31"/>
        <v>6</v>
      </c>
      <c r="D1021" s="20">
        <v>44722</v>
      </c>
      <c r="E1021">
        <v>773.25</v>
      </c>
      <c r="F1021">
        <v>1745.5</v>
      </c>
      <c r="G1021">
        <v>429.1</v>
      </c>
      <c r="H1021">
        <v>1070.75</v>
      </c>
      <c r="I1021">
        <v>80.81</v>
      </c>
      <c r="J1021">
        <v>4.9865000000000004</v>
      </c>
    </row>
    <row r="1022" spans="2:10" x14ac:dyDescent="0.3">
      <c r="B1022" s="10">
        <f t="shared" si="30"/>
        <v>2022</v>
      </c>
      <c r="C1022" s="10">
        <f t="shared" si="31"/>
        <v>6</v>
      </c>
      <c r="D1022" s="20">
        <v>44721</v>
      </c>
      <c r="E1022">
        <v>773</v>
      </c>
      <c r="F1022">
        <v>1769</v>
      </c>
      <c r="G1022">
        <v>427.5</v>
      </c>
      <c r="H1022">
        <v>1071.25</v>
      </c>
      <c r="I1022">
        <v>82.63</v>
      </c>
      <c r="J1022">
        <v>4.9062999999999999</v>
      </c>
    </row>
    <row r="1023" spans="2:10" x14ac:dyDescent="0.3">
      <c r="B1023" s="10">
        <f t="shared" si="30"/>
        <v>2022</v>
      </c>
      <c r="C1023" s="10">
        <f t="shared" si="31"/>
        <v>6</v>
      </c>
      <c r="D1023" s="20">
        <v>44720</v>
      </c>
      <c r="E1023">
        <v>764.5</v>
      </c>
      <c r="F1023">
        <v>1740</v>
      </c>
      <c r="G1023">
        <v>415.6</v>
      </c>
      <c r="H1023">
        <v>1074.75</v>
      </c>
      <c r="I1023">
        <v>82.94</v>
      </c>
      <c r="J1023">
        <v>4.8987999999999996</v>
      </c>
    </row>
    <row r="1024" spans="2:10" x14ac:dyDescent="0.3">
      <c r="B1024" s="10">
        <f t="shared" si="30"/>
        <v>2022</v>
      </c>
      <c r="C1024" s="10">
        <f t="shared" si="31"/>
        <v>6</v>
      </c>
      <c r="D1024" s="20">
        <v>44719</v>
      </c>
      <c r="E1024">
        <v>757</v>
      </c>
      <c r="F1024">
        <v>1728.25</v>
      </c>
      <c r="G1024">
        <v>417.4</v>
      </c>
      <c r="H1024">
        <v>1071.75</v>
      </c>
      <c r="I1024">
        <v>81.44</v>
      </c>
      <c r="J1024">
        <v>4.8696000000000002</v>
      </c>
    </row>
    <row r="1025" spans="2:10" x14ac:dyDescent="0.3">
      <c r="B1025" s="10">
        <f t="shared" si="30"/>
        <v>2022</v>
      </c>
      <c r="C1025" s="10">
        <f t="shared" si="31"/>
        <v>6</v>
      </c>
      <c r="D1025" s="20">
        <v>44718</v>
      </c>
      <c r="E1025">
        <v>742.5</v>
      </c>
      <c r="F1025">
        <v>1699.25</v>
      </c>
      <c r="G1025">
        <v>407.1</v>
      </c>
      <c r="H1025">
        <v>1093</v>
      </c>
      <c r="I1025">
        <v>81.19</v>
      </c>
      <c r="J1025">
        <v>4.7945000000000002</v>
      </c>
    </row>
    <row r="1026" spans="2:10" x14ac:dyDescent="0.3">
      <c r="B1026" s="10">
        <f t="shared" si="30"/>
        <v>2022</v>
      </c>
      <c r="C1026" s="10">
        <f t="shared" si="31"/>
        <v>6</v>
      </c>
      <c r="D1026" s="20">
        <v>44715</v>
      </c>
      <c r="E1026">
        <v>727</v>
      </c>
      <c r="F1026">
        <v>1697.75</v>
      </c>
      <c r="G1026">
        <v>407.9</v>
      </c>
      <c r="H1026">
        <v>1040</v>
      </c>
      <c r="I1026">
        <v>81.849999999999994</v>
      </c>
      <c r="J1026">
        <v>4.7733999999999996</v>
      </c>
    </row>
    <row r="1027" spans="2:10" x14ac:dyDescent="0.3">
      <c r="B1027" s="10">
        <f t="shared" si="30"/>
        <v>2022</v>
      </c>
      <c r="C1027" s="10">
        <f t="shared" si="31"/>
        <v>6</v>
      </c>
      <c r="D1027" s="20">
        <v>44714</v>
      </c>
      <c r="E1027">
        <v>730.25</v>
      </c>
      <c r="F1027">
        <v>1729.25</v>
      </c>
      <c r="G1027">
        <v>414.9</v>
      </c>
      <c r="H1027">
        <v>1058.25</v>
      </c>
      <c r="I1027">
        <v>81.44</v>
      </c>
      <c r="J1027">
        <v>4.7961999999999998</v>
      </c>
    </row>
    <row r="1028" spans="2:10" x14ac:dyDescent="0.3">
      <c r="B1028" s="10">
        <f t="shared" si="30"/>
        <v>2022</v>
      </c>
      <c r="C1028" s="10">
        <f t="shared" si="31"/>
        <v>6</v>
      </c>
      <c r="D1028" s="20">
        <v>44713</v>
      </c>
      <c r="E1028">
        <v>731.25</v>
      </c>
      <c r="F1028">
        <v>1690.25</v>
      </c>
      <c r="G1028">
        <v>412.7</v>
      </c>
      <c r="H1028">
        <v>1041.25</v>
      </c>
      <c r="I1028">
        <v>78.11</v>
      </c>
      <c r="J1028">
        <v>4.8151000000000002</v>
      </c>
    </row>
    <row r="1029" spans="2:10" x14ac:dyDescent="0.3">
      <c r="B1029" s="10">
        <f t="shared" si="30"/>
        <v>2022</v>
      </c>
      <c r="C1029" s="10">
        <f t="shared" si="31"/>
        <v>5</v>
      </c>
      <c r="D1029" s="20">
        <v>44712</v>
      </c>
      <c r="E1029">
        <v>753.5</v>
      </c>
      <c r="F1029">
        <v>1683.25</v>
      </c>
      <c r="G1029">
        <v>414.8</v>
      </c>
      <c r="H1029">
        <v>1087.5</v>
      </c>
      <c r="I1029">
        <v>77.92</v>
      </c>
      <c r="J1029">
        <v>4.7314999999999996</v>
      </c>
    </row>
    <row r="1030" spans="2:10" x14ac:dyDescent="0.3">
      <c r="B1030" s="10">
        <f t="shared" ref="B1030:B1093" si="32">YEAR(D1030)</f>
        <v>2022</v>
      </c>
      <c r="C1030" s="10">
        <f t="shared" ref="C1030:C1093" si="33">MONTH(D1030)</f>
        <v>5</v>
      </c>
      <c r="D1030" s="20">
        <v>44711</v>
      </c>
      <c r="J1030">
        <v>4.7526000000000002</v>
      </c>
    </row>
    <row r="1031" spans="2:10" x14ac:dyDescent="0.3">
      <c r="B1031" s="10">
        <f t="shared" si="32"/>
        <v>2022</v>
      </c>
      <c r="C1031" s="10">
        <f t="shared" si="33"/>
        <v>5</v>
      </c>
      <c r="D1031" s="20">
        <v>44708</v>
      </c>
      <c r="E1031">
        <v>777.25</v>
      </c>
      <c r="F1031">
        <v>1732.25</v>
      </c>
      <c r="G1031">
        <v>432.3</v>
      </c>
      <c r="H1031">
        <v>1157.5</v>
      </c>
      <c r="I1031">
        <v>79.569999999999993</v>
      </c>
      <c r="J1031">
        <v>4.7294999999999998</v>
      </c>
    </row>
    <row r="1032" spans="2:10" x14ac:dyDescent="0.3">
      <c r="B1032" s="10">
        <f t="shared" si="32"/>
        <v>2022</v>
      </c>
      <c r="C1032" s="10">
        <f t="shared" si="33"/>
        <v>5</v>
      </c>
      <c r="D1032" s="20">
        <v>44707</v>
      </c>
      <c r="E1032">
        <v>765</v>
      </c>
      <c r="F1032">
        <v>1726.5</v>
      </c>
      <c r="G1032">
        <v>428.2</v>
      </c>
      <c r="H1032">
        <v>1143.25</v>
      </c>
      <c r="I1032">
        <v>80.52</v>
      </c>
      <c r="J1032">
        <v>4.7676999999999996</v>
      </c>
    </row>
    <row r="1033" spans="2:10" x14ac:dyDescent="0.3">
      <c r="B1033" s="10">
        <f t="shared" si="32"/>
        <v>2022</v>
      </c>
      <c r="C1033" s="10">
        <f t="shared" si="33"/>
        <v>5</v>
      </c>
      <c r="D1033" s="20">
        <v>44706</v>
      </c>
      <c r="E1033">
        <v>772.25</v>
      </c>
      <c r="F1033">
        <v>1681</v>
      </c>
      <c r="G1033">
        <v>424.2</v>
      </c>
      <c r="H1033">
        <v>1148.25</v>
      </c>
      <c r="I1033">
        <v>78.92</v>
      </c>
      <c r="J1033">
        <v>4.8274999999999997</v>
      </c>
    </row>
    <row r="1034" spans="2:10" x14ac:dyDescent="0.3">
      <c r="B1034" s="10">
        <f t="shared" si="32"/>
        <v>2022</v>
      </c>
      <c r="C1034" s="10">
        <f t="shared" si="33"/>
        <v>5</v>
      </c>
      <c r="D1034" s="20">
        <v>44705</v>
      </c>
      <c r="E1034">
        <v>771.75</v>
      </c>
      <c r="F1034">
        <v>1693</v>
      </c>
      <c r="G1034">
        <v>427.1</v>
      </c>
      <c r="H1034">
        <v>1154.75</v>
      </c>
      <c r="I1034">
        <v>80.12</v>
      </c>
      <c r="J1034">
        <v>4.8190999999999997</v>
      </c>
    </row>
    <row r="1035" spans="2:10" x14ac:dyDescent="0.3">
      <c r="B1035" s="10">
        <f t="shared" si="32"/>
        <v>2022</v>
      </c>
      <c r="C1035" s="10">
        <f t="shared" si="33"/>
        <v>5</v>
      </c>
      <c r="D1035" s="20">
        <v>44704</v>
      </c>
      <c r="E1035">
        <v>786.25</v>
      </c>
      <c r="F1035">
        <v>1687</v>
      </c>
      <c r="G1035">
        <v>422.5</v>
      </c>
      <c r="H1035">
        <v>1190</v>
      </c>
      <c r="I1035">
        <v>80.47</v>
      </c>
      <c r="J1035">
        <v>4.8129999999999997</v>
      </c>
    </row>
    <row r="1036" spans="2:10" x14ac:dyDescent="0.3">
      <c r="B1036" s="10">
        <f t="shared" si="32"/>
        <v>2022</v>
      </c>
      <c r="C1036" s="10">
        <f t="shared" si="33"/>
        <v>5</v>
      </c>
      <c r="D1036" s="20">
        <v>44701</v>
      </c>
      <c r="E1036">
        <v>778.75</v>
      </c>
      <c r="F1036">
        <v>1705.25</v>
      </c>
      <c r="G1036">
        <v>429.9</v>
      </c>
      <c r="H1036">
        <v>1168.75</v>
      </c>
      <c r="I1036">
        <v>80.930000000000007</v>
      </c>
      <c r="J1036">
        <v>4.8788</v>
      </c>
    </row>
    <row r="1037" spans="2:10" x14ac:dyDescent="0.3">
      <c r="B1037" s="10">
        <f t="shared" si="32"/>
        <v>2022</v>
      </c>
      <c r="C1037" s="10">
        <f t="shared" si="33"/>
        <v>5</v>
      </c>
      <c r="D1037" s="20">
        <v>44700</v>
      </c>
      <c r="E1037">
        <v>783.25</v>
      </c>
      <c r="F1037">
        <v>1690.5</v>
      </c>
      <c r="G1037">
        <v>425.3</v>
      </c>
      <c r="H1037">
        <v>1200.5</v>
      </c>
      <c r="I1037">
        <v>79.53</v>
      </c>
      <c r="J1037">
        <v>4.9309000000000003</v>
      </c>
    </row>
    <row r="1038" spans="2:10" x14ac:dyDescent="0.3">
      <c r="B1038" s="10">
        <f t="shared" si="32"/>
        <v>2022</v>
      </c>
      <c r="C1038" s="10">
        <f t="shared" si="33"/>
        <v>5</v>
      </c>
      <c r="D1038" s="20">
        <v>44699</v>
      </c>
      <c r="E1038">
        <v>781.5</v>
      </c>
      <c r="F1038">
        <v>1662.75</v>
      </c>
      <c r="G1038">
        <v>414</v>
      </c>
      <c r="H1038">
        <v>1230.75</v>
      </c>
      <c r="I1038">
        <v>80.55</v>
      </c>
      <c r="J1038">
        <v>4.9682000000000004</v>
      </c>
    </row>
    <row r="1039" spans="2:10" x14ac:dyDescent="0.3">
      <c r="B1039" s="10">
        <f t="shared" si="32"/>
        <v>2022</v>
      </c>
      <c r="C1039" s="10">
        <f t="shared" si="33"/>
        <v>5</v>
      </c>
      <c r="D1039" s="20">
        <v>44698</v>
      </c>
      <c r="E1039">
        <v>800.75</v>
      </c>
      <c r="F1039">
        <v>1678</v>
      </c>
      <c r="G1039">
        <v>411.8</v>
      </c>
      <c r="H1039">
        <v>1277.5</v>
      </c>
      <c r="I1039">
        <v>83.49</v>
      </c>
      <c r="J1039">
        <v>4.9386999999999999</v>
      </c>
    </row>
    <row r="1040" spans="2:10" x14ac:dyDescent="0.3">
      <c r="B1040" s="10">
        <f t="shared" si="32"/>
        <v>2022</v>
      </c>
      <c r="C1040" s="10">
        <f t="shared" si="33"/>
        <v>5</v>
      </c>
      <c r="D1040" s="20">
        <v>44697</v>
      </c>
      <c r="E1040">
        <v>809.5</v>
      </c>
      <c r="F1040">
        <v>1656.5</v>
      </c>
      <c r="G1040">
        <v>413.6</v>
      </c>
      <c r="H1040">
        <v>1247.5</v>
      </c>
      <c r="I1040">
        <v>82.99</v>
      </c>
      <c r="J1040">
        <v>5.0598999999999998</v>
      </c>
    </row>
    <row r="1041" spans="2:10" x14ac:dyDescent="0.3">
      <c r="B1041" s="10">
        <f t="shared" si="32"/>
        <v>2022</v>
      </c>
      <c r="C1041" s="10">
        <f t="shared" si="33"/>
        <v>5</v>
      </c>
      <c r="D1041" s="20">
        <v>44694</v>
      </c>
      <c r="E1041">
        <v>794.5</v>
      </c>
      <c r="F1041">
        <v>1723.25</v>
      </c>
      <c r="G1041">
        <v>406.4</v>
      </c>
      <c r="H1041">
        <v>1167.25</v>
      </c>
      <c r="I1041">
        <v>88.34</v>
      </c>
      <c r="J1041">
        <v>5.0602</v>
      </c>
    </row>
    <row r="1042" spans="2:10" x14ac:dyDescent="0.3">
      <c r="B1042" s="10">
        <f t="shared" si="32"/>
        <v>2022</v>
      </c>
      <c r="C1042" s="10">
        <f t="shared" si="33"/>
        <v>5</v>
      </c>
      <c r="D1042" s="20">
        <v>44693</v>
      </c>
      <c r="E1042">
        <v>813.5</v>
      </c>
      <c r="F1042">
        <v>1660.25</v>
      </c>
      <c r="G1042">
        <v>399.4</v>
      </c>
      <c r="H1042">
        <v>1174.5</v>
      </c>
      <c r="I1042">
        <v>88.52</v>
      </c>
      <c r="J1042">
        <v>5.1338999999999997</v>
      </c>
    </row>
    <row r="1043" spans="2:10" x14ac:dyDescent="0.3">
      <c r="B1043" s="10">
        <f t="shared" si="32"/>
        <v>2022</v>
      </c>
      <c r="C1043" s="10">
        <f t="shared" si="33"/>
        <v>5</v>
      </c>
      <c r="D1043" s="20">
        <v>44692</v>
      </c>
      <c r="E1043">
        <v>802.25</v>
      </c>
      <c r="F1043">
        <v>1650.25</v>
      </c>
      <c r="G1043">
        <v>400.6</v>
      </c>
      <c r="H1043">
        <v>1108.75</v>
      </c>
      <c r="I1043">
        <v>89.45</v>
      </c>
      <c r="J1043">
        <v>5.1372999999999998</v>
      </c>
    </row>
    <row r="1044" spans="2:10" x14ac:dyDescent="0.3">
      <c r="B1044" s="10">
        <f t="shared" si="32"/>
        <v>2022</v>
      </c>
      <c r="C1044" s="10">
        <f t="shared" si="33"/>
        <v>5</v>
      </c>
      <c r="D1044" s="20">
        <v>44691</v>
      </c>
      <c r="E1044">
        <v>786.5</v>
      </c>
      <c r="F1044">
        <v>1630</v>
      </c>
      <c r="G1044">
        <v>407.9</v>
      </c>
      <c r="H1044">
        <v>1083.25</v>
      </c>
      <c r="I1044">
        <v>87.96</v>
      </c>
      <c r="J1044">
        <v>5.1313000000000004</v>
      </c>
    </row>
    <row r="1045" spans="2:10" x14ac:dyDescent="0.3">
      <c r="B1045" s="10">
        <f t="shared" si="32"/>
        <v>2022</v>
      </c>
      <c r="C1045" s="10">
        <f t="shared" si="33"/>
        <v>5</v>
      </c>
      <c r="D1045" s="20">
        <v>44690</v>
      </c>
      <c r="E1045">
        <v>784.5</v>
      </c>
      <c r="F1045">
        <v>1621</v>
      </c>
      <c r="G1045">
        <v>411.1</v>
      </c>
      <c r="H1045">
        <v>1083.25</v>
      </c>
      <c r="I1045">
        <v>87.18</v>
      </c>
      <c r="J1045">
        <v>5.1616999999999997</v>
      </c>
    </row>
    <row r="1046" spans="2:10" x14ac:dyDescent="0.3">
      <c r="B1046" s="10">
        <f t="shared" si="32"/>
        <v>2022</v>
      </c>
      <c r="C1046" s="10">
        <f t="shared" si="33"/>
        <v>5</v>
      </c>
      <c r="D1046" s="20">
        <v>44687</v>
      </c>
      <c r="E1046">
        <v>792.25</v>
      </c>
      <c r="F1046">
        <v>1655.5</v>
      </c>
      <c r="G1046">
        <v>423.4</v>
      </c>
      <c r="H1046">
        <v>1097</v>
      </c>
      <c r="I1046">
        <v>88.4</v>
      </c>
      <c r="J1046">
        <v>5.0773999999999999</v>
      </c>
    </row>
    <row r="1047" spans="2:10" x14ac:dyDescent="0.3">
      <c r="B1047" s="10">
        <f t="shared" si="32"/>
        <v>2022</v>
      </c>
      <c r="C1047" s="10">
        <f t="shared" si="33"/>
        <v>5</v>
      </c>
      <c r="D1047" s="20">
        <v>44686</v>
      </c>
      <c r="E1047">
        <v>803.75</v>
      </c>
      <c r="F1047">
        <v>1678.5</v>
      </c>
      <c r="G1047">
        <v>426.9</v>
      </c>
      <c r="H1047">
        <v>1096</v>
      </c>
      <c r="I1047">
        <v>86.5</v>
      </c>
      <c r="J1047">
        <v>5.0279999999999996</v>
      </c>
    </row>
    <row r="1048" spans="2:10" x14ac:dyDescent="0.3">
      <c r="B1048" s="10">
        <f t="shared" si="32"/>
        <v>2022</v>
      </c>
      <c r="C1048" s="10">
        <f t="shared" si="33"/>
        <v>5</v>
      </c>
      <c r="D1048" s="20">
        <v>44685</v>
      </c>
      <c r="E1048">
        <v>798.5</v>
      </c>
      <c r="F1048">
        <v>1669.75</v>
      </c>
      <c r="G1048">
        <v>428.3</v>
      </c>
      <c r="H1048">
        <v>1066</v>
      </c>
      <c r="I1048">
        <v>87.08</v>
      </c>
      <c r="J1048">
        <v>4.9198000000000004</v>
      </c>
    </row>
    <row r="1049" spans="2:10" x14ac:dyDescent="0.3">
      <c r="B1049" s="10">
        <f t="shared" si="32"/>
        <v>2022</v>
      </c>
      <c r="C1049" s="10">
        <f t="shared" si="33"/>
        <v>5</v>
      </c>
      <c r="D1049" s="20">
        <v>44684</v>
      </c>
      <c r="E1049">
        <v>800.75</v>
      </c>
      <c r="F1049">
        <v>1659</v>
      </c>
      <c r="G1049">
        <v>436.4</v>
      </c>
      <c r="H1049">
        <v>1033.75</v>
      </c>
      <c r="I1049">
        <v>84.3</v>
      </c>
      <c r="J1049">
        <v>4.9584000000000001</v>
      </c>
    </row>
    <row r="1050" spans="2:10" x14ac:dyDescent="0.3">
      <c r="B1050" s="10">
        <f t="shared" si="32"/>
        <v>2022</v>
      </c>
      <c r="C1050" s="10">
        <f t="shared" si="33"/>
        <v>5</v>
      </c>
      <c r="D1050" s="20">
        <v>44683</v>
      </c>
      <c r="E1050">
        <v>813</v>
      </c>
      <c r="F1050">
        <v>1674</v>
      </c>
      <c r="G1050">
        <v>442.9</v>
      </c>
      <c r="H1050">
        <v>1043.5</v>
      </c>
      <c r="I1050">
        <v>82.7</v>
      </c>
      <c r="J1050">
        <v>5.0848000000000004</v>
      </c>
    </row>
    <row r="1051" spans="2:10" x14ac:dyDescent="0.3">
      <c r="B1051" s="10">
        <f t="shared" si="32"/>
        <v>2022</v>
      </c>
      <c r="C1051" s="10">
        <f t="shared" si="33"/>
        <v>4</v>
      </c>
      <c r="D1051" s="20">
        <v>44680</v>
      </c>
      <c r="E1051">
        <v>818.25</v>
      </c>
      <c r="F1051">
        <v>1708.25</v>
      </c>
      <c r="G1051">
        <v>440.5</v>
      </c>
      <c r="H1051">
        <v>1043.75</v>
      </c>
      <c r="I1051">
        <v>89.17</v>
      </c>
      <c r="J1051">
        <v>4.9721000000000002</v>
      </c>
    </row>
    <row r="1052" spans="2:10" x14ac:dyDescent="0.3">
      <c r="B1052" s="10">
        <f t="shared" si="32"/>
        <v>2022</v>
      </c>
      <c r="C1052" s="10">
        <f t="shared" si="33"/>
        <v>4</v>
      </c>
      <c r="D1052" s="20">
        <v>44679</v>
      </c>
      <c r="E1052">
        <v>816</v>
      </c>
      <c r="F1052">
        <v>1706.5</v>
      </c>
      <c r="G1052">
        <v>440.2</v>
      </c>
      <c r="H1052">
        <v>1074</v>
      </c>
      <c r="I1052">
        <v>90.6</v>
      </c>
      <c r="J1052">
        <v>4.9424999999999999</v>
      </c>
    </row>
    <row r="1053" spans="2:10" x14ac:dyDescent="0.3">
      <c r="B1053" s="10">
        <f t="shared" si="32"/>
        <v>2022</v>
      </c>
      <c r="C1053" s="10">
        <f t="shared" si="33"/>
        <v>4</v>
      </c>
      <c r="D1053" s="20">
        <v>44678</v>
      </c>
      <c r="E1053">
        <v>815.5</v>
      </c>
      <c r="F1053">
        <v>1726.5</v>
      </c>
      <c r="G1053">
        <v>451</v>
      </c>
      <c r="H1053">
        <v>1080</v>
      </c>
      <c r="I1053">
        <v>87.8</v>
      </c>
      <c r="J1053">
        <v>4.9650999999999996</v>
      </c>
    </row>
    <row r="1054" spans="2:10" x14ac:dyDescent="0.3">
      <c r="B1054" s="10">
        <f t="shared" si="32"/>
        <v>2022</v>
      </c>
      <c r="C1054" s="10">
        <f t="shared" si="33"/>
        <v>4</v>
      </c>
      <c r="D1054" s="20">
        <v>44677</v>
      </c>
      <c r="E1054">
        <v>803.25</v>
      </c>
      <c r="F1054">
        <v>1705.25</v>
      </c>
      <c r="G1054">
        <v>444.8</v>
      </c>
      <c r="H1054">
        <v>1083.25</v>
      </c>
      <c r="I1054">
        <v>85.29</v>
      </c>
      <c r="J1054">
        <v>4.9988999999999999</v>
      </c>
    </row>
    <row r="1055" spans="2:10" x14ac:dyDescent="0.3">
      <c r="B1055" s="10">
        <f t="shared" si="32"/>
        <v>2022</v>
      </c>
      <c r="C1055" s="10">
        <f t="shared" si="33"/>
        <v>4</v>
      </c>
      <c r="D1055" s="20">
        <v>44676</v>
      </c>
      <c r="E1055">
        <v>800.25</v>
      </c>
      <c r="F1055">
        <v>1703.5</v>
      </c>
      <c r="G1055">
        <v>452.4</v>
      </c>
      <c r="H1055">
        <v>1062</v>
      </c>
      <c r="I1055">
        <v>82.74</v>
      </c>
      <c r="J1055">
        <v>4.8765999999999998</v>
      </c>
    </row>
    <row r="1056" spans="2:10" x14ac:dyDescent="0.3">
      <c r="B1056" s="10">
        <f t="shared" si="32"/>
        <v>2022</v>
      </c>
      <c r="C1056" s="10">
        <f t="shared" si="33"/>
        <v>4</v>
      </c>
      <c r="D1056" s="20">
        <v>44673</v>
      </c>
      <c r="E1056">
        <v>793</v>
      </c>
      <c r="F1056">
        <v>1716</v>
      </c>
      <c r="G1056">
        <v>458.8</v>
      </c>
      <c r="H1056">
        <v>1065.5</v>
      </c>
      <c r="I1056">
        <v>83.26</v>
      </c>
      <c r="J1056">
        <v>4.7937000000000003</v>
      </c>
    </row>
    <row r="1057" spans="2:10" x14ac:dyDescent="0.3">
      <c r="B1057" s="10">
        <f t="shared" si="32"/>
        <v>2022</v>
      </c>
      <c r="C1057" s="10">
        <f t="shared" si="33"/>
        <v>4</v>
      </c>
      <c r="D1057" s="20">
        <v>44672</v>
      </c>
      <c r="E1057">
        <v>799.25</v>
      </c>
      <c r="F1057">
        <v>1748.25</v>
      </c>
      <c r="G1057">
        <v>468.9</v>
      </c>
      <c r="H1057">
        <v>1068</v>
      </c>
      <c r="I1057">
        <v>81.5</v>
      </c>
      <c r="J1057">
        <v>4.6219999999999999</v>
      </c>
    </row>
    <row r="1058" spans="2:10" x14ac:dyDescent="0.3">
      <c r="B1058" s="10">
        <f t="shared" si="32"/>
        <v>2022</v>
      </c>
      <c r="C1058" s="10">
        <f t="shared" si="33"/>
        <v>4</v>
      </c>
      <c r="D1058" s="20">
        <v>44671</v>
      </c>
      <c r="E1058">
        <v>815.75</v>
      </c>
      <c r="F1058">
        <v>1746.75</v>
      </c>
      <c r="G1058">
        <v>471.4</v>
      </c>
      <c r="H1058">
        <v>1088</v>
      </c>
      <c r="I1058">
        <v>80.81</v>
      </c>
      <c r="J1058">
        <v>4.6219000000000001</v>
      </c>
    </row>
    <row r="1059" spans="2:10" x14ac:dyDescent="0.3">
      <c r="B1059" s="10">
        <f t="shared" si="32"/>
        <v>2022</v>
      </c>
      <c r="C1059" s="10">
        <f t="shared" si="33"/>
        <v>4</v>
      </c>
      <c r="D1059" s="20">
        <v>44670</v>
      </c>
      <c r="E1059">
        <v>804</v>
      </c>
      <c r="F1059">
        <v>1716.5</v>
      </c>
      <c r="G1059">
        <v>464.4</v>
      </c>
      <c r="H1059">
        <v>1099</v>
      </c>
      <c r="I1059">
        <v>80.209999999999994</v>
      </c>
      <c r="J1059">
        <v>4.6675000000000004</v>
      </c>
    </row>
    <row r="1060" spans="2:10" x14ac:dyDescent="0.3">
      <c r="B1060" s="10">
        <f t="shared" si="32"/>
        <v>2022</v>
      </c>
      <c r="C1060" s="10">
        <f t="shared" si="33"/>
        <v>4</v>
      </c>
      <c r="D1060" s="20">
        <v>44669</v>
      </c>
      <c r="E1060">
        <v>813.25</v>
      </c>
      <c r="F1060">
        <v>1714.75</v>
      </c>
      <c r="G1060">
        <v>466</v>
      </c>
      <c r="H1060">
        <v>1120.5</v>
      </c>
      <c r="I1060">
        <v>79.989999999999995</v>
      </c>
      <c r="J1060">
        <v>4.6527000000000003</v>
      </c>
    </row>
    <row r="1061" spans="2:10" x14ac:dyDescent="0.3">
      <c r="B1061" s="10">
        <f t="shared" si="32"/>
        <v>2022</v>
      </c>
      <c r="C1061" s="10">
        <f t="shared" si="33"/>
        <v>4</v>
      </c>
      <c r="D1061" s="20">
        <v>44666</v>
      </c>
      <c r="J1061">
        <v>4.6965000000000003</v>
      </c>
    </row>
    <row r="1062" spans="2:10" x14ac:dyDescent="0.3">
      <c r="B1062" s="10">
        <f t="shared" si="32"/>
        <v>2022</v>
      </c>
      <c r="C1062" s="10">
        <f t="shared" si="33"/>
        <v>4</v>
      </c>
      <c r="D1062" s="20">
        <v>44665</v>
      </c>
      <c r="E1062">
        <v>790.25</v>
      </c>
      <c r="F1062">
        <v>1682.25</v>
      </c>
      <c r="G1062">
        <v>461.4</v>
      </c>
      <c r="H1062">
        <v>1096.5</v>
      </c>
      <c r="I1062">
        <v>78.91</v>
      </c>
      <c r="J1062">
        <v>4.7012999999999998</v>
      </c>
    </row>
    <row r="1063" spans="2:10" x14ac:dyDescent="0.3">
      <c r="B1063" s="10">
        <f t="shared" si="32"/>
        <v>2022</v>
      </c>
      <c r="C1063" s="10">
        <f t="shared" si="33"/>
        <v>4</v>
      </c>
      <c r="D1063" s="20">
        <v>44664</v>
      </c>
      <c r="E1063">
        <v>783.5</v>
      </c>
      <c r="F1063">
        <v>1676</v>
      </c>
      <c r="G1063">
        <v>458.2</v>
      </c>
      <c r="H1063">
        <v>1113.5</v>
      </c>
      <c r="I1063">
        <v>78.11</v>
      </c>
      <c r="J1063">
        <v>4.6898999999999997</v>
      </c>
    </row>
    <row r="1064" spans="2:10" x14ac:dyDescent="0.3">
      <c r="B1064" s="10">
        <f t="shared" si="32"/>
        <v>2022</v>
      </c>
      <c r="C1064" s="10">
        <f t="shared" si="33"/>
        <v>4</v>
      </c>
      <c r="D1064" s="20">
        <v>44663</v>
      </c>
      <c r="E1064">
        <v>776.25</v>
      </c>
      <c r="F1064">
        <v>1670.25</v>
      </c>
      <c r="G1064">
        <v>460.9</v>
      </c>
      <c r="H1064">
        <v>1103.75</v>
      </c>
      <c r="I1064">
        <v>75.430000000000007</v>
      </c>
      <c r="J1064">
        <v>4.6734999999999998</v>
      </c>
    </row>
    <row r="1065" spans="2:10" x14ac:dyDescent="0.3">
      <c r="B1065" s="10">
        <f t="shared" si="32"/>
        <v>2022</v>
      </c>
      <c r="C1065" s="10">
        <f t="shared" si="33"/>
        <v>4</v>
      </c>
      <c r="D1065" s="20">
        <v>44662</v>
      </c>
      <c r="E1065">
        <v>764.5</v>
      </c>
      <c r="F1065">
        <v>1655.25</v>
      </c>
      <c r="G1065">
        <v>459.1</v>
      </c>
      <c r="H1065">
        <v>1081.25</v>
      </c>
      <c r="I1065">
        <v>74.3</v>
      </c>
      <c r="J1065">
        <v>4.6943999999999999</v>
      </c>
    </row>
    <row r="1066" spans="2:10" x14ac:dyDescent="0.3">
      <c r="B1066" s="10">
        <f t="shared" si="32"/>
        <v>2022</v>
      </c>
      <c r="C1066" s="10">
        <f t="shared" si="33"/>
        <v>4</v>
      </c>
      <c r="D1066" s="20">
        <v>44659</v>
      </c>
      <c r="E1066">
        <v>768.75</v>
      </c>
      <c r="F1066">
        <v>1689</v>
      </c>
      <c r="G1066">
        <v>468.2</v>
      </c>
      <c r="H1066">
        <v>1051.5</v>
      </c>
      <c r="I1066">
        <v>75.12</v>
      </c>
      <c r="J1066">
        <v>4.6970000000000001</v>
      </c>
    </row>
    <row r="1067" spans="2:10" x14ac:dyDescent="0.3">
      <c r="B1067" s="10">
        <f t="shared" si="32"/>
        <v>2022</v>
      </c>
      <c r="C1067" s="10">
        <f t="shared" si="33"/>
        <v>4</v>
      </c>
      <c r="D1067" s="20">
        <v>44658</v>
      </c>
      <c r="E1067">
        <v>757.75</v>
      </c>
      <c r="F1067">
        <v>1645.5</v>
      </c>
      <c r="G1067">
        <v>460.2</v>
      </c>
      <c r="H1067">
        <v>1020</v>
      </c>
      <c r="I1067">
        <v>73.02</v>
      </c>
      <c r="J1067">
        <v>4.7523999999999997</v>
      </c>
    </row>
    <row r="1068" spans="2:10" x14ac:dyDescent="0.3">
      <c r="B1068" s="10">
        <f t="shared" si="32"/>
        <v>2022</v>
      </c>
      <c r="C1068" s="10">
        <f t="shared" si="33"/>
        <v>4</v>
      </c>
      <c r="D1068" s="20">
        <v>44657</v>
      </c>
      <c r="E1068">
        <v>756.5</v>
      </c>
      <c r="F1068">
        <v>1619.5</v>
      </c>
      <c r="G1068">
        <v>461.8</v>
      </c>
      <c r="H1068">
        <v>1038.25</v>
      </c>
      <c r="I1068">
        <v>71.83</v>
      </c>
      <c r="J1068">
        <v>4.7161</v>
      </c>
    </row>
    <row r="1069" spans="2:10" x14ac:dyDescent="0.3">
      <c r="B1069" s="10">
        <f t="shared" si="32"/>
        <v>2022</v>
      </c>
      <c r="C1069" s="10">
        <f t="shared" si="33"/>
        <v>4</v>
      </c>
      <c r="D1069" s="20">
        <v>44656</v>
      </c>
      <c r="E1069">
        <v>759.75</v>
      </c>
      <c r="F1069">
        <v>1631</v>
      </c>
      <c r="G1069">
        <v>465.9</v>
      </c>
      <c r="H1069">
        <v>1045.25</v>
      </c>
      <c r="I1069">
        <v>72.41</v>
      </c>
      <c r="J1069">
        <v>4.6505999999999998</v>
      </c>
    </row>
    <row r="1070" spans="2:10" x14ac:dyDescent="0.3">
      <c r="B1070" s="10">
        <f t="shared" si="32"/>
        <v>2022</v>
      </c>
      <c r="C1070" s="10">
        <f t="shared" si="33"/>
        <v>4</v>
      </c>
      <c r="D1070" s="20">
        <v>44655</v>
      </c>
      <c r="E1070">
        <v>750.5</v>
      </c>
      <c r="F1070">
        <v>1602.25</v>
      </c>
      <c r="G1070">
        <v>455.1</v>
      </c>
      <c r="H1070">
        <v>1010.25</v>
      </c>
      <c r="I1070">
        <v>72.34</v>
      </c>
      <c r="J1070">
        <v>4.5928000000000004</v>
      </c>
    </row>
    <row r="1071" spans="2:10" x14ac:dyDescent="0.3">
      <c r="B1071" s="10">
        <f t="shared" si="32"/>
        <v>2022</v>
      </c>
      <c r="C1071" s="10">
        <f t="shared" si="33"/>
        <v>4</v>
      </c>
      <c r="D1071" s="20">
        <v>44652</v>
      </c>
      <c r="E1071">
        <v>735</v>
      </c>
      <c r="F1071">
        <v>1582.75</v>
      </c>
      <c r="G1071">
        <v>450</v>
      </c>
      <c r="H1071">
        <v>984.5</v>
      </c>
      <c r="I1071">
        <v>71.2</v>
      </c>
      <c r="J1071">
        <v>4.6574999999999998</v>
      </c>
    </row>
    <row r="1072" spans="2:10" x14ac:dyDescent="0.3">
      <c r="B1072" s="10">
        <f t="shared" si="32"/>
        <v>2022</v>
      </c>
      <c r="C1072" s="10">
        <f t="shared" si="33"/>
        <v>3</v>
      </c>
      <c r="D1072" s="20">
        <v>44651</v>
      </c>
      <c r="E1072">
        <v>748.75</v>
      </c>
      <c r="F1072">
        <v>1618.25</v>
      </c>
      <c r="G1072">
        <v>467.5</v>
      </c>
      <c r="H1072">
        <v>1006</v>
      </c>
      <c r="I1072">
        <v>69.94</v>
      </c>
      <c r="J1072">
        <v>4.7389999999999999</v>
      </c>
    </row>
    <row r="1073" spans="2:10" x14ac:dyDescent="0.3">
      <c r="B1073" s="10">
        <f t="shared" si="32"/>
        <v>2022</v>
      </c>
      <c r="C1073" s="10">
        <f t="shared" si="33"/>
        <v>3</v>
      </c>
      <c r="D1073" s="20">
        <v>44650</v>
      </c>
      <c r="E1073">
        <v>738</v>
      </c>
      <c r="F1073">
        <v>1664</v>
      </c>
      <c r="G1073">
        <v>473.1</v>
      </c>
      <c r="H1073">
        <v>1027.25</v>
      </c>
      <c r="I1073">
        <v>72.22</v>
      </c>
      <c r="J1073">
        <v>4.7685000000000004</v>
      </c>
    </row>
    <row r="1074" spans="2:10" x14ac:dyDescent="0.3">
      <c r="B1074" s="10">
        <f t="shared" si="32"/>
        <v>2022</v>
      </c>
      <c r="C1074" s="10">
        <f t="shared" si="33"/>
        <v>3</v>
      </c>
      <c r="D1074" s="20">
        <v>44649</v>
      </c>
      <c r="E1074">
        <v>726.25</v>
      </c>
      <c r="F1074">
        <v>1643</v>
      </c>
      <c r="G1074">
        <v>466</v>
      </c>
      <c r="H1074">
        <v>1014.25</v>
      </c>
      <c r="I1074">
        <v>71.66</v>
      </c>
      <c r="J1074">
        <v>4.7561</v>
      </c>
    </row>
    <row r="1075" spans="2:10" x14ac:dyDescent="0.3">
      <c r="B1075" s="10">
        <f t="shared" si="32"/>
        <v>2022</v>
      </c>
      <c r="C1075" s="10">
        <f t="shared" si="33"/>
        <v>3</v>
      </c>
      <c r="D1075" s="20">
        <v>44648</v>
      </c>
      <c r="E1075">
        <v>748.5</v>
      </c>
      <c r="F1075">
        <v>1664.25</v>
      </c>
      <c r="G1075">
        <v>478.9</v>
      </c>
      <c r="H1075">
        <v>1057</v>
      </c>
      <c r="I1075">
        <v>72.45</v>
      </c>
      <c r="J1075">
        <v>4.7675000000000001</v>
      </c>
    </row>
    <row r="1076" spans="2:10" x14ac:dyDescent="0.3">
      <c r="B1076" s="10">
        <f t="shared" si="32"/>
        <v>2022</v>
      </c>
      <c r="C1076" s="10">
        <f t="shared" si="33"/>
        <v>3</v>
      </c>
      <c r="D1076" s="20">
        <v>44645</v>
      </c>
      <c r="E1076">
        <v>754</v>
      </c>
      <c r="F1076">
        <v>1710.25</v>
      </c>
      <c r="G1076">
        <v>487.9</v>
      </c>
      <c r="H1076">
        <v>1102.25</v>
      </c>
      <c r="I1076">
        <v>74.75</v>
      </c>
      <c r="J1076">
        <v>4.742</v>
      </c>
    </row>
    <row r="1077" spans="2:10" x14ac:dyDescent="0.3">
      <c r="B1077" s="10">
        <f t="shared" si="32"/>
        <v>2022</v>
      </c>
      <c r="C1077" s="10">
        <f t="shared" si="33"/>
        <v>3</v>
      </c>
      <c r="D1077" s="20">
        <v>44644</v>
      </c>
      <c r="E1077">
        <v>748.25</v>
      </c>
      <c r="F1077">
        <v>1700.75</v>
      </c>
      <c r="G1077">
        <v>485.9</v>
      </c>
      <c r="H1077">
        <v>1085.75</v>
      </c>
      <c r="I1077">
        <v>74.290000000000006</v>
      </c>
      <c r="J1077">
        <v>4.8253000000000004</v>
      </c>
    </row>
    <row r="1078" spans="2:10" x14ac:dyDescent="0.3">
      <c r="B1078" s="10">
        <f t="shared" si="32"/>
        <v>2022</v>
      </c>
      <c r="C1078" s="10">
        <f t="shared" si="33"/>
        <v>3</v>
      </c>
      <c r="D1078" s="20">
        <v>44643</v>
      </c>
      <c r="E1078">
        <v>757.75</v>
      </c>
      <c r="F1078">
        <v>1718.75</v>
      </c>
      <c r="G1078">
        <v>485.1</v>
      </c>
      <c r="H1078">
        <v>1105.75</v>
      </c>
      <c r="I1078">
        <v>75.97</v>
      </c>
      <c r="J1078">
        <v>4.8258000000000001</v>
      </c>
    </row>
    <row r="1079" spans="2:10" x14ac:dyDescent="0.3">
      <c r="B1079" s="10">
        <f t="shared" si="32"/>
        <v>2022</v>
      </c>
      <c r="C1079" s="10">
        <f t="shared" si="33"/>
        <v>3</v>
      </c>
      <c r="D1079" s="20">
        <v>44642</v>
      </c>
      <c r="E1079">
        <v>753</v>
      </c>
      <c r="F1079">
        <v>1696.5</v>
      </c>
      <c r="G1079">
        <v>476.8</v>
      </c>
      <c r="H1079">
        <v>1118.25</v>
      </c>
      <c r="I1079">
        <v>74.540000000000006</v>
      </c>
      <c r="J1079">
        <v>4.9093999999999998</v>
      </c>
    </row>
    <row r="1080" spans="2:10" x14ac:dyDescent="0.3">
      <c r="B1080" s="10">
        <f t="shared" si="32"/>
        <v>2022</v>
      </c>
      <c r="C1080" s="10">
        <f t="shared" si="33"/>
        <v>3</v>
      </c>
      <c r="D1080" s="20">
        <v>44641</v>
      </c>
      <c r="E1080">
        <v>756.25</v>
      </c>
      <c r="F1080">
        <v>1691</v>
      </c>
      <c r="G1080">
        <v>481.3</v>
      </c>
      <c r="H1080">
        <v>1119.25</v>
      </c>
      <c r="I1080">
        <v>73.709999999999994</v>
      </c>
      <c r="J1080">
        <v>4.9353999999999996</v>
      </c>
    </row>
    <row r="1081" spans="2:10" x14ac:dyDescent="0.3">
      <c r="B1081" s="10">
        <f t="shared" si="32"/>
        <v>2022</v>
      </c>
      <c r="C1081" s="10">
        <f t="shared" si="33"/>
        <v>3</v>
      </c>
      <c r="D1081" s="20">
        <v>44638</v>
      </c>
      <c r="E1081">
        <v>741.75</v>
      </c>
      <c r="F1081">
        <v>1668</v>
      </c>
      <c r="G1081">
        <v>477</v>
      </c>
      <c r="H1081">
        <v>1063.75</v>
      </c>
      <c r="I1081">
        <v>72.290000000000006</v>
      </c>
      <c r="J1081">
        <v>5.0231000000000003</v>
      </c>
    </row>
    <row r="1082" spans="2:10" x14ac:dyDescent="0.3">
      <c r="B1082" s="10">
        <f t="shared" si="32"/>
        <v>2022</v>
      </c>
      <c r="C1082" s="10">
        <f t="shared" si="33"/>
        <v>3</v>
      </c>
      <c r="D1082" s="20">
        <v>44637</v>
      </c>
      <c r="E1082">
        <v>754.5</v>
      </c>
      <c r="F1082">
        <v>1668.5</v>
      </c>
      <c r="G1082">
        <v>474.1</v>
      </c>
      <c r="H1082">
        <v>1098</v>
      </c>
      <c r="I1082">
        <v>74.63</v>
      </c>
      <c r="J1082">
        <v>5.0389999999999997</v>
      </c>
    </row>
    <row r="1083" spans="2:10" x14ac:dyDescent="0.3">
      <c r="B1083" s="10">
        <f t="shared" si="32"/>
        <v>2022</v>
      </c>
      <c r="C1083" s="10">
        <f t="shared" si="33"/>
        <v>3</v>
      </c>
      <c r="D1083" s="20">
        <v>44636</v>
      </c>
      <c r="E1083">
        <v>730</v>
      </c>
      <c r="F1083">
        <v>1649.25</v>
      </c>
      <c r="G1083">
        <v>478</v>
      </c>
      <c r="H1083">
        <v>1069.25</v>
      </c>
      <c r="I1083">
        <v>73.55</v>
      </c>
      <c r="J1083">
        <v>5.0757000000000003</v>
      </c>
    </row>
    <row r="1084" spans="2:10" x14ac:dyDescent="0.3">
      <c r="B1084" s="10">
        <f t="shared" si="32"/>
        <v>2022</v>
      </c>
      <c r="C1084" s="10">
        <f t="shared" si="33"/>
        <v>3</v>
      </c>
      <c r="D1084" s="20">
        <v>44635</v>
      </c>
      <c r="E1084">
        <v>758</v>
      </c>
      <c r="F1084">
        <v>1658.75</v>
      </c>
      <c r="G1084">
        <v>484</v>
      </c>
      <c r="H1084">
        <v>1154.25</v>
      </c>
      <c r="I1084">
        <v>73.680000000000007</v>
      </c>
      <c r="J1084">
        <v>5.1631</v>
      </c>
    </row>
    <row r="1085" spans="2:10" x14ac:dyDescent="0.3">
      <c r="B1085" s="10">
        <f t="shared" si="32"/>
        <v>2022</v>
      </c>
      <c r="C1085" s="10">
        <f t="shared" si="33"/>
        <v>3</v>
      </c>
      <c r="D1085" s="20">
        <v>44634</v>
      </c>
      <c r="E1085">
        <v>728.25</v>
      </c>
      <c r="F1085">
        <v>1687.25</v>
      </c>
      <c r="G1085">
        <v>521.9</v>
      </c>
      <c r="H1085">
        <v>1090</v>
      </c>
      <c r="I1085">
        <v>78.73</v>
      </c>
      <c r="J1085">
        <v>5.1193</v>
      </c>
    </row>
    <row r="1086" spans="2:10" x14ac:dyDescent="0.3">
      <c r="B1086" s="10">
        <f t="shared" si="32"/>
        <v>2022</v>
      </c>
      <c r="C1086" s="10">
        <f t="shared" si="33"/>
        <v>3</v>
      </c>
      <c r="D1086" s="20">
        <v>44631</v>
      </c>
      <c r="E1086">
        <v>764.5</v>
      </c>
      <c r="F1086">
        <v>1690.75</v>
      </c>
      <c r="G1086">
        <v>493.1</v>
      </c>
      <c r="H1086">
        <v>1090</v>
      </c>
      <c r="I1086">
        <v>82.18</v>
      </c>
      <c r="J1086">
        <v>5.0744999999999996</v>
      </c>
    </row>
    <row r="1087" spans="2:10" x14ac:dyDescent="0.3">
      <c r="B1087" s="10">
        <f t="shared" si="32"/>
        <v>2022</v>
      </c>
      <c r="C1087" s="10">
        <f t="shared" si="33"/>
        <v>3</v>
      </c>
      <c r="D1087" s="20">
        <v>44630</v>
      </c>
      <c r="E1087">
        <v>757.75</v>
      </c>
      <c r="F1087">
        <v>1700</v>
      </c>
      <c r="G1087">
        <v>506.8</v>
      </c>
      <c r="H1087">
        <v>1073.75</v>
      </c>
      <c r="I1087">
        <v>80.849999999999994</v>
      </c>
      <c r="J1087">
        <v>5.0110000000000001</v>
      </c>
    </row>
    <row r="1088" spans="2:10" x14ac:dyDescent="0.3">
      <c r="B1088" s="10">
        <f t="shared" si="32"/>
        <v>2022</v>
      </c>
      <c r="C1088" s="10">
        <f t="shared" si="33"/>
        <v>3</v>
      </c>
      <c r="D1088" s="20">
        <v>44629</v>
      </c>
      <c r="E1088">
        <v>735</v>
      </c>
      <c r="F1088">
        <v>1686.5</v>
      </c>
      <c r="G1088">
        <v>495</v>
      </c>
      <c r="H1088">
        <v>1199.5</v>
      </c>
      <c r="I1088">
        <v>80.069999999999993</v>
      </c>
      <c r="J1088">
        <v>5.0122999999999998</v>
      </c>
    </row>
    <row r="1089" spans="2:10" x14ac:dyDescent="0.3">
      <c r="B1089" s="10">
        <f t="shared" si="32"/>
        <v>2022</v>
      </c>
      <c r="C1089" s="10">
        <f t="shared" si="33"/>
        <v>3</v>
      </c>
      <c r="D1089" s="20">
        <v>44628</v>
      </c>
      <c r="E1089">
        <v>754.5</v>
      </c>
      <c r="F1089">
        <v>1704.5</v>
      </c>
      <c r="G1089">
        <v>489.9</v>
      </c>
      <c r="H1089">
        <v>1273</v>
      </c>
      <c r="I1089">
        <v>79.680000000000007</v>
      </c>
      <c r="J1089">
        <v>5.0598999999999998</v>
      </c>
    </row>
    <row r="1090" spans="2:10" x14ac:dyDescent="0.3">
      <c r="B1090" s="10">
        <f t="shared" si="32"/>
        <v>2022</v>
      </c>
      <c r="C1090" s="10">
        <f t="shared" si="33"/>
        <v>3</v>
      </c>
      <c r="D1090" s="20">
        <v>44627</v>
      </c>
      <c r="E1090">
        <v>749.25</v>
      </c>
      <c r="F1090">
        <v>1674.25</v>
      </c>
      <c r="G1090">
        <v>467.9</v>
      </c>
      <c r="H1090">
        <v>1425.25</v>
      </c>
      <c r="I1090">
        <v>78.150000000000006</v>
      </c>
      <c r="J1090">
        <v>5.1115000000000004</v>
      </c>
    </row>
    <row r="1091" spans="2:10" x14ac:dyDescent="0.3">
      <c r="B1091" s="10">
        <f t="shared" si="32"/>
        <v>2022</v>
      </c>
      <c r="C1091" s="10">
        <f t="shared" si="33"/>
        <v>3</v>
      </c>
      <c r="D1091" s="20">
        <v>44624</v>
      </c>
      <c r="E1091">
        <v>756.5</v>
      </c>
      <c r="F1091">
        <v>1676.25</v>
      </c>
      <c r="G1091">
        <v>468.9</v>
      </c>
      <c r="H1091">
        <v>1348</v>
      </c>
      <c r="I1091">
        <v>76.8</v>
      </c>
      <c r="J1091">
        <v>5.0620000000000003</v>
      </c>
    </row>
    <row r="1092" spans="2:10" x14ac:dyDescent="0.3">
      <c r="B1092" s="10">
        <f t="shared" si="32"/>
        <v>2022</v>
      </c>
      <c r="C1092" s="10">
        <f t="shared" si="33"/>
        <v>3</v>
      </c>
      <c r="D1092" s="20">
        <v>44623</v>
      </c>
      <c r="E1092">
        <v>751.25</v>
      </c>
      <c r="F1092">
        <v>1680.25</v>
      </c>
      <c r="G1092">
        <v>461.4</v>
      </c>
      <c r="H1092">
        <v>1289</v>
      </c>
      <c r="I1092">
        <v>78.3</v>
      </c>
      <c r="J1092">
        <v>5.032</v>
      </c>
    </row>
    <row r="1093" spans="2:10" x14ac:dyDescent="0.3">
      <c r="B1093" s="10">
        <f t="shared" si="32"/>
        <v>2022</v>
      </c>
      <c r="C1093" s="10">
        <f t="shared" si="33"/>
        <v>3</v>
      </c>
      <c r="D1093" s="20">
        <v>44622</v>
      </c>
      <c r="E1093">
        <v>739</v>
      </c>
      <c r="F1093">
        <v>1677.5</v>
      </c>
      <c r="G1093">
        <v>457.7</v>
      </c>
      <c r="H1093">
        <v>1058.5</v>
      </c>
      <c r="I1093">
        <v>79.540000000000006</v>
      </c>
      <c r="J1093">
        <v>5.0994999999999999</v>
      </c>
    </row>
    <row r="1094" spans="2:10" x14ac:dyDescent="0.3">
      <c r="B1094" s="10">
        <f t="shared" ref="B1094:B1157" si="34">YEAR(D1094)</f>
        <v>2022</v>
      </c>
      <c r="C1094" s="10">
        <f t="shared" ref="C1094:C1157" si="35">MONTH(D1094)</f>
        <v>3</v>
      </c>
      <c r="D1094" s="20">
        <v>44621</v>
      </c>
      <c r="E1094">
        <v>739.75</v>
      </c>
      <c r="F1094">
        <v>1705.5</v>
      </c>
      <c r="G1094">
        <v>463.7</v>
      </c>
      <c r="H1094">
        <v>1001.75</v>
      </c>
      <c r="I1094">
        <v>76.8</v>
      </c>
      <c r="J1094">
        <v>5.1595000000000004</v>
      </c>
    </row>
    <row r="1095" spans="2:10" x14ac:dyDescent="0.3">
      <c r="B1095" s="10">
        <f t="shared" si="34"/>
        <v>2022</v>
      </c>
      <c r="C1095" s="10">
        <f t="shared" si="35"/>
        <v>2</v>
      </c>
      <c r="D1095" s="20">
        <v>44620</v>
      </c>
      <c r="E1095">
        <v>697.5</v>
      </c>
      <c r="F1095">
        <v>1644.25</v>
      </c>
      <c r="G1095">
        <v>454.9</v>
      </c>
      <c r="H1095">
        <v>928</v>
      </c>
      <c r="I1095">
        <v>72.89</v>
      </c>
      <c r="J1095">
        <v>5.1599000000000004</v>
      </c>
    </row>
    <row r="1096" spans="2:10" x14ac:dyDescent="0.3">
      <c r="B1096" s="10">
        <f t="shared" si="34"/>
        <v>2022</v>
      </c>
      <c r="C1096" s="10">
        <f t="shared" si="35"/>
        <v>2</v>
      </c>
      <c r="D1096" s="20">
        <v>44617</v>
      </c>
      <c r="E1096">
        <v>659.5</v>
      </c>
      <c r="F1096">
        <v>1590.25</v>
      </c>
      <c r="G1096">
        <v>448.3</v>
      </c>
      <c r="H1096">
        <v>843</v>
      </c>
      <c r="I1096">
        <v>68.75</v>
      </c>
      <c r="J1096">
        <v>5.1623000000000001</v>
      </c>
    </row>
    <row r="1097" spans="2:10" x14ac:dyDescent="0.3">
      <c r="B1097" s="10">
        <f t="shared" si="34"/>
        <v>2022</v>
      </c>
      <c r="C1097" s="10">
        <f t="shared" si="35"/>
        <v>2</v>
      </c>
      <c r="D1097" s="20">
        <v>44616</v>
      </c>
      <c r="E1097">
        <v>695</v>
      </c>
      <c r="F1097">
        <v>1661.5</v>
      </c>
      <c r="G1097">
        <v>464.9</v>
      </c>
      <c r="H1097">
        <v>926</v>
      </c>
      <c r="I1097">
        <v>72</v>
      </c>
      <c r="J1097">
        <v>5.1231</v>
      </c>
    </row>
    <row r="1098" spans="2:10" x14ac:dyDescent="0.3">
      <c r="B1098" s="10">
        <f t="shared" si="34"/>
        <v>2022</v>
      </c>
      <c r="C1098" s="10">
        <f t="shared" si="35"/>
        <v>2</v>
      </c>
      <c r="D1098" s="20">
        <v>44615</v>
      </c>
      <c r="E1098">
        <v>683.75</v>
      </c>
      <c r="F1098">
        <v>1675</v>
      </c>
      <c r="G1098">
        <v>471.1</v>
      </c>
      <c r="H1098">
        <v>876</v>
      </c>
      <c r="I1098">
        <v>70.72</v>
      </c>
      <c r="J1098">
        <v>5.0096999999999996</v>
      </c>
    </row>
    <row r="1099" spans="2:10" x14ac:dyDescent="0.3">
      <c r="B1099" s="10">
        <f t="shared" si="34"/>
        <v>2022</v>
      </c>
      <c r="C1099" s="10">
        <f t="shared" si="35"/>
        <v>2</v>
      </c>
      <c r="D1099" s="20">
        <v>44614</v>
      </c>
      <c r="E1099">
        <v>674.75</v>
      </c>
      <c r="F1099">
        <v>1635</v>
      </c>
      <c r="G1099">
        <v>453.7</v>
      </c>
      <c r="H1099">
        <v>844.25</v>
      </c>
      <c r="I1099">
        <v>70.150000000000006</v>
      </c>
      <c r="J1099">
        <v>5.0583</v>
      </c>
    </row>
    <row r="1100" spans="2:10" x14ac:dyDescent="0.3">
      <c r="B1100" s="10">
        <f t="shared" si="34"/>
        <v>2022</v>
      </c>
      <c r="C1100" s="10">
        <f t="shared" si="35"/>
        <v>2</v>
      </c>
      <c r="D1100" s="20">
        <v>44613</v>
      </c>
      <c r="J1100">
        <v>5.1036000000000001</v>
      </c>
    </row>
    <row r="1101" spans="2:10" x14ac:dyDescent="0.3">
      <c r="B1101" s="10">
        <f t="shared" si="34"/>
        <v>2022</v>
      </c>
      <c r="C1101" s="10">
        <f t="shared" si="35"/>
        <v>2</v>
      </c>
      <c r="D1101" s="20">
        <v>44610</v>
      </c>
      <c r="E1101">
        <v>654.25</v>
      </c>
      <c r="F1101">
        <v>1601.5</v>
      </c>
      <c r="G1101">
        <v>447.9</v>
      </c>
      <c r="H1101">
        <v>797</v>
      </c>
      <c r="I1101">
        <v>67.569999999999993</v>
      </c>
      <c r="J1101">
        <v>5.1384999999999996</v>
      </c>
    </row>
    <row r="1102" spans="2:10" x14ac:dyDescent="0.3">
      <c r="B1102" s="10">
        <f t="shared" si="34"/>
        <v>2022</v>
      </c>
      <c r="C1102" s="10">
        <f t="shared" si="35"/>
        <v>2</v>
      </c>
      <c r="D1102" s="20">
        <v>44609</v>
      </c>
      <c r="E1102">
        <v>650</v>
      </c>
      <c r="F1102">
        <v>1592</v>
      </c>
      <c r="G1102">
        <v>449.2</v>
      </c>
      <c r="H1102">
        <v>798</v>
      </c>
      <c r="I1102">
        <v>66.81</v>
      </c>
      <c r="J1102">
        <v>5.1718000000000002</v>
      </c>
    </row>
    <row r="1103" spans="2:10" x14ac:dyDescent="0.3">
      <c r="B1103" s="10">
        <f t="shared" si="34"/>
        <v>2022</v>
      </c>
      <c r="C1103" s="10">
        <f t="shared" si="35"/>
        <v>2</v>
      </c>
      <c r="D1103" s="20">
        <v>44608</v>
      </c>
      <c r="E1103">
        <v>647</v>
      </c>
      <c r="F1103">
        <v>1587.5</v>
      </c>
      <c r="G1103">
        <v>449.4</v>
      </c>
      <c r="H1103">
        <v>780.5</v>
      </c>
      <c r="I1103">
        <v>66.97</v>
      </c>
      <c r="J1103">
        <v>5.1364999999999998</v>
      </c>
    </row>
    <row r="1104" spans="2:10" x14ac:dyDescent="0.3">
      <c r="B1104" s="10">
        <f t="shared" si="34"/>
        <v>2022</v>
      </c>
      <c r="C1104" s="10">
        <f t="shared" si="35"/>
        <v>2</v>
      </c>
      <c r="D1104" s="20">
        <v>44607</v>
      </c>
      <c r="E1104">
        <v>638</v>
      </c>
      <c r="F1104">
        <v>1551.25</v>
      </c>
      <c r="G1104">
        <v>438.8</v>
      </c>
      <c r="H1104">
        <v>779.75</v>
      </c>
      <c r="I1104">
        <v>65.63</v>
      </c>
      <c r="J1104">
        <v>5.1589999999999998</v>
      </c>
    </row>
    <row r="1105" spans="2:10" x14ac:dyDescent="0.3">
      <c r="B1105" s="10">
        <f t="shared" si="34"/>
        <v>2022</v>
      </c>
      <c r="C1105" s="10">
        <f t="shared" si="35"/>
        <v>2</v>
      </c>
      <c r="D1105" s="20">
        <v>44606</v>
      </c>
      <c r="E1105">
        <v>655.75</v>
      </c>
      <c r="F1105">
        <v>1570</v>
      </c>
      <c r="G1105">
        <v>448.4</v>
      </c>
      <c r="H1105">
        <v>799.25</v>
      </c>
      <c r="I1105">
        <v>65.81</v>
      </c>
      <c r="J1105">
        <v>5.2149000000000001</v>
      </c>
    </row>
    <row r="1106" spans="2:10" x14ac:dyDescent="0.3">
      <c r="B1106" s="10">
        <f t="shared" si="34"/>
        <v>2022</v>
      </c>
      <c r="C1106" s="10">
        <f t="shared" si="35"/>
        <v>2</v>
      </c>
      <c r="D1106" s="20">
        <v>44603</v>
      </c>
      <c r="E1106">
        <v>651</v>
      </c>
      <c r="F1106">
        <v>1583</v>
      </c>
      <c r="G1106">
        <v>456.6</v>
      </c>
      <c r="H1106">
        <v>797.75</v>
      </c>
      <c r="I1106">
        <v>65.72</v>
      </c>
      <c r="J1106">
        <v>5.2526999999999999</v>
      </c>
    </row>
    <row r="1107" spans="2:10" x14ac:dyDescent="0.3">
      <c r="B1107" s="10">
        <f t="shared" si="34"/>
        <v>2022</v>
      </c>
      <c r="C1107" s="10">
        <f t="shared" si="35"/>
        <v>2</v>
      </c>
      <c r="D1107" s="20">
        <v>44602</v>
      </c>
      <c r="E1107">
        <v>641.75</v>
      </c>
      <c r="F1107">
        <v>1574.25</v>
      </c>
      <c r="G1107">
        <v>454</v>
      </c>
      <c r="H1107">
        <v>771.5</v>
      </c>
      <c r="I1107">
        <v>64.510000000000005</v>
      </c>
      <c r="J1107">
        <v>5.2496</v>
      </c>
    </row>
    <row r="1108" spans="2:10" x14ac:dyDescent="0.3">
      <c r="B1108" s="10">
        <f t="shared" si="34"/>
        <v>2022</v>
      </c>
      <c r="C1108" s="10">
        <f t="shared" si="35"/>
        <v>2</v>
      </c>
      <c r="D1108" s="20">
        <v>44601</v>
      </c>
      <c r="E1108">
        <v>646.75</v>
      </c>
      <c r="F1108">
        <v>1594.75</v>
      </c>
      <c r="G1108">
        <v>461.9</v>
      </c>
      <c r="H1108">
        <v>785</v>
      </c>
      <c r="I1108">
        <v>64.099999999999994</v>
      </c>
      <c r="J1108">
        <v>5.2354000000000003</v>
      </c>
    </row>
    <row r="1109" spans="2:10" x14ac:dyDescent="0.3">
      <c r="B1109" s="10">
        <f t="shared" si="34"/>
        <v>2022</v>
      </c>
      <c r="C1109" s="10">
        <f t="shared" si="35"/>
        <v>2</v>
      </c>
      <c r="D1109" s="20">
        <v>44600</v>
      </c>
      <c r="E1109">
        <v>632.25</v>
      </c>
      <c r="F1109">
        <v>1569</v>
      </c>
      <c r="G1109">
        <v>454.1</v>
      </c>
      <c r="H1109">
        <v>778.75</v>
      </c>
      <c r="I1109">
        <v>63.35</v>
      </c>
      <c r="J1109">
        <v>5.2592999999999996</v>
      </c>
    </row>
    <row r="1110" spans="2:10" x14ac:dyDescent="0.3">
      <c r="B1110" s="10">
        <f t="shared" si="34"/>
        <v>2022</v>
      </c>
      <c r="C1110" s="10">
        <f t="shared" si="35"/>
        <v>2</v>
      </c>
      <c r="D1110" s="20">
        <v>44599</v>
      </c>
      <c r="E1110">
        <v>635.25</v>
      </c>
      <c r="F1110">
        <v>1581.75</v>
      </c>
      <c r="G1110">
        <v>452.8</v>
      </c>
      <c r="H1110">
        <v>768.75</v>
      </c>
      <c r="I1110">
        <v>65.34</v>
      </c>
      <c r="J1110">
        <v>5.2636000000000003</v>
      </c>
    </row>
    <row r="1111" spans="2:10" x14ac:dyDescent="0.3">
      <c r="B1111" s="10">
        <f t="shared" si="34"/>
        <v>2022</v>
      </c>
      <c r="C1111" s="10">
        <f t="shared" si="35"/>
        <v>2</v>
      </c>
      <c r="D1111" s="20">
        <v>44596</v>
      </c>
      <c r="E1111">
        <v>620.5</v>
      </c>
      <c r="F1111">
        <v>1553.5</v>
      </c>
      <c r="G1111">
        <v>443.9</v>
      </c>
      <c r="H1111">
        <v>763.25</v>
      </c>
      <c r="I1111">
        <v>65.36</v>
      </c>
      <c r="J1111">
        <v>5.3278999999999996</v>
      </c>
    </row>
    <row r="1112" spans="2:10" x14ac:dyDescent="0.3">
      <c r="B1112" s="10">
        <f t="shared" si="34"/>
        <v>2022</v>
      </c>
      <c r="C1112" s="10">
        <f t="shared" si="35"/>
        <v>2</v>
      </c>
      <c r="D1112" s="20">
        <v>44595</v>
      </c>
      <c r="E1112">
        <v>616.75</v>
      </c>
      <c r="F1112">
        <v>1544.25</v>
      </c>
      <c r="G1112">
        <v>437.1</v>
      </c>
      <c r="H1112">
        <v>751.75</v>
      </c>
      <c r="I1112">
        <v>65.75</v>
      </c>
      <c r="J1112">
        <v>5.2839</v>
      </c>
    </row>
    <row r="1113" spans="2:10" x14ac:dyDescent="0.3">
      <c r="B1113" s="10">
        <f t="shared" si="34"/>
        <v>2022</v>
      </c>
      <c r="C1113" s="10">
        <f t="shared" si="35"/>
        <v>2</v>
      </c>
      <c r="D1113" s="20">
        <v>44594</v>
      </c>
      <c r="E1113">
        <v>622.5</v>
      </c>
      <c r="F1113">
        <v>1545.25</v>
      </c>
      <c r="G1113">
        <v>435.1</v>
      </c>
      <c r="H1113">
        <v>755</v>
      </c>
      <c r="I1113">
        <v>65.98</v>
      </c>
      <c r="J1113">
        <v>5.2619999999999996</v>
      </c>
    </row>
    <row r="1114" spans="2:10" x14ac:dyDescent="0.3">
      <c r="B1114" s="10">
        <f t="shared" si="34"/>
        <v>2022</v>
      </c>
      <c r="C1114" s="10">
        <f t="shared" si="35"/>
        <v>2</v>
      </c>
      <c r="D1114" s="20">
        <v>44593</v>
      </c>
      <c r="E1114">
        <v>634.75</v>
      </c>
      <c r="F1114">
        <v>1528.5</v>
      </c>
      <c r="G1114">
        <v>436</v>
      </c>
      <c r="H1114">
        <v>769</v>
      </c>
      <c r="I1114">
        <v>65.83</v>
      </c>
      <c r="J1114">
        <v>5.2655000000000003</v>
      </c>
    </row>
    <row r="1115" spans="2:10" x14ac:dyDescent="0.3">
      <c r="B1115" s="10">
        <f t="shared" si="34"/>
        <v>2022</v>
      </c>
      <c r="C1115" s="10">
        <f t="shared" si="35"/>
        <v>1</v>
      </c>
      <c r="D1115" s="20">
        <v>44592</v>
      </c>
      <c r="E1115">
        <v>626</v>
      </c>
      <c r="F1115">
        <v>1490.5</v>
      </c>
      <c r="G1115">
        <v>418.9</v>
      </c>
      <c r="H1115">
        <v>761.25</v>
      </c>
      <c r="I1115">
        <v>64.819999999999993</v>
      </c>
      <c r="J1115">
        <v>5.3041</v>
      </c>
    </row>
    <row r="1116" spans="2:10" x14ac:dyDescent="0.3">
      <c r="B1116" s="10">
        <f t="shared" si="34"/>
        <v>2022</v>
      </c>
      <c r="C1116" s="10">
        <f t="shared" si="35"/>
        <v>1</v>
      </c>
      <c r="D1116" s="20">
        <v>44589</v>
      </c>
      <c r="E1116">
        <v>636</v>
      </c>
      <c r="F1116">
        <v>1470</v>
      </c>
      <c r="G1116">
        <v>411.2</v>
      </c>
      <c r="H1116">
        <v>786.25</v>
      </c>
      <c r="I1116">
        <v>65.27</v>
      </c>
      <c r="J1116">
        <v>5.3673999999999999</v>
      </c>
    </row>
    <row r="1117" spans="2:10" x14ac:dyDescent="0.3">
      <c r="B1117" s="10">
        <f t="shared" si="34"/>
        <v>2022</v>
      </c>
      <c r="C1117" s="10">
        <f t="shared" si="35"/>
        <v>1</v>
      </c>
      <c r="D1117" s="20">
        <v>44588</v>
      </c>
      <c r="E1117">
        <v>625.25</v>
      </c>
      <c r="F1117">
        <v>1448.25</v>
      </c>
      <c r="G1117">
        <v>404.7</v>
      </c>
      <c r="H1117">
        <v>777</v>
      </c>
      <c r="I1117">
        <v>64.34</v>
      </c>
      <c r="J1117">
        <v>5.4065000000000003</v>
      </c>
    </row>
    <row r="1118" spans="2:10" x14ac:dyDescent="0.3">
      <c r="B1118" s="10">
        <f t="shared" si="34"/>
        <v>2022</v>
      </c>
      <c r="C1118" s="10">
        <f t="shared" si="35"/>
        <v>1</v>
      </c>
      <c r="D1118" s="20">
        <v>44587</v>
      </c>
      <c r="E1118">
        <v>627</v>
      </c>
      <c r="F1118">
        <v>1440</v>
      </c>
      <c r="G1118">
        <v>400.5</v>
      </c>
      <c r="H1118">
        <v>795</v>
      </c>
      <c r="I1118">
        <v>63.93</v>
      </c>
      <c r="J1118">
        <v>5.4324000000000003</v>
      </c>
    </row>
    <row r="1119" spans="2:10" x14ac:dyDescent="0.3">
      <c r="B1119" s="10">
        <f t="shared" si="34"/>
        <v>2022</v>
      </c>
      <c r="C1119" s="10">
        <f t="shared" si="35"/>
        <v>1</v>
      </c>
      <c r="D1119" s="20">
        <v>44586</v>
      </c>
      <c r="E1119">
        <v>620</v>
      </c>
      <c r="F1119">
        <v>1407.25</v>
      </c>
      <c r="G1119">
        <v>392</v>
      </c>
      <c r="H1119">
        <v>818</v>
      </c>
      <c r="I1119">
        <v>62.51</v>
      </c>
      <c r="J1119">
        <v>5.4436999999999998</v>
      </c>
    </row>
    <row r="1120" spans="2:10" x14ac:dyDescent="0.3">
      <c r="B1120" s="10">
        <f t="shared" si="34"/>
        <v>2022</v>
      </c>
      <c r="C1120" s="10">
        <f t="shared" si="35"/>
        <v>1</v>
      </c>
      <c r="D1120" s="20">
        <v>44585</v>
      </c>
      <c r="E1120">
        <v>621</v>
      </c>
      <c r="F1120">
        <v>1403</v>
      </c>
      <c r="G1120">
        <v>393.9</v>
      </c>
      <c r="H1120">
        <v>800.5</v>
      </c>
      <c r="I1120">
        <v>61.97</v>
      </c>
      <c r="J1120">
        <v>5.4877000000000002</v>
      </c>
    </row>
    <row r="1121" spans="2:10" x14ac:dyDescent="0.3">
      <c r="B1121" s="10">
        <f t="shared" si="34"/>
        <v>2022</v>
      </c>
      <c r="C1121" s="10">
        <f t="shared" si="35"/>
        <v>1</v>
      </c>
      <c r="D1121" s="20">
        <v>44582</v>
      </c>
      <c r="E1121">
        <v>616.25</v>
      </c>
      <c r="F1121">
        <v>1414.25</v>
      </c>
      <c r="G1121">
        <v>392.7</v>
      </c>
      <c r="H1121">
        <v>780</v>
      </c>
      <c r="I1121">
        <v>63</v>
      </c>
      <c r="J1121">
        <v>5.4581999999999997</v>
      </c>
    </row>
    <row r="1122" spans="2:10" x14ac:dyDescent="0.3">
      <c r="B1122" s="10">
        <f t="shared" si="34"/>
        <v>2022</v>
      </c>
      <c r="C1122" s="10">
        <f t="shared" si="35"/>
        <v>1</v>
      </c>
      <c r="D1122" s="20">
        <v>44581</v>
      </c>
      <c r="E1122">
        <v>611</v>
      </c>
      <c r="F1122">
        <v>1425.75</v>
      </c>
      <c r="G1122">
        <v>400.8</v>
      </c>
      <c r="H1122">
        <v>790.25</v>
      </c>
      <c r="I1122">
        <v>62.88</v>
      </c>
      <c r="J1122">
        <v>5.4191000000000003</v>
      </c>
    </row>
    <row r="1123" spans="2:10" x14ac:dyDescent="0.3">
      <c r="B1123" s="10">
        <f t="shared" si="34"/>
        <v>2022</v>
      </c>
      <c r="C1123" s="10">
        <f t="shared" si="35"/>
        <v>1</v>
      </c>
      <c r="D1123" s="20">
        <v>44580</v>
      </c>
      <c r="E1123">
        <v>610.5</v>
      </c>
      <c r="F1123">
        <v>1391.25</v>
      </c>
      <c r="G1123">
        <v>398.3</v>
      </c>
      <c r="H1123">
        <v>796.5</v>
      </c>
      <c r="I1123">
        <v>60.76</v>
      </c>
      <c r="J1123">
        <v>5.4382999999999999</v>
      </c>
    </row>
    <row r="1124" spans="2:10" x14ac:dyDescent="0.3">
      <c r="B1124" s="10">
        <f t="shared" si="34"/>
        <v>2022</v>
      </c>
      <c r="C1124" s="10">
        <f t="shared" si="35"/>
        <v>1</v>
      </c>
      <c r="D1124" s="20">
        <v>44579</v>
      </c>
      <c r="E1124">
        <v>599.5</v>
      </c>
      <c r="F1124">
        <v>1361.25</v>
      </c>
      <c r="G1124">
        <v>390.1</v>
      </c>
      <c r="H1124">
        <v>769</v>
      </c>
      <c r="I1124">
        <v>59.08</v>
      </c>
      <c r="J1124">
        <v>5.5666000000000002</v>
      </c>
    </row>
    <row r="1125" spans="2:10" x14ac:dyDescent="0.3">
      <c r="B1125" s="10">
        <f t="shared" si="34"/>
        <v>2022</v>
      </c>
      <c r="C1125" s="10">
        <f t="shared" si="35"/>
        <v>1</v>
      </c>
      <c r="D1125" s="20">
        <v>44578</v>
      </c>
      <c r="J1125">
        <v>5.5164999999999997</v>
      </c>
    </row>
    <row r="1126" spans="2:10" x14ac:dyDescent="0.3">
      <c r="B1126" s="10">
        <f t="shared" si="34"/>
        <v>2022</v>
      </c>
      <c r="C1126" s="10">
        <f t="shared" si="35"/>
        <v>1</v>
      </c>
      <c r="D1126" s="20">
        <v>44575</v>
      </c>
      <c r="E1126">
        <v>596.25</v>
      </c>
      <c r="F1126">
        <v>1356.75</v>
      </c>
      <c r="G1126">
        <v>445</v>
      </c>
      <c r="H1126">
        <v>741.5</v>
      </c>
      <c r="I1126">
        <v>58.15</v>
      </c>
      <c r="J1126">
        <v>5.5343999999999998</v>
      </c>
    </row>
    <row r="1127" spans="2:10" x14ac:dyDescent="0.3">
      <c r="B1127" s="10">
        <f t="shared" si="34"/>
        <v>2022</v>
      </c>
      <c r="C1127" s="10">
        <f t="shared" si="35"/>
        <v>1</v>
      </c>
      <c r="D1127" s="20">
        <v>44574</v>
      </c>
      <c r="E1127">
        <v>587.5</v>
      </c>
      <c r="F1127">
        <v>1365.25</v>
      </c>
      <c r="G1127">
        <v>423.7</v>
      </c>
      <c r="H1127">
        <v>746.75</v>
      </c>
      <c r="I1127">
        <v>58.18</v>
      </c>
      <c r="J1127">
        <v>5.5286</v>
      </c>
    </row>
    <row r="1128" spans="2:10" x14ac:dyDescent="0.3">
      <c r="B1128" s="10">
        <f t="shared" si="34"/>
        <v>2022</v>
      </c>
      <c r="C1128" s="10">
        <f t="shared" si="35"/>
        <v>1</v>
      </c>
      <c r="D1128" s="20">
        <v>44573</v>
      </c>
      <c r="E1128">
        <v>599</v>
      </c>
      <c r="F1128">
        <v>1391.25</v>
      </c>
      <c r="G1128">
        <v>431</v>
      </c>
      <c r="H1128">
        <v>757.75</v>
      </c>
      <c r="I1128">
        <v>59.28</v>
      </c>
      <c r="J1128">
        <v>5.5338000000000003</v>
      </c>
    </row>
    <row r="1129" spans="2:10" x14ac:dyDescent="0.3">
      <c r="B1129" s="10">
        <f t="shared" si="34"/>
        <v>2022</v>
      </c>
      <c r="C1129" s="10">
        <f t="shared" si="35"/>
        <v>1</v>
      </c>
      <c r="D1129" s="20">
        <v>44572</v>
      </c>
      <c r="E1129">
        <v>601</v>
      </c>
      <c r="F1129">
        <v>1376.75</v>
      </c>
      <c r="G1129">
        <v>427.3</v>
      </c>
      <c r="H1129">
        <v>770.25</v>
      </c>
      <c r="I1129">
        <v>58.89</v>
      </c>
      <c r="J1129">
        <v>5.5686</v>
      </c>
    </row>
    <row r="1130" spans="2:10" x14ac:dyDescent="0.3">
      <c r="B1130" s="10">
        <f t="shared" si="34"/>
        <v>2022</v>
      </c>
      <c r="C1130" s="10">
        <f t="shared" si="35"/>
        <v>1</v>
      </c>
      <c r="D1130" s="20">
        <v>44571</v>
      </c>
      <c r="E1130">
        <v>599.75</v>
      </c>
      <c r="F1130">
        <v>1374.75</v>
      </c>
      <c r="G1130">
        <v>427.6</v>
      </c>
      <c r="H1130">
        <v>762</v>
      </c>
      <c r="I1130">
        <v>57.89</v>
      </c>
      <c r="J1130">
        <v>5.6632999999999996</v>
      </c>
    </row>
    <row r="1131" spans="2:10" x14ac:dyDescent="0.3">
      <c r="B1131" s="10">
        <f t="shared" si="34"/>
        <v>2022</v>
      </c>
      <c r="C1131" s="10">
        <f t="shared" si="35"/>
        <v>1</v>
      </c>
      <c r="D1131" s="20">
        <v>44568</v>
      </c>
      <c r="E1131">
        <v>606.75</v>
      </c>
      <c r="F1131">
        <v>1401.5</v>
      </c>
      <c r="G1131">
        <v>433.5</v>
      </c>
      <c r="H1131">
        <v>758.5</v>
      </c>
      <c r="I1131">
        <v>58.63</v>
      </c>
      <c r="J1131">
        <v>5.6355000000000004</v>
      </c>
    </row>
    <row r="1132" spans="2:10" x14ac:dyDescent="0.3">
      <c r="B1132" s="10">
        <f t="shared" si="34"/>
        <v>2022</v>
      </c>
      <c r="C1132" s="10">
        <f t="shared" si="35"/>
        <v>1</v>
      </c>
      <c r="D1132" s="20">
        <v>44567</v>
      </c>
      <c r="E1132">
        <v>603.75</v>
      </c>
      <c r="F1132">
        <v>1377.25</v>
      </c>
      <c r="G1132">
        <v>420.4</v>
      </c>
      <c r="H1132">
        <v>746</v>
      </c>
      <c r="I1132">
        <v>58.78</v>
      </c>
      <c r="J1132">
        <v>5.6833999999999998</v>
      </c>
    </row>
    <row r="1133" spans="2:10" x14ac:dyDescent="0.3">
      <c r="B1133" s="10">
        <f t="shared" si="34"/>
        <v>2022</v>
      </c>
      <c r="C1133" s="10">
        <f t="shared" si="35"/>
        <v>1</v>
      </c>
      <c r="D1133" s="20">
        <v>44566</v>
      </c>
      <c r="E1133">
        <v>602.25</v>
      </c>
      <c r="F1133">
        <v>1384.25</v>
      </c>
      <c r="G1133">
        <v>424.1</v>
      </c>
      <c r="H1133">
        <v>760.75</v>
      </c>
      <c r="I1133">
        <v>59.32</v>
      </c>
      <c r="J1133">
        <v>5.7087000000000003</v>
      </c>
    </row>
    <row r="1134" spans="2:10" x14ac:dyDescent="0.3">
      <c r="B1134" s="10">
        <f t="shared" si="34"/>
        <v>2022</v>
      </c>
      <c r="C1134" s="10">
        <f t="shared" si="35"/>
        <v>1</v>
      </c>
      <c r="D1134" s="20">
        <v>44565</v>
      </c>
      <c r="E1134">
        <v>609.5</v>
      </c>
      <c r="F1134">
        <v>1378.75</v>
      </c>
      <c r="G1134">
        <v>427.6</v>
      </c>
      <c r="H1134">
        <v>770</v>
      </c>
      <c r="I1134">
        <v>58.14</v>
      </c>
      <c r="J1134">
        <v>5.6769999999999996</v>
      </c>
    </row>
    <row r="1135" spans="2:10" x14ac:dyDescent="0.3">
      <c r="B1135" s="10">
        <f t="shared" si="34"/>
        <v>2022</v>
      </c>
      <c r="C1135" s="10">
        <f t="shared" si="35"/>
        <v>1</v>
      </c>
      <c r="D1135" s="20">
        <v>44564</v>
      </c>
      <c r="E1135">
        <v>589.25</v>
      </c>
      <c r="F1135">
        <v>1344</v>
      </c>
      <c r="G1135">
        <v>423.9</v>
      </c>
      <c r="H1135">
        <v>758</v>
      </c>
      <c r="I1135">
        <v>56.21</v>
      </c>
      <c r="J1135">
        <v>5.6818</v>
      </c>
    </row>
    <row r="1136" spans="2:10" x14ac:dyDescent="0.3">
      <c r="B1136" s="10">
        <f t="shared" si="34"/>
        <v>2021</v>
      </c>
      <c r="C1136" s="10">
        <f t="shared" si="35"/>
        <v>12</v>
      </c>
      <c r="D1136" s="20">
        <v>44561</v>
      </c>
      <c r="E1136">
        <v>593.25</v>
      </c>
      <c r="F1136">
        <v>1328.75</v>
      </c>
      <c r="G1136">
        <v>411.7</v>
      </c>
      <c r="H1136">
        <v>770.75</v>
      </c>
      <c r="I1136">
        <v>56.3</v>
      </c>
      <c r="J1136">
        <v>5.5702999999999996</v>
      </c>
    </row>
    <row r="1137" spans="2:10" x14ac:dyDescent="0.3">
      <c r="B1137" s="10">
        <f t="shared" si="34"/>
        <v>2021</v>
      </c>
      <c r="C1137" s="10">
        <f t="shared" si="35"/>
        <v>12</v>
      </c>
      <c r="D1137" s="20">
        <v>44560</v>
      </c>
      <c r="E1137">
        <v>596</v>
      </c>
      <c r="F1137">
        <v>1327.75</v>
      </c>
      <c r="G1137">
        <v>413.6</v>
      </c>
      <c r="H1137">
        <v>779.75</v>
      </c>
      <c r="I1137">
        <v>55.85</v>
      </c>
      <c r="J1137">
        <v>5.5709999999999997</v>
      </c>
    </row>
    <row r="1138" spans="2:10" x14ac:dyDescent="0.3">
      <c r="B1138" s="10">
        <f t="shared" si="34"/>
        <v>2021</v>
      </c>
      <c r="C1138" s="10">
        <f t="shared" si="35"/>
        <v>12</v>
      </c>
      <c r="D1138" s="20">
        <v>44559</v>
      </c>
      <c r="E1138">
        <v>605.5</v>
      </c>
      <c r="F1138">
        <v>1356.5</v>
      </c>
      <c r="G1138">
        <v>415.4</v>
      </c>
      <c r="H1138">
        <v>787.75</v>
      </c>
      <c r="I1138">
        <v>56.7</v>
      </c>
      <c r="J1138">
        <v>5.7031999999999998</v>
      </c>
    </row>
    <row r="1139" spans="2:10" x14ac:dyDescent="0.3">
      <c r="B1139" s="10">
        <f t="shared" si="34"/>
        <v>2021</v>
      </c>
      <c r="C1139" s="10">
        <f t="shared" si="35"/>
        <v>12</v>
      </c>
      <c r="D1139" s="20">
        <v>44558</v>
      </c>
      <c r="E1139">
        <v>604.75</v>
      </c>
      <c r="F1139">
        <v>1359.25</v>
      </c>
      <c r="G1139">
        <v>415.9</v>
      </c>
      <c r="H1139">
        <v>783.5</v>
      </c>
      <c r="I1139">
        <v>56.55</v>
      </c>
      <c r="J1139">
        <v>5.6283000000000003</v>
      </c>
    </row>
    <row r="1140" spans="2:10" x14ac:dyDescent="0.3">
      <c r="B1140" s="10">
        <f t="shared" si="34"/>
        <v>2021</v>
      </c>
      <c r="C1140" s="10">
        <f t="shared" si="35"/>
        <v>12</v>
      </c>
      <c r="D1140" s="20">
        <v>44557</v>
      </c>
      <c r="E1140">
        <v>614.75</v>
      </c>
      <c r="F1140">
        <v>1362.5</v>
      </c>
      <c r="G1140">
        <v>414.8</v>
      </c>
      <c r="H1140">
        <v>804</v>
      </c>
      <c r="I1140">
        <v>56.72</v>
      </c>
      <c r="J1140">
        <v>5.6249000000000002</v>
      </c>
    </row>
    <row r="1141" spans="2:10" x14ac:dyDescent="0.3">
      <c r="B1141" s="10">
        <f t="shared" si="34"/>
        <v>2021</v>
      </c>
      <c r="C1141" s="10">
        <f t="shared" si="35"/>
        <v>12</v>
      </c>
      <c r="D1141" s="20">
        <v>44554</v>
      </c>
      <c r="J1141">
        <v>5.6749999999999998</v>
      </c>
    </row>
    <row r="1142" spans="2:10" x14ac:dyDescent="0.3">
      <c r="B1142" s="10">
        <f t="shared" si="34"/>
        <v>2021</v>
      </c>
      <c r="C1142" s="10">
        <f t="shared" si="35"/>
        <v>12</v>
      </c>
      <c r="D1142" s="20">
        <v>44553</v>
      </c>
      <c r="E1142">
        <v>605.75</v>
      </c>
      <c r="F1142">
        <v>1332</v>
      </c>
      <c r="G1142">
        <v>406.1</v>
      </c>
      <c r="H1142">
        <v>814.75</v>
      </c>
      <c r="I1142">
        <v>55.44</v>
      </c>
      <c r="J1142">
        <v>5.6749000000000001</v>
      </c>
    </row>
    <row r="1143" spans="2:10" x14ac:dyDescent="0.3">
      <c r="B1143" s="10">
        <f t="shared" si="34"/>
        <v>2021</v>
      </c>
      <c r="C1143" s="10">
        <f t="shared" si="35"/>
        <v>12</v>
      </c>
      <c r="D1143" s="20">
        <v>44552</v>
      </c>
      <c r="E1143">
        <v>602.5</v>
      </c>
      <c r="F1143">
        <v>1328.75</v>
      </c>
      <c r="G1143">
        <v>402.8</v>
      </c>
      <c r="H1143">
        <v>814</v>
      </c>
      <c r="I1143">
        <v>54.83</v>
      </c>
      <c r="J1143">
        <v>5.6539999999999999</v>
      </c>
    </row>
    <row r="1144" spans="2:10" x14ac:dyDescent="0.3">
      <c r="B1144" s="10">
        <f t="shared" si="34"/>
        <v>2021</v>
      </c>
      <c r="C1144" s="10">
        <f t="shared" si="35"/>
        <v>12</v>
      </c>
      <c r="D1144" s="20">
        <v>44551</v>
      </c>
      <c r="E1144">
        <v>598.25</v>
      </c>
      <c r="F1144">
        <v>1308</v>
      </c>
      <c r="G1144">
        <v>394</v>
      </c>
      <c r="H1144">
        <v>799</v>
      </c>
      <c r="I1144">
        <v>53.9</v>
      </c>
      <c r="J1144">
        <v>5.7450999999999999</v>
      </c>
    </row>
    <row r="1145" spans="2:10" x14ac:dyDescent="0.3">
      <c r="B1145" s="10">
        <f t="shared" si="34"/>
        <v>2021</v>
      </c>
      <c r="C1145" s="10">
        <f t="shared" si="35"/>
        <v>12</v>
      </c>
      <c r="D1145" s="20">
        <v>44550</v>
      </c>
      <c r="E1145">
        <v>591</v>
      </c>
      <c r="F1145">
        <v>1292.25</v>
      </c>
      <c r="G1145">
        <v>386.2</v>
      </c>
      <c r="H1145">
        <v>777.75</v>
      </c>
      <c r="I1145">
        <v>52.94</v>
      </c>
      <c r="J1145">
        <v>5.742</v>
      </c>
    </row>
    <row r="1146" spans="2:10" x14ac:dyDescent="0.3">
      <c r="B1146" s="10">
        <f t="shared" si="34"/>
        <v>2021</v>
      </c>
      <c r="C1146" s="10">
        <f t="shared" si="35"/>
        <v>12</v>
      </c>
      <c r="D1146" s="20">
        <v>44547</v>
      </c>
      <c r="E1146">
        <v>593.25</v>
      </c>
      <c r="F1146">
        <v>1285.25</v>
      </c>
      <c r="G1146">
        <v>379.5</v>
      </c>
      <c r="H1146">
        <v>775</v>
      </c>
      <c r="I1146">
        <v>53.88</v>
      </c>
      <c r="J1146">
        <v>5.6959</v>
      </c>
    </row>
    <row r="1147" spans="2:10" x14ac:dyDescent="0.3">
      <c r="B1147" s="10">
        <f t="shared" si="34"/>
        <v>2021</v>
      </c>
      <c r="C1147" s="10">
        <f t="shared" si="35"/>
        <v>12</v>
      </c>
      <c r="D1147" s="20">
        <v>44546</v>
      </c>
      <c r="E1147">
        <v>591.25</v>
      </c>
      <c r="F1147">
        <v>1277.25</v>
      </c>
      <c r="G1147">
        <v>372.3</v>
      </c>
      <c r="H1147">
        <v>770.5</v>
      </c>
      <c r="I1147">
        <v>54.65</v>
      </c>
      <c r="J1147">
        <v>5.6883999999999997</v>
      </c>
    </row>
    <row r="1148" spans="2:10" x14ac:dyDescent="0.3">
      <c r="B1148" s="10">
        <f t="shared" si="34"/>
        <v>2021</v>
      </c>
      <c r="C1148" s="10">
        <f t="shared" si="35"/>
        <v>12</v>
      </c>
      <c r="D1148" s="20">
        <v>44545</v>
      </c>
      <c r="E1148">
        <v>585.75</v>
      </c>
      <c r="F1148">
        <v>1262.5</v>
      </c>
      <c r="G1148">
        <v>372.2</v>
      </c>
      <c r="H1148">
        <v>756</v>
      </c>
      <c r="I1148">
        <v>53.47</v>
      </c>
      <c r="J1148">
        <v>5.6806000000000001</v>
      </c>
    </row>
    <row r="1149" spans="2:10" x14ac:dyDescent="0.3">
      <c r="B1149" s="10">
        <f t="shared" si="34"/>
        <v>2021</v>
      </c>
      <c r="C1149" s="10">
        <f t="shared" si="35"/>
        <v>12</v>
      </c>
      <c r="D1149" s="20">
        <v>44544</v>
      </c>
      <c r="E1149">
        <v>588.75</v>
      </c>
      <c r="F1149">
        <v>1259.5</v>
      </c>
      <c r="G1149">
        <v>404.5</v>
      </c>
      <c r="H1149">
        <v>785.5</v>
      </c>
      <c r="I1149">
        <v>52.01</v>
      </c>
      <c r="J1149">
        <v>5.6814999999999998</v>
      </c>
    </row>
    <row r="1150" spans="2:10" x14ac:dyDescent="0.3">
      <c r="B1150" s="10">
        <f t="shared" si="34"/>
        <v>2021</v>
      </c>
      <c r="C1150" s="10">
        <f t="shared" si="35"/>
        <v>12</v>
      </c>
      <c r="D1150" s="20">
        <v>44543</v>
      </c>
      <c r="E1150">
        <v>584.25</v>
      </c>
      <c r="F1150">
        <v>1244</v>
      </c>
      <c r="G1150">
        <v>384</v>
      </c>
      <c r="H1150">
        <v>785.5</v>
      </c>
      <c r="I1150">
        <v>53.24</v>
      </c>
      <c r="J1150">
        <v>5.6803999999999997</v>
      </c>
    </row>
    <row r="1151" spans="2:10" x14ac:dyDescent="0.3">
      <c r="B1151" s="10">
        <f t="shared" si="34"/>
        <v>2021</v>
      </c>
      <c r="C1151" s="10">
        <f t="shared" si="35"/>
        <v>12</v>
      </c>
      <c r="D1151" s="20">
        <v>44540</v>
      </c>
      <c r="E1151">
        <v>588.5</v>
      </c>
      <c r="F1151">
        <v>1267.75</v>
      </c>
      <c r="G1151">
        <v>377.9</v>
      </c>
      <c r="H1151">
        <v>782</v>
      </c>
      <c r="I1151">
        <v>53.59</v>
      </c>
      <c r="J1151">
        <v>5.6127000000000002</v>
      </c>
    </row>
    <row r="1152" spans="2:10" x14ac:dyDescent="0.3">
      <c r="B1152" s="10">
        <f t="shared" si="34"/>
        <v>2021</v>
      </c>
      <c r="C1152" s="10">
        <f t="shared" si="35"/>
        <v>12</v>
      </c>
      <c r="D1152" s="20">
        <v>44539</v>
      </c>
      <c r="E1152">
        <v>588.5</v>
      </c>
      <c r="F1152">
        <v>1264.5</v>
      </c>
      <c r="G1152">
        <v>368.8</v>
      </c>
      <c r="H1152">
        <v>773.5</v>
      </c>
      <c r="I1152">
        <v>54.79</v>
      </c>
      <c r="J1152">
        <v>5.5727000000000002</v>
      </c>
    </row>
    <row r="1153" spans="2:10" x14ac:dyDescent="0.3">
      <c r="B1153" s="10">
        <f t="shared" si="34"/>
        <v>2021</v>
      </c>
      <c r="C1153" s="10">
        <f t="shared" si="35"/>
        <v>12</v>
      </c>
      <c r="D1153" s="20">
        <v>44538</v>
      </c>
      <c r="E1153">
        <v>584.75</v>
      </c>
      <c r="F1153">
        <v>1261</v>
      </c>
      <c r="G1153">
        <v>365.6</v>
      </c>
      <c r="H1153">
        <v>791.25</v>
      </c>
      <c r="I1153">
        <v>55.46</v>
      </c>
      <c r="J1153">
        <v>5.5327000000000002</v>
      </c>
    </row>
    <row r="1154" spans="2:10" x14ac:dyDescent="0.3">
      <c r="B1154" s="10">
        <f t="shared" si="34"/>
        <v>2021</v>
      </c>
      <c r="C1154" s="10">
        <f t="shared" si="35"/>
        <v>12</v>
      </c>
      <c r="D1154" s="20">
        <v>44537</v>
      </c>
      <c r="E1154">
        <v>586.25</v>
      </c>
      <c r="F1154">
        <v>1250.25</v>
      </c>
      <c r="G1154">
        <v>358.9</v>
      </c>
      <c r="H1154">
        <v>799.25</v>
      </c>
      <c r="I1154">
        <v>57.04</v>
      </c>
      <c r="J1154">
        <v>5.6128</v>
      </c>
    </row>
    <row r="1155" spans="2:10" x14ac:dyDescent="0.3">
      <c r="B1155" s="10">
        <f t="shared" si="34"/>
        <v>2021</v>
      </c>
      <c r="C1155" s="10">
        <f t="shared" si="35"/>
        <v>12</v>
      </c>
      <c r="D1155" s="20">
        <v>44536</v>
      </c>
      <c r="E1155">
        <v>583.5</v>
      </c>
      <c r="F1155">
        <v>1261.5</v>
      </c>
      <c r="G1155">
        <v>359.7</v>
      </c>
      <c r="H1155">
        <v>797</v>
      </c>
      <c r="I1155">
        <v>57.79</v>
      </c>
      <c r="J1155">
        <v>5.6890999999999998</v>
      </c>
    </row>
    <row r="1156" spans="2:10" x14ac:dyDescent="0.3">
      <c r="B1156" s="10">
        <f t="shared" si="34"/>
        <v>2021</v>
      </c>
      <c r="C1156" s="10">
        <f t="shared" si="35"/>
        <v>12</v>
      </c>
      <c r="D1156" s="20">
        <v>44533</v>
      </c>
      <c r="E1156">
        <v>586</v>
      </c>
      <c r="F1156">
        <v>1267.25</v>
      </c>
      <c r="G1156">
        <v>367.7</v>
      </c>
      <c r="H1156">
        <v>794.5</v>
      </c>
      <c r="I1156">
        <v>57.1</v>
      </c>
      <c r="J1156">
        <v>5.6532</v>
      </c>
    </row>
    <row r="1157" spans="2:10" x14ac:dyDescent="0.3">
      <c r="B1157" s="10">
        <f t="shared" si="34"/>
        <v>2021</v>
      </c>
      <c r="C1157" s="10">
        <f t="shared" si="35"/>
        <v>12</v>
      </c>
      <c r="D1157" s="20">
        <v>44532</v>
      </c>
      <c r="E1157">
        <v>577</v>
      </c>
      <c r="F1157">
        <v>1244.25</v>
      </c>
      <c r="G1157">
        <v>358</v>
      </c>
      <c r="H1157">
        <v>806.5</v>
      </c>
      <c r="I1157">
        <v>56.23</v>
      </c>
      <c r="J1157">
        <v>5.6462000000000003</v>
      </c>
    </row>
    <row r="1158" spans="2:10" x14ac:dyDescent="0.3">
      <c r="B1158" s="10">
        <f t="shared" ref="B1158:B1221" si="36">YEAR(D1158)</f>
        <v>2021</v>
      </c>
      <c r="C1158" s="10">
        <f t="shared" ref="C1158:C1221" si="37">MONTH(D1158)</f>
        <v>12</v>
      </c>
      <c r="D1158" s="20">
        <v>44531</v>
      </c>
      <c r="E1158">
        <v>572</v>
      </c>
      <c r="F1158">
        <v>1228.25</v>
      </c>
      <c r="G1158">
        <v>356.5</v>
      </c>
      <c r="H1158">
        <v>778.5</v>
      </c>
      <c r="I1158">
        <v>55.05</v>
      </c>
      <c r="J1158">
        <v>5.6955</v>
      </c>
    </row>
    <row r="1159" spans="2:10" x14ac:dyDescent="0.3">
      <c r="B1159" s="10">
        <f t="shared" si="36"/>
        <v>2021</v>
      </c>
      <c r="C1159" s="10">
        <f t="shared" si="37"/>
        <v>11</v>
      </c>
      <c r="D1159" s="20">
        <v>44530</v>
      </c>
      <c r="E1159">
        <v>567</v>
      </c>
      <c r="F1159">
        <v>1217.25</v>
      </c>
      <c r="G1159">
        <v>348.8</v>
      </c>
      <c r="H1159">
        <v>773.75</v>
      </c>
      <c r="I1159">
        <v>55.11</v>
      </c>
      <c r="J1159">
        <v>5.6238999999999999</v>
      </c>
    </row>
    <row r="1160" spans="2:10" x14ac:dyDescent="0.3">
      <c r="B1160" s="10">
        <f t="shared" si="36"/>
        <v>2021</v>
      </c>
      <c r="C1160" s="10">
        <f t="shared" si="37"/>
        <v>11</v>
      </c>
      <c r="D1160" s="20">
        <v>44529</v>
      </c>
      <c r="E1160">
        <v>581</v>
      </c>
      <c r="F1160">
        <v>1241.5</v>
      </c>
      <c r="G1160">
        <v>347.7</v>
      </c>
      <c r="H1160">
        <v>807.5</v>
      </c>
      <c r="I1160">
        <v>58.26</v>
      </c>
      <c r="J1160">
        <v>5.6017000000000001</v>
      </c>
    </row>
    <row r="1161" spans="2:10" x14ac:dyDescent="0.3">
      <c r="B1161" s="10">
        <f t="shared" si="36"/>
        <v>2021</v>
      </c>
      <c r="C1161" s="10">
        <f t="shared" si="37"/>
        <v>11</v>
      </c>
      <c r="D1161" s="20">
        <v>44526</v>
      </c>
      <c r="E1161">
        <v>586.75</v>
      </c>
      <c r="F1161">
        <v>1252.75</v>
      </c>
      <c r="G1161">
        <v>356.2</v>
      </c>
      <c r="H1161">
        <v>825.5</v>
      </c>
      <c r="I1161">
        <v>59.02</v>
      </c>
      <c r="J1161">
        <v>5.6093000000000002</v>
      </c>
    </row>
    <row r="1162" spans="2:10" x14ac:dyDescent="0.3">
      <c r="B1162" s="10">
        <f t="shared" si="36"/>
        <v>2021</v>
      </c>
      <c r="C1162" s="10">
        <f t="shared" si="37"/>
        <v>11</v>
      </c>
      <c r="D1162" s="20">
        <v>44525</v>
      </c>
      <c r="J1162">
        <v>5.5663999999999998</v>
      </c>
    </row>
    <row r="1163" spans="2:10" x14ac:dyDescent="0.3">
      <c r="B1163" s="10">
        <f t="shared" si="36"/>
        <v>2021</v>
      </c>
      <c r="C1163" s="10">
        <f t="shared" si="37"/>
        <v>11</v>
      </c>
      <c r="D1163" s="20">
        <v>44524</v>
      </c>
      <c r="E1163">
        <v>579.75</v>
      </c>
      <c r="F1163">
        <v>1266.5</v>
      </c>
      <c r="G1163">
        <v>357.6</v>
      </c>
      <c r="H1163">
        <v>836.75</v>
      </c>
      <c r="I1163">
        <v>60.94</v>
      </c>
      <c r="J1163">
        <v>5.6060999999999996</v>
      </c>
    </row>
    <row r="1164" spans="2:10" x14ac:dyDescent="0.3">
      <c r="B1164" s="10">
        <f t="shared" si="36"/>
        <v>2021</v>
      </c>
      <c r="C1164" s="10">
        <f t="shared" si="37"/>
        <v>11</v>
      </c>
      <c r="D1164" s="20">
        <v>44523</v>
      </c>
      <c r="E1164">
        <v>580.5</v>
      </c>
      <c r="F1164">
        <v>1273</v>
      </c>
      <c r="G1164">
        <v>362.2</v>
      </c>
      <c r="H1164">
        <v>856</v>
      </c>
      <c r="I1164">
        <v>60.14</v>
      </c>
      <c r="J1164">
        <v>5.5712000000000002</v>
      </c>
    </row>
    <row r="1165" spans="2:10" x14ac:dyDescent="0.3">
      <c r="B1165" s="10">
        <f t="shared" si="36"/>
        <v>2021</v>
      </c>
      <c r="C1165" s="10">
        <f t="shared" si="37"/>
        <v>11</v>
      </c>
      <c r="D1165" s="20">
        <v>44522</v>
      </c>
      <c r="E1165">
        <v>576.75</v>
      </c>
      <c r="F1165">
        <v>1274.25</v>
      </c>
      <c r="G1165">
        <v>370</v>
      </c>
      <c r="H1165">
        <v>845.75</v>
      </c>
      <c r="I1165">
        <v>59.41</v>
      </c>
      <c r="J1165">
        <v>5.5865</v>
      </c>
    </row>
    <row r="1166" spans="2:10" x14ac:dyDescent="0.3">
      <c r="B1166" s="10">
        <f t="shared" si="36"/>
        <v>2021</v>
      </c>
      <c r="C1166" s="10">
        <f t="shared" si="37"/>
        <v>11</v>
      </c>
      <c r="D1166" s="20">
        <v>44519</v>
      </c>
      <c r="E1166">
        <v>570.75</v>
      </c>
      <c r="F1166">
        <v>1263.25</v>
      </c>
      <c r="G1166">
        <v>371.8</v>
      </c>
      <c r="H1166">
        <v>823</v>
      </c>
      <c r="I1166">
        <v>58.16</v>
      </c>
      <c r="J1166">
        <v>5.6135000000000002</v>
      </c>
    </row>
    <row r="1167" spans="2:10" x14ac:dyDescent="0.3">
      <c r="B1167" s="10">
        <f t="shared" si="36"/>
        <v>2021</v>
      </c>
      <c r="C1167" s="10">
        <f t="shared" si="37"/>
        <v>11</v>
      </c>
      <c r="D1167" s="20">
        <v>44518</v>
      </c>
      <c r="E1167">
        <v>573</v>
      </c>
      <c r="F1167">
        <v>1265.25</v>
      </c>
      <c r="G1167">
        <v>370.4</v>
      </c>
      <c r="H1167">
        <v>820</v>
      </c>
      <c r="I1167">
        <v>59.17</v>
      </c>
      <c r="J1167">
        <v>5.5575999999999999</v>
      </c>
    </row>
    <row r="1168" spans="2:10" x14ac:dyDescent="0.3">
      <c r="B1168" s="10">
        <f t="shared" si="36"/>
        <v>2021</v>
      </c>
      <c r="C1168" s="10">
        <f t="shared" si="37"/>
        <v>11</v>
      </c>
      <c r="D1168" s="20">
        <v>44517</v>
      </c>
      <c r="E1168">
        <v>575.25</v>
      </c>
      <c r="F1168">
        <v>1277</v>
      </c>
      <c r="G1168">
        <v>374.7</v>
      </c>
      <c r="H1168">
        <v>822.25</v>
      </c>
      <c r="I1168">
        <v>59.23</v>
      </c>
      <c r="J1168">
        <v>5.5292000000000003</v>
      </c>
    </row>
    <row r="1169" spans="2:10" x14ac:dyDescent="0.3">
      <c r="B1169" s="10">
        <f t="shared" si="36"/>
        <v>2021</v>
      </c>
      <c r="C1169" s="10">
        <f t="shared" si="37"/>
        <v>11</v>
      </c>
      <c r="D1169" s="20">
        <v>44516</v>
      </c>
      <c r="E1169">
        <v>571</v>
      </c>
      <c r="F1169">
        <v>1251.25</v>
      </c>
      <c r="G1169">
        <v>367.5</v>
      </c>
      <c r="H1169">
        <v>810.25</v>
      </c>
      <c r="I1169">
        <v>59.17</v>
      </c>
      <c r="J1169">
        <v>5.5027999999999997</v>
      </c>
    </row>
    <row r="1170" spans="2:10" x14ac:dyDescent="0.3">
      <c r="B1170" s="10">
        <f t="shared" si="36"/>
        <v>2021</v>
      </c>
      <c r="C1170" s="10">
        <f t="shared" si="37"/>
        <v>11</v>
      </c>
      <c r="D1170" s="20">
        <v>44515</v>
      </c>
      <c r="E1170">
        <v>576.5</v>
      </c>
      <c r="F1170">
        <v>1257.25</v>
      </c>
      <c r="G1170">
        <v>371.7</v>
      </c>
      <c r="H1170">
        <v>826.25</v>
      </c>
      <c r="I1170">
        <v>58.2</v>
      </c>
      <c r="J1170">
        <v>5.4574999999999996</v>
      </c>
    </row>
    <row r="1171" spans="2:10" x14ac:dyDescent="0.3">
      <c r="B1171" s="10">
        <f t="shared" si="36"/>
        <v>2021</v>
      </c>
      <c r="C1171" s="10">
        <f t="shared" si="37"/>
        <v>11</v>
      </c>
      <c r="D1171" s="20">
        <v>44512</v>
      </c>
      <c r="E1171">
        <v>577.25</v>
      </c>
      <c r="F1171">
        <v>1234</v>
      </c>
      <c r="G1171">
        <v>362.1</v>
      </c>
      <c r="H1171">
        <v>817</v>
      </c>
      <c r="I1171">
        <v>58.97</v>
      </c>
      <c r="J1171">
        <v>5.4588000000000001</v>
      </c>
    </row>
    <row r="1172" spans="2:10" x14ac:dyDescent="0.3">
      <c r="B1172" s="10">
        <f t="shared" si="36"/>
        <v>2021</v>
      </c>
      <c r="C1172" s="10">
        <f t="shared" si="37"/>
        <v>11</v>
      </c>
      <c r="D1172" s="20">
        <v>44511</v>
      </c>
      <c r="E1172">
        <v>569.5</v>
      </c>
      <c r="F1172">
        <v>1212.25</v>
      </c>
      <c r="G1172">
        <v>344.5</v>
      </c>
      <c r="H1172">
        <v>812.5</v>
      </c>
      <c r="I1172">
        <v>59.14</v>
      </c>
      <c r="J1172">
        <v>5.3989000000000003</v>
      </c>
    </row>
    <row r="1173" spans="2:10" x14ac:dyDescent="0.3">
      <c r="B1173" s="10">
        <f t="shared" si="36"/>
        <v>2021</v>
      </c>
      <c r="C1173" s="10">
        <f t="shared" si="37"/>
        <v>11</v>
      </c>
      <c r="D1173" s="20">
        <v>44510</v>
      </c>
      <c r="E1173">
        <v>569.25</v>
      </c>
      <c r="F1173">
        <v>1203.5</v>
      </c>
      <c r="G1173">
        <v>342.4</v>
      </c>
      <c r="H1173">
        <v>803</v>
      </c>
      <c r="I1173">
        <v>59.14</v>
      </c>
      <c r="J1173">
        <v>5.4909999999999997</v>
      </c>
    </row>
    <row r="1174" spans="2:10" x14ac:dyDescent="0.3">
      <c r="B1174" s="10">
        <f t="shared" si="36"/>
        <v>2021</v>
      </c>
      <c r="C1174" s="10">
        <f t="shared" si="37"/>
        <v>11</v>
      </c>
      <c r="D1174" s="20">
        <v>44509</v>
      </c>
      <c r="E1174">
        <v>554.75</v>
      </c>
      <c r="F1174">
        <v>1199.5</v>
      </c>
      <c r="G1174">
        <v>342.5</v>
      </c>
      <c r="H1174">
        <v>778.5</v>
      </c>
      <c r="I1174">
        <v>58.47</v>
      </c>
      <c r="J1174">
        <v>5.4804000000000004</v>
      </c>
    </row>
    <row r="1175" spans="2:10" x14ac:dyDescent="0.3">
      <c r="B1175" s="10">
        <f t="shared" si="36"/>
        <v>2021</v>
      </c>
      <c r="C1175" s="10">
        <f t="shared" si="37"/>
        <v>11</v>
      </c>
      <c r="D1175" s="20">
        <v>44508</v>
      </c>
      <c r="E1175">
        <v>551.5</v>
      </c>
      <c r="F1175">
        <v>1178</v>
      </c>
      <c r="G1175">
        <v>331.8</v>
      </c>
      <c r="H1175">
        <v>768</v>
      </c>
      <c r="I1175">
        <v>58.05</v>
      </c>
      <c r="J1175">
        <v>5.5439999999999996</v>
      </c>
    </row>
    <row r="1176" spans="2:10" x14ac:dyDescent="0.3">
      <c r="B1176" s="10">
        <f t="shared" si="36"/>
        <v>2021</v>
      </c>
      <c r="C1176" s="10">
        <f t="shared" si="37"/>
        <v>11</v>
      </c>
      <c r="D1176" s="20">
        <v>44505</v>
      </c>
      <c r="E1176">
        <v>553</v>
      </c>
      <c r="F1176">
        <v>1192.25</v>
      </c>
      <c r="G1176">
        <v>332.7</v>
      </c>
      <c r="H1176">
        <v>766.5</v>
      </c>
      <c r="I1176">
        <v>58.78</v>
      </c>
      <c r="J1176">
        <v>5.5427999999999997</v>
      </c>
    </row>
    <row r="1177" spans="2:10" x14ac:dyDescent="0.3">
      <c r="B1177" s="10">
        <f t="shared" si="36"/>
        <v>2021</v>
      </c>
      <c r="C1177" s="10">
        <f t="shared" si="37"/>
        <v>11</v>
      </c>
      <c r="D1177" s="20">
        <v>44504</v>
      </c>
      <c r="E1177">
        <v>559.25</v>
      </c>
      <c r="F1177">
        <v>1209.25</v>
      </c>
      <c r="G1177">
        <v>335.8</v>
      </c>
      <c r="H1177">
        <v>773.75</v>
      </c>
      <c r="I1177">
        <v>59.58</v>
      </c>
      <c r="J1177">
        <v>5.6020000000000003</v>
      </c>
    </row>
    <row r="1178" spans="2:10" x14ac:dyDescent="0.3">
      <c r="B1178" s="10">
        <f t="shared" si="36"/>
        <v>2021</v>
      </c>
      <c r="C1178" s="10">
        <f t="shared" si="37"/>
        <v>11</v>
      </c>
      <c r="D1178" s="20">
        <v>44503</v>
      </c>
      <c r="E1178">
        <v>564</v>
      </c>
      <c r="F1178">
        <v>1231.5</v>
      </c>
      <c r="G1178">
        <v>340.8</v>
      </c>
      <c r="H1178">
        <v>781</v>
      </c>
      <c r="I1178">
        <v>61.03</v>
      </c>
      <c r="J1178">
        <v>5.5525000000000002</v>
      </c>
    </row>
    <row r="1179" spans="2:10" x14ac:dyDescent="0.3">
      <c r="B1179" s="10">
        <f t="shared" si="36"/>
        <v>2021</v>
      </c>
      <c r="C1179" s="10">
        <f t="shared" si="37"/>
        <v>11</v>
      </c>
      <c r="D1179" s="20">
        <v>44502</v>
      </c>
      <c r="E1179">
        <v>573</v>
      </c>
      <c r="F1179">
        <v>1244</v>
      </c>
      <c r="G1179">
        <v>337.2</v>
      </c>
      <c r="H1179">
        <v>791.5</v>
      </c>
      <c r="I1179">
        <v>61.99</v>
      </c>
      <c r="J1179">
        <v>5.6795</v>
      </c>
    </row>
    <row r="1180" spans="2:10" x14ac:dyDescent="0.3">
      <c r="B1180" s="10">
        <f t="shared" si="36"/>
        <v>2021</v>
      </c>
      <c r="C1180" s="10">
        <f t="shared" si="37"/>
        <v>11</v>
      </c>
      <c r="D1180" s="20">
        <v>44501</v>
      </c>
      <c r="E1180">
        <v>579</v>
      </c>
      <c r="F1180">
        <v>1236.75</v>
      </c>
      <c r="G1180">
        <v>329.1</v>
      </c>
      <c r="H1180">
        <v>797.25</v>
      </c>
      <c r="I1180">
        <v>61.97</v>
      </c>
      <c r="J1180">
        <v>5.6814999999999998</v>
      </c>
    </row>
    <row r="1181" spans="2:10" x14ac:dyDescent="0.3">
      <c r="B1181" s="10">
        <f t="shared" si="36"/>
        <v>2021</v>
      </c>
      <c r="C1181" s="10">
        <f t="shared" si="37"/>
        <v>10</v>
      </c>
      <c r="D1181" s="20">
        <v>44498</v>
      </c>
      <c r="E1181">
        <v>568.25</v>
      </c>
      <c r="F1181">
        <v>1235.75</v>
      </c>
      <c r="G1181">
        <v>332.6</v>
      </c>
      <c r="H1181">
        <v>772.75</v>
      </c>
      <c r="I1181">
        <v>61.27</v>
      </c>
      <c r="J1181">
        <v>5.6372</v>
      </c>
    </row>
    <row r="1182" spans="2:10" x14ac:dyDescent="0.3">
      <c r="B1182" s="10">
        <f t="shared" si="36"/>
        <v>2021</v>
      </c>
      <c r="C1182" s="10">
        <f t="shared" si="37"/>
        <v>10</v>
      </c>
      <c r="D1182" s="20">
        <v>44497</v>
      </c>
      <c r="E1182">
        <v>562.75</v>
      </c>
      <c r="F1182">
        <v>1233.75</v>
      </c>
      <c r="G1182">
        <v>330.9</v>
      </c>
      <c r="H1182">
        <v>772.5</v>
      </c>
      <c r="I1182">
        <v>60.87</v>
      </c>
      <c r="J1182">
        <v>5.6463999999999999</v>
      </c>
    </row>
    <row r="1183" spans="2:10" x14ac:dyDescent="0.3">
      <c r="B1183" s="10">
        <f t="shared" si="36"/>
        <v>2021</v>
      </c>
      <c r="C1183" s="10">
        <f t="shared" si="37"/>
        <v>10</v>
      </c>
      <c r="D1183" s="20">
        <v>44496</v>
      </c>
      <c r="E1183">
        <v>557.25</v>
      </c>
      <c r="F1183">
        <v>1239.25</v>
      </c>
      <c r="G1183">
        <v>330.9</v>
      </c>
      <c r="H1183">
        <v>759.75</v>
      </c>
      <c r="I1183">
        <v>61.42</v>
      </c>
      <c r="J1183">
        <v>5.5380000000000003</v>
      </c>
    </row>
    <row r="1184" spans="2:10" x14ac:dyDescent="0.3">
      <c r="B1184" s="10">
        <f t="shared" si="36"/>
        <v>2021</v>
      </c>
      <c r="C1184" s="10">
        <f t="shared" si="37"/>
        <v>10</v>
      </c>
      <c r="D1184" s="20">
        <v>44495</v>
      </c>
      <c r="E1184">
        <v>543.5</v>
      </c>
      <c r="F1184">
        <v>1238</v>
      </c>
      <c r="G1184">
        <v>326.89999999999998</v>
      </c>
      <c r="H1184">
        <v>752.25</v>
      </c>
      <c r="I1184">
        <v>62.31</v>
      </c>
      <c r="J1184">
        <v>5.5666000000000002</v>
      </c>
    </row>
    <row r="1185" spans="2:10" x14ac:dyDescent="0.3">
      <c r="B1185" s="10">
        <f t="shared" si="36"/>
        <v>2021</v>
      </c>
      <c r="C1185" s="10">
        <f t="shared" si="37"/>
        <v>10</v>
      </c>
      <c r="D1185" s="20">
        <v>44494</v>
      </c>
      <c r="E1185">
        <v>538</v>
      </c>
      <c r="F1185">
        <v>1237.25</v>
      </c>
      <c r="G1185">
        <v>327.2</v>
      </c>
      <c r="H1185">
        <v>759.5</v>
      </c>
      <c r="I1185">
        <v>63.14</v>
      </c>
      <c r="J1185">
        <v>5.5563000000000002</v>
      </c>
    </row>
    <row r="1186" spans="2:10" x14ac:dyDescent="0.3">
      <c r="B1186" s="10">
        <f t="shared" si="36"/>
        <v>2021</v>
      </c>
      <c r="C1186" s="10">
        <f t="shared" si="37"/>
        <v>10</v>
      </c>
      <c r="D1186" s="20">
        <v>44491</v>
      </c>
      <c r="E1186">
        <v>538</v>
      </c>
      <c r="F1186">
        <v>1220.5</v>
      </c>
      <c r="G1186">
        <v>327.39999999999998</v>
      </c>
      <c r="H1186">
        <v>756</v>
      </c>
      <c r="I1186">
        <v>62.09</v>
      </c>
      <c r="J1186">
        <v>5.6474000000000002</v>
      </c>
    </row>
    <row r="1187" spans="2:10" x14ac:dyDescent="0.3">
      <c r="B1187" s="10">
        <f t="shared" si="36"/>
        <v>2021</v>
      </c>
      <c r="C1187" s="10">
        <f t="shared" si="37"/>
        <v>10</v>
      </c>
      <c r="D1187" s="20">
        <v>44490</v>
      </c>
      <c r="E1187">
        <v>532.25</v>
      </c>
      <c r="F1187">
        <v>1224</v>
      </c>
      <c r="G1187">
        <v>324</v>
      </c>
      <c r="H1187">
        <v>741.25</v>
      </c>
      <c r="I1187">
        <v>62.58</v>
      </c>
      <c r="J1187">
        <v>5.6577000000000002</v>
      </c>
    </row>
    <row r="1188" spans="2:10" x14ac:dyDescent="0.3">
      <c r="B1188" s="10">
        <f t="shared" si="36"/>
        <v>2021</v>
      </c>
      <c r="C1188" s="10">
        <f t="shared" si="37"/>
        <v>10</v>
      </c>
      <c r="D1188" s="20">
        <v>44489</v>
      </c>
      <c r="E1188">
        <v>539.25</v>
      </c>
      <c r="F1188">
        <v>1245.5</v>
      </c>
      <c r="G1188">
        <v>328.4</v>
      </c>
      <c r="H1188">
        <v>749.25</v>
      </c>
      <c r="I1188">
        <v>64.7</v>
      </c>
      <c r="J1188">
        <v>5.5975000000000001</v>
      </c>
    </row>
    <row r="1189" spans="2:10" x14ac:dyDescent="0.3">
      <c r="B1189" s="10">
        <f t="shared" si="36"/>
        <v>2021</v>
      </c>
      <c r="C1189" s="10">
        <f t="shared" si="37"/>
        <v>10</v>
      </c>
      <c r="D1189" s="20">
        <v>44488</v>
      </c>
      <c r="E1189">
        <v>530.25</v>
      </c>
      <c r="F1189">
        <v>1228</v>
      </c>
      <c r="G1189">
        <v>322.60000000000002</v>
      </c>
      <c r="H1189">
        <v>736</v>
      </c>
      <c r="I1189">
        <v>62.39</v>
      </c>
      <c r="J1189">
        <v>5.5843999999999996</v>
      </c>
    </row>
    <row r="1190" spans="2:10" x14ac:dyDescent="0.3">
      <c r="B1190" s="10">
        <f t="shared" si="36"/>
        <v>2021</v>
      </c>
      <c r="C1190" s="10">
        <f t="shared" si="37"/>
        <v>10</v>
      </c>
      <c r="D1190" s="20">
        <v>44487</v>
      </c>
      <c r="E1190">
        <v>532.75</v>
      </c>
      <c r="F1190">
        <v>1221.5</v>
      </c>
      <c r="G1190">
        <v>317.89999999999998</v>
      </c>
      <c r="H1190">
        <v>736.25</v>
      </c>
      <c r="I1190">
        <v>62.02</v>
      </c>
      <c r="J1190">
        <v>5.5117000000000003</v>
      </c>
    </row>
    <row r="1191" spans="2:10" x14ac:dyDescent="0.3">
      <c r="B1191" s="10">
        <f t="shared" si="36"/>
        <v>2021</v>
      </c>
      <c r="C1191" s="10">
        <f t="shared" si="37"/>
        <v>10</v>
      </c>
      <c r="D1191" s="20">
        <v>44484</v>
      </c>
      <c r="E1191">
        <v>525.75</v>
      </c>
      <c r="F1191">
        <v>1217.75</v>
      </c>
      <c r="G1191">
        <v>316.60000000000002</v>
      </c>
      <c r="H1191">
        <v>734</v>
      </c>
      <c r="I1191">
        <v>61.29</v>
      </c>
      <c r="J1191">
        <v>5.4611000000000001</v>
      </c>
    </row>
    <row r="1192" spans="2:10" x14ac:dyDescent="0.3">
      <c r="B1192" s="10">
        <f t="shared" si="36"/>
        <v>2021</v>
      </c>
      <c r="C1192" s="10">
        <f t="shared" si="37"/>
        <v>10</v>
      </c>
      <c r="D1192" s="20">
        <v>44483</v>
      </c>
      <c r="E1192">
        <v>516.75</v>
      </c>
      <c r="F1192">
        <v>1206.25</v>
      </c>
      <c r="G1192">
        <v>317.10000000000002</v>
      </c>
      <c r="H1192">
        <v>724.75</v>
      </c>
      <c r="I1192">
        <v>59.94</v>
      </c>
      <c r="J1192">
        <v>5.5132000000000003</v>
      </c>
    </row>
    <row r="1193" spans="2:10" x14ac:dyDescent="0.3">
      <c r="B1193" s="10">
        <f t="shared" si="36"/>
        <v>2021</v>
      </c>
      <c r="C1193" s="10">
        <f t="shared" si="37"/>
        <v>10</v>
      </c>
      <c r="D1193" s="20">
        <v>44482</v>
      </c>
      <c r="E1193">
        <v>512.25</v>
      </c>
      <c r="F1193">
        <v>1195.25</v>
      </c>
      <c r="G1193">
        <v>313.39999999999998</v>
      </c>
      <c r="H1193">
        <v>718.75</v>
      </c>
      <c r="I1193">
        <v>59.36</v>
      </c>
      <c r="J1193">
        <v>5.5133000000000001</v>
      </c>
    </row>
    <row r="1194" spans="2:10" x14ac:dyDescent="0.3">
      <c r="B1194" s="10">
        <f t="shared" si="36"/>
        <v>2021</v>
      </c>
      <c r="C1194" s="10">
        <f t="shared" si="37"/>
        <v>10</v>
      </c>
      <c r="D1194" s="20">
        <v>44481</v>
      </c>
      <c r="E1194">
        <v>522.5</v>
      </c>
      <c r="F1194">
        <v>1198.25</v>
      </c>
      <c r="G1194">
        <v>312.89999999999998</v>
      </c>
      <c r="H1194">
        <v>734</v>
      </c>
      <c r="I1194">
        <v>58.62</v>
      </c>
      <c r="J1194">
        <v>5.5324999999999998</v>
      </c>
    </row>
    <row r="1195" spans="2:10" x14ac:dyDescent="0.3">
      <c r="B1195" s="10">
        <f t="shared" si="36"/>
        <v>2021</v>
      </c>
      <c r="C1195" s="10">
        <f t="shared" si="37"/>
        <v>10</v>
      </c>
      <c r="D1195" s="20">
        <v>44480</v>
      </c>
      <c r="E1195">
        <v>533</v>
      </c>
      <c r="F1195">
        <v>1228.25</v>
      </c>
      <c r="G1195">
        <v>316.2</v>
      </c>
      <c r="H1195">
        <v>731.75</v>
      </c>
      <c r="I1195">
        <v>60.29</v>
      </c>
      <c r="J1195">
        <v>5.5366999999999997</v>
      </c>
    </row>
    <row r="1196" spans="2:10" x14ac:dyDescent="0.3">
      <c r="B1196" s="10">
        <f t="shared" si="36"/>
        <v>2021</v>
      </c>
      <c r="C1196" s="10">
        <f t="shared" si="37"/>
        <v>10</v>
      </c>
      <c r="D1196" s="20">
        <v>44477</v>
      </c>
      <c r="E1196">
        <v>530.5</v>
      </c>
      <c r="F1196">
        <v>1243</v>
      </c>
      <c r="G1196">
        <v>317.5</v>
      </c>
      <c r="H1196">
        <v>734</v>
      </c>
      <c r="I1196">
        <v>61.33</v>
      </c>
      <c r="J1196">
        <v>5.5082000000000004</v>
      </c>
    </row>
    <row r="1197" spans="2:10" x14ac:dyDescent="0.3">
      <c r="B1197" s="10">
        <f t="shared" si="36"/>
        <v>2021</v>
      </c>
      <c r="C1197" s="10">
        <f t="shared" si="37"/>
        <v>10</v>
      </c>
      <c r="D1197" s="20">
        <v>44476</v>
      </c>
      <c r="E1197">
        <v>534</v>
      </c>
      <c r="F1197">
        <v>1247.25</v>
      </c>
      <c r="G1197">
        <v>318.8</v>
      </c>
      <c r="H1197">
        <v>741.25</v>
      </c>
      <c r="I1197">
        <v>61.9</v>
      </c>
      <c r="J1197">
        <v>5.5187999999999997</v>
      </c>
    </row>
    <row r="1198" spans="2:10" x14ac:dyDescent="0.3">
      <c r="B1198" s="10">
        <f t="shared" si="36"/>
        <v>2021</v>
      </c>
      <c r="C1198" s="10">
        <f t="shared" si="37"/>
        <v>10</v>
      </c>
      <c r="D1198" s="20">
        <v>44475</v>
      </c>
      <c r="E1198">
        <v>532.25</v>
      </c>
      <c r="F1198">
        <v>1242</v>
      </c>
      <c r="G1198">
        <v>321.60000000000002</v>
      </c>
      <c r="H1198">
        <v>746</v>
      </c>
      <c r="I1198">
        <v>60.07</v>
      </c>
      <c r="J1198">
        <v>5.4912000000000001</v>
      </c>
    </row>
    <row r="1199" spans="2:10" x14ac:dyDescent="0.3">
      <c r="B1199" s="10">
        <f t="shared" si="36"/>
        <v>2021</v>
      </c>
      <c r="C1199" s="10">
        <f t="shared" si="37"/>
        <v>10</v>
      </c>
      <c r="D1199" s="20">
        <v>44474</v>
      </c>
      <c r="E1199">
        <v>537.5</v>
      </c>
      <c r="F1199">
        <v>1250.5</v>
      </c>
      <c r="G1199">
        <v>320.2</v>
      </c>
      <c r="H1199">
        <v>744.75</v>
      </c>
      <c r="I1199">
        <v>60.89</v>
      </c>
      <c r="J1199">
        <v>5.4748000000000001</v>
      </c>
    </row>
    <row r="1200" spans="2:10" x14ac:dyDescent="0.3">
      <c r="B1200" s="10">
        <f t="shared" si="36"/>
        <v>2021</v>
      </c>
      <c r="C1200" s="10">
        <f t="shared" si="37"/>
        <v>10</v>
      </c>
      <c r="D1200" s="20">
        <v>44473</v>
      </c>
      <c r="E1200">
        <v>540.75</v>
      </c>
      <c r="F1200">
        <v>1235.75</v>
      </c>
      <c r="G1200">
        <v>322.10000000000002</v>
      </c>
      <c r="H1200">
        <v>756.5</v>
      </c>
      <c r="I1200">
        <v>58.57</v>
      </c>
      <c r="J1200">
        <v>5.4535</v>
      </c>
    </row>
    <row r="1201" spans="2:10" x14ac:dyDescent="0.3">
      <c r="B1201" s="10">
        <f t="shared" si="36"/>
        <v>2021</v>
      </c>
      <c r="C1201" s="10">
        <f t="shared" si="37"/>
        <v>10</v>
      </c>
      <c r="D1201" s="20">
        <v>44470</v>
      </c>
      <c r="E1201">
        <v>541.5</v>
      </c>
      <c r="F1201">
        <v>1246.5</v>
      </c>
      <c r="G1201">
        <v>325</v>
      </c>
      <c r="H1201">
        <v>755.25</v>
      </c>
      <c r="I1201">
        <v>58.61</v>
      </c>
      <c r="J1201">
        <v>5.3628</v>
      </c>
    </row>
    <row r="1202" spans="2:10" x14ac:dyDescent="0.3">
      <c r="B1202" s="10">
        <f t="shared" si="36"/>
        <v>2021</v>
      </c>
      <c r="C1202" s="10">
        <f t="shared" si="37"/>
        <v>9</v>
      </c>
      <c r="D1202" s="20">
        <v>44469</v>
      </c>
      <c r="E1202">
        <v>536.75</v>
      </c>
      <c r="F1202">
        <v>1256</v>
      </c>
      <c r="G1202">
        <v>326.2</v>
      </c>
      <c r="H1202">
        <v>725.5</v>
      </c>
      <c r="I1202">
        <v>58.79</v>
      </c>
      <c r="J1202">
        <v>5.4428000000000001</v>
      </c>
    </row>
    <row r="1203" spans="2:10" x14ac:dyDescent="0.3">
      <c r="B1203" s="10">
        <f t="shared" si="36"/>
        <v>2021</v>
      </c>
      <c r="C1203" s="10">
        <f t="shared" si="37"/>
        <v>9</v>
      </c>
      <c r="D1203" s="20">
        <v>44468</v>
      </c>
      <c r="E1203">
        <v>539</v>
      </c>
      <c r="F1203">
        <v>1283.75</v>
      </c>
      <c r="G1203">
        <v>338.1</v>
      </c>
      <c r="H1203">
        <v>710.25</v>
      </c>
      <c r="I1203">
        <v>57.78</v>
      </c>
      <c r="J1203">
        <v>5.4151999999999996</v>
      </c>
    </row>
    <row r="1204" spans="2:10" x14ac:dyDescent="0.3">
      <c r="B1204" s="10">
        <f t="shared" si="36"/>
        <v>2021</v>
      </c>
      <c r="C1204" s="10">
        <f t="shared" si="37"/>
        <v>9</v>
      </c>
      <c r="D1204" s="20">
        <v>44467</v>
      </c>
      <c r="E1204">
        <v>532.5</v>
      </c>
      <c r="F1204">
        <v>1277</v>
      </c>
      <c r="G1204">
        <v>337.3</v>
      </c>
      <c r="H1204">
        <v>706.5</v>
      </c>
      <c r="I1204">
        <v>57.77</v>
      </c>
      <c r="J1204">
        <v>5.4292999999999996</v>
      </c>
    </row>
    <row r="1205" spans="2:10" x14ac:dyDescent="0.3">
      <c r="B1205" s="10">
        <f t="shared" si="36"/>
        <v>2021</v>
      </c>
      <c r="C1205" s="10">
        <f t="shared" si="37"/>
        <v>9</v>
      </c>
      <c r="D1205" s="20">
        <v>44466</v>
      </c>
      <c r="E1205">
        <v>539.5</v>
      </c>
      <c r="F1205">
        <v>1287.5</v>
      </c>
      <c r="G1205">
        <v>337.3</v>
      </c>
      <c r="H1205">
        <v>722.25</v>
      </c>
      <c r="I1205">
        <v>58.3</v>
      </c>
      <c r="J1205">
        <v>5.3914</v>
      </c>
    </row>
    <row r="1206" spans="2:10" x14ac:dyDescent="0.3">
      <c r="B1206" s="10">
        <f t="shared" si="36"/>
        <v>2021</v>
      </c>
      <c r="C1206" s="10">
        <f t="shared" si="37"/>
        <v>9</v>
      </c>
      <c r="D1206" s="20">
        <v>44463</v>
      </c>
      <c r="E1206">
        <v>526.75</v>
      </c>
      <c r="F1206">
        <v>1285</v>
      </c>
      <c r="G1206">
        <v>336.1</v>
      </c>
      <c r="H1206">
        <v>723.75</v>
      </c>
      <c r="I1206">
        <v>57.97</v>
      </c>
      <c r="J1206">
        <v>5.3343999999999996</v>
      </c>
    </row>
    <row r="1207" spans="2:10" x14ac:dyDescent="0.3">
      <c r="B1207" s="10">
        <f t="shared" si="36"/>
        <v>2021</v>
      </c>
      <c r="C1207" s="10">
        <f t="shared" si="37"/>
        <v>9</v>
      </c>
      <c r="D1207" s="20">
        <v>44462</v>
      </c>
      <c r="E1207">
        <v>529.25</v>
      </c>
      <c r="F1207">
        <v>1284.25</v>
      </c>
      <c r="G1207">
        <v>336.6</v>
      </c>
      <c r="H1207">
        <v>717.75</v>
      </c>
      <c r="I1207">
        <v>57.1</v>
      </c>
      <c r="J1207">
        <v>5.3029999999999999</v>
      </c>
    </row>
    <row r="1208" spans="2:10" x14ac:dyDescent="0.3">
      <c r="B1208" s="10">
        <f t="shared" si="36"/>
        <v>2021</v>
      </c>
      <c r="C1208" s="10">
        <f t="shared" si="37"/>
        <v>9</v>
      </c>
      <c r="D1208" s="20">
        <v>44461</v>
      </c>
      <c r="E1208">
        <v>525.5</v>
      </c>
      <c r="F1208">
        <v>1282.75</v>
      </c>
      <c r="G1208">
        <v>337.9</v>
      </c>
      <c r="H1208">
        <v>705.75</v>
      </c>
      <c r="I1208">
        <v>56.39</v>
      </c>
      <c r="J1208">
        <v>5.2888000000000002</v>
      </c>
    </row>
    <row r="1209" spans="2:10" x14ac:dyDescent="0.3">
      <c r="B1209" s="10">
        <f t="shared" si="36"/>
        <v>2021</v>
      </c>
      <c r="C1209" s="10">
        <f t="shared" si="37"/>
        <v>9</v>
      </c>
      <c r="D1209" s="20">
        <v>44460</v>
      </c>
      <c r="E1209">
        <v>517</v>
      </c>
      <c r="F1209">
        <v>1274</v>
      </c>
      <c r="G1209">
        <v>337.9</v>
      </c>
      <c r="H1209">
        <v>690.25</v>
      </c>
      <c r="I1209">
        <v>55.32</v>
      </c>
      <c r="J1209">
        <v>5.2698999999999998</v>
      </c>
    </row>
    <row r="1210" spans="2:10" x14ac:dyDescent="0.3">
      <c r="B1210" s="10">
        <f t="shared" si="36"/>
        <v>2021</v>
      </c>
      <c r="C1210" s="10">
        <f t="shared" si="37"/>
        <v>9</v>
      </c>
      <c r="D1210" s="20">
        <v>44459</v>
      </c>
      <c r="E1210">
        <v>521.75</v>
      </c>
      <c r="F1210">
        <v>1262.5</v>
      </c>
      <c r="G1210">
        <v>336.1</v>
      </c>
      <c r="H1210">
        <v>700.75</v>
      </c>
      <c r="I1210">
        <v>54.91</v>
      </c>
      <c r="J1210">
        <v>5.3239999999999998</v>
      </c>
    </row>
    <row r="1211" spans="2:10" x14ac:dyDescent="0.3">
      <c r="B1211" s="10">
        <f t="shared" si="36"/>
        <v>2021</v>
      </c>
      <c r="C1211" s="10">
        <f t="shared" si="37"/>
        <v>9</v>
      </c>
      <c r="D1211" s="20">
        <v>44456</v>
      </c>
      <c r="E1211">
        <v>527.25</v>
      </c>
      <c r="F1211">
        <v>1284</v>
      </c>
      <c r="G1211">
        <v>338.5</v>
      </c>
      <c r="H1211">
        <v>708.75</v>
      </c>
      <c r="I1211">
        <v>56.29</v>
      </c>
      <c r="J1211">
        <v>5.2882999999999996</v>
      </c>
    </row>
    <row r="1212" spans="2:10" x14ac:dyDescent="0.3">
      <c r="B1212" s="10">
        <f t="shared" si="36"/>
        <v>2021</v>
      </c>
      <c r="C1212" s="10">
        <f t="shared" si="37"/>
        <v>9</v>
      </c>
      <c r="D1212" s="20">
        <v>44455</v>
      </c>
      <c r="E1212">
        <v>529.5</v>
      </c>
      <c r="F1212">
        <v>1296</v>
      </c>
      <c r="G1212">
        <v>340.2</v>
      </c>
      <c r="H1212">
        <v>713</v>
      </c>
      <c r="I1212">
        <v>56.83</v>
      </c>
      <c r="J1212">
        <v>5.2534999999999998</v>
      </c>
    </row>
    <row r="1213" spans="2:10" x14ac:dyDescent="0.3">
      <c r="B1213" s="10">
        <f t="shared" si="36"/>
        <v>2021</v>
      </c>
      <c r="C1213" s="10">
        <f t="shared" si="37"/>
        <v>9</v>
      </c>
      <c r="D1213" s="20">
        <v>44454</v>
      </c>
      <c r="E1213">
        <v>533.5</v>
      </c>
      <c r="F1213">
        <v>1294.5</v>
      </c>
      <c r="G1213">
        <v>335.9</v>
      </c>
      <c r="H1213">
        <v>712.25</v>
      </c>
      <c r="I1213">
        <v>58.31</v>
      </c>
      <c r="J1213">
        <v>5.2218999999999998</v>
      </c>
    </row>
    <row r="1214" spans="2:10" x14ac:dyDescent="0.3">
      <c r="B1214" s="10">
        <f t="shared" si="36"/>
        <v>2021</v>
      </c>
      <c r="C1214" s="10">
        <f t="shared" si="37"/>
        <v>9</v>
      </c>
      <c r="D1214" s="20">
        <v>44453</v>
      </c>
      <c r="E1214">
        <v>503</v>
      </c>
      <c r="F1214">
        <v>1276.5</v>
      </c>
      <c r="G1214">
        <v>341.2</v>
      </c>
      <c r="H1214">
        <v>685</v>
      </c>
      <c r="I1214">
        <v>56.68</v>
      </c>
      <c r="J1214">
        <v>5.2397999999999998</v>
      </c>
    </row>
    <row r="1215" spans="2:10" x14ac:dyDescent="0.3">
      <c r="B1215" s="10">
        <f t="shared" si="36"/>
        <v>2021</v>
      </c>
      <c r="C1215" s="10">
        <f t="shared" si="37"/>
        <v>9</v>
      </c>
      <c r="D1215" s="20">
        <v>44452</v>
      </c>
      <c r="E1215">
        <v>496.75</v>
      </c>
      <c r="F1215">
        <v>1272.5</v>
      </c>
      <c r="G1215">
        <v>344.7</v>
      </c>
      <c r="H1215">
        <v>674.5</v>
      </c>
      <c r="I1215">
        <v>55.8</v>
      </c>
      <c r="J1215">
        <v>5.2144000000000004</v>
      </c>
    </row>
    <row r="1216" spans="2:10" x14ac:dyDescent="0.3">
      <c r="B1216" s="10">
        <f t="shared" si="36"/>
        <v>2021</v>
      </c>
      <c r="C1216" s="10">
        <f t="shared" si="37"/>
        <v>9</v>
      </c>
      <c r="D1216" s="20">
        <v>44449</v>
      </c>
      <c r="E1216">
        <v>502.75</v>
      </c>
      <c r="F1216">
        <v>1275.25</v>
      </c>
      <c r="G1216">
        <v>342</v>
      </c>
      <c r="H1216">
        <v>675</v>
      </c>
      <c r="I1216">
        <v>55.74</v>
      </c>
      <c r="J1216">
        <v>5.2454000000000001</v>
      </c>
    </row>
    <row r="1217" spans="2:10" x14ac:dyDescent="0.3">
      <c r="B1217" s="10">
        <f t="shared" si="36"/>
        <v>2021</v>
      </c>
      <c r="C1217" s="10">
        <f t="shared" si="37"/>
        <v>9</v>
      </c>
      <c r="D1217" s="20">
        <v>44448</v>
      </c>
      <c r="E1217">
        <v>496</v>
      </c>
      <c r="F1217">
        <v>1258.75</v>
      </c>
      <c r="G1217">
        <v>336.3</v>
      </c>
      <c r="H1217">
        <v>681.5</v>
      </c>
      <c r="I1217">
        <v>56.02</v>
      </c>
      <c r="J1217">
        <v>5.1976000000000004</v>
      </c>
    </row>
    <row r="1218" spans="2:10" x14ac:dyDescent="0.3">
      <c r="B1218" s="10">
        <f t="shared" si="36"/>
        <v>2021</v>
      </c>
      <c r="C1218" s="10">
        <f t="shared" si="37"/>
        <v>9</v>
      </c>
      <c r="D1218" s="20">
        <v>44447</v>
      </c>
      <c r="E1218">
        <v>498.25</v>
      </c>
      <c r="F1218">
        <v>1270.75</v>
      </c>
      <c r="G1218">
        <v>337.4</v>
      </c>
      <c r="H1218">
        <v>698.25</v>
      </c>
      <c r="I1218">
        <v>57.45</v>
      </c>
      <c r="J1218">
        <v>5.3213999999999997</v>
      </c>
    </row>
    <row r="1219" spans="2:10" x14ac:dyDescent="0.3">
      <c r="B1219" s="10">
        <f t="shared" si="36"/>
        <v>2021</v>
      </c>
      <c r="C1219" s="10">
        <f t="shared" si="37"/>
        <v>9</v>
      </c>
      <c r="D1219" s="20">
        <v>44446</v>
      </c>
      <c r="E1219">
        <v>495.75</v>
      </c>
      <c r="F1219">
        <v>1268.75</v>
      </c>
      <c r="G1219">
        <v>337.3</v>
      </c>
      <c r="H1219">
        <v>708.75</v>
      </c>
      <c r="I1219">
        <v>57.76</v>
      </c>
      <c r="J1219">
        <v>5.1692</v>
      </c>
    </row>
    <row r="1220" spans="2:10" x14ac:dyDescent="0.3">
      <c r="B1220" s="10">
        <f t="shared" si="36"/>
        <v>2021</v>
      </c>
      <c r="C1220" s="10">
        <f t="shared" si="37"/>
        <v>9</v>
      </c>
      <c r="D1220" s="20">
        <v>44445</v>
      </c>
      <c r="J1220">
        <v>5.1692999999999998</v>
      </c>
    </row>
    <row r="1221" spans="2:10" x14ac:dyDescent="0.3">
      <c r="B1221" s="10">
        <f t="shared" si="36"/>
        <v>2021</v>
      </c>
      <c r="C1221" s="10">
        <f t="shared" si="37"/>
        <v>9</v>
      </c>
      <c r="D1221" s="20">
        <v>44442</v>
      </c>
      <c r="E1221">
        <v>508</v>
      </c>
      <c r="F1221">
        <v>1283</v>
      </c>
      <c r="G1221">
        <v>340.9</v>
      </c>
      <c r="H1221">
        <v>714.5</v>
      </c>
      <c r="I1221">
        <v>59</v>
      </c>
      <c r="J1221">
        <v>5.1908000000000003</v>
      </c>
    </row>
    <row r="1222" spans="2:10" x14ac:dyDescent="0.3">
      <c r="B1222" s="10">
        <f t="shared" ref="B1222:B1285" si="38">YEAR(D1222)</f>
        <v>2021</v>
      </c>
      <c r="C1222" s="10">
        <f t="shared" ref="C1222:C1285" si="39">MONTH(D1222)</f>
        <v>9</v>
      </c>
      <c r="D1222" s="20">
        <v>44441</v>
      </c>
      <c r="E1222">
        <v>516.25</v>
      </c>
      <c r="F1222">
        <v>1279.25</v>
      </c>
      <c r="G1222">
        <v>337.9</v>
      </c>
      <c r="H1222">
        <v>704</v>
      </c>
      <c r="I1222">
        <v>59.01</v>
      </c>
      <c r="J1222">
        <v>5.1818999999999997</v>
      </c>
    </row>
    <row r="1223" spans="2:10" x14ac:dyDescent="0.3">
      <c r="B1223" s="10">
        <f t="shared" si="38"/>
        <v>2021</v>
      </c>
      <c r="C1223" s="10">
        <f t="shared" si="39"/>
        <v>9</v>
      </c>
      <c r="D1223" s="20">
        <v>44440</v>
      </c>
      <c r="E1223">
        <v>515.5</v>
      </c>
      <c r="F1223">
        <v>1277.75</v>
      </c>
      <c r="G1223">
        <v>343.7</v>
      </c>
      <c r="H1223">
        <v>701</v>
      </c>
      <c r="I1223">
        <v>58.31</v>
      </c>
      <c r="J1223">
        <v>5.1858000000000004</v>
      </c>
    </row>
    <row r="1224" spans="2:10" x14ac:dyDescent="0.3">
      <c r="B1224" s="10">
        <f t="shared" si="38"/>
        <v>2021</v>
      </c>
      <c r="C1224" s="10">
        <f t="shared" si="39"/>
        <v>8</v>
      </c>
      <c r="D1224" s="20">
        <v>44439</v>
      </c>
      <c r="E1224">
        <v>534</v>
      </c>
      <c r="F1224">
        <v>1298.75</v>
      </c>
      <c r="G1224">
        <v>346.4</v>
      </c>
      <c r="H1224">
        <v>706.75</v>
      </c>
      <c r="I1224">
        <v>59.36</v>
      </c>
      <c r="J1224">
        <v>5.1492000000000004</v>
      </c>
    </row>
    <row r="1225" spans="2:10" x14ac:dyDescent="0.3">
      <c r="B1225" s="10">
        <f t="shared" si="38"/>
        <v>2021</v>
      </c>
      <c r="C1225" s="10">
        <f t="shared" si="39"/>
        <v>8</v>
      </c>
      <c r="D1225" s="20">
        <v>44438</v>
      </c>
      <c r="E1225">
        <v>540.25</v>
      </c>
      <c r="F1225">
        <v>1304.75</v>
      </c>
      <c r="G1225">
        <v>347.6</v>
      </c>
      <c r="H1225">
        <v>708.75</v>
      </c>
      <c r="I1225">
        <v>60.28</v>
      </c>
      <c r="J1225">
        <v>5.1840000000000002</v>
      </c>
    </row>
    <row r="1226" spans="2:10" x14ac:dyDescent="0.3">
      <c r="B1226" s="10">
        <f t="shared" si="38"/>
        <v>2021</v>
      </c>
      <c r="C1226" s="10">
        <f t="shared" si="39"/>
        <v>8</v>
      </c>
      <c r="D1226" s="20">
        <v>44435</v>
      </c>
      <c r="E1226">
        <v>558</v>
      </c>
      <c r="F1226">
        <v>1359.25</v>
      </c>
      <c r="G1226">
        <v>354.2</v>
      </c>
      <c r="H1226">
        <v>718.5</v>
      </c>
      <c r="I1226">
        <v>61.3</v>
      </c>
      <c r="J1226">
        <v>5.1996000000000002</v>
      </c>
    </row>
    <row r="1227" spans="2:10" x14ac:dyDescent="0.3">
      <c r="B1227" s="10">
        <f t="shared" si="38"/>
        <v>2021</v>
      </c>
      <c r="C1227" s="10">
        <f t="shared" si="39"/>
        <v>8</v>
      </c>
      <c r="D1227" s="20">
        <v>44434</v>
      </c>
      <c r="E1227">
        <v>552.75</v>
      </c>
      <c r="F1227">
        <v>1367.5</v>
      </c>
      <c r="G1227">
        <v>356.5</v>
      </c>
      <c r="H1227">
        <v>725.25</v>
      </c>
      <c r="I1227">
        <v>61.33</v>
      </c>
      <c r="J1227">
        <v>5.2522000000000002</v>
      </c>
    </row>
    <row r="1228" spans="2:10" x14ac:dyDescent="0.3">
      <c r="B1228" s="10">
        <f t="shared" si="38"/>
        <v>2021</v>
      </c>
      <c r="C1228" s="10">
        <f t="shared" si="39"/>
        <v>8</v>
      </c>
      <c r="D1228" s="20">
        <v>44433</v>
      </c>
      <c r="E1228">
        <v>551.25</v>
      </c>
      <c r="F1228">
        <v>1346</v>
      </c>
      <c r="G1228">
        <v>352.3</v>
      </c>
      <c r="H1228">
        <v>711.25</v>
      </c>
      <c r="I1228">
        <v>61.89</v>
      </c>
      <c r="J1228">
        <v>5.2117000000000004</v>
      </c>
    </row>
    <row r="1229" spans="2:10" x14ac:dyDescent="0.3">
      <c r="B1229" s="10">
        <f t="shared" si="38"/>
        <v>2021</v>
      </c>
      <c r="C1229" s="10">
        <f t="shared" si="39"/>
        <v>8</v>
      </c>
      <c r="D1229" s="20">
        <v>44432</v>
      </c>
      <c r="E1229">
        <v>544.5</v>
      </c>
      <c r="F1229">
        <v>1337</v>
      </c>
      <c r="G1229">
        <v>354.9</v>
      </c>
      <c r="H1229">
        <v>718</v>
      </c>
      <c r="I1229">
        <v>61.09</v>
      </c>
      <c r="J1229">
        <v>5.2462999999999997</v>
      </c>
    </row>
    <row r="1230" spans="2:10" x14ac:dyDescent="0.3">
      <c r="B1230" s="10">
        <f t="shared" si="38"/>
        <v>2021</v>
      </c>
      <c r="C1230" s="10">
        <f t="shared" si="39"/>
        <v>8</v>
      </c>
      <c r="D1230" s="20">
        <v>44431</v>
      </c>
      <c r="E1230">
        <v>538</v>
      </c>
      <c r="F1230">
        <v>1294</v>
      </c>
      <c r="G1230">
        <v>346.6</v>
      </c>
      <c r="H1230">
        <v>719.75</v>
      </c>
      <c r="I1230">
        <v>59.25</v>
      </c>
      <c r="J1230">
        <v>5.3802000000000003</v>
      </c>
    </row>
    <row r="1231" spans="2:10" x14ac:dyDescent="0.3">
      <c r="B1231" s="10">
        <f t="shared" si="38"/>
        <v>2021</v>
      </c>
      <c r="C1231" s="10">
        <f t="shared" si="39"/>
        <v>8</v>
      </c>
      <c r="D1231" s="20">
        <v>44428</v>
      </c>
      <c r="E1231">
        <v>538.75</v>
      </c>
      <c r="F1231">
        <v>1293.75</v>
      </c>
      <c r="G1231">
        <v>353.3</v>
      </c>
      <c r="H1231">
        <v>714.25</v>
      </c>
      <c r="I1231">
        <v>57.49</v>
      </c>
      <c r="J1231">
        <v>5.3769999999999998</v>
      </c>
    </row>
    <row r="1232" spans="2:10" x14ac:dyDescent="0.3">
      <c r="B1232" s="10">
        <f t="shared" si="38"/>
        <v>2021</v>
      </c>
      <c r="C1232" s="10">
        <f t="shared" si="39"/>
        <v>8</v>
      </c>
      <c r="D1232" s="20">
        <v>44427</v>
      </c>
      <c r="E1232">
        <v>550</v>
      </c>
      <c r="F1232">
        <v>1323</v>
      </c>
      <c r="G1232">
        <v>351.5</v>
      </c>
      <c r="H1232">
        <v>727.5</v>
      </c>
      <c r="I1232">
        <v>60.6</v>
      </c>
      <c r="J1232">
        <v>5.4142000000000001</v>
      </c>
    </row>
    <row r="1233" spans="2:10" x14ac:dyDescent="0.3">
      <c r="B1233" s="10">
        <f t="shared" si="38"/>
        <v>2021</v>
      </c>
      <c r="C1233" s="10">
        <f t="shared" si="39"/>
        <v>8</v>
      </c>
      <c r="D1233" s="20">
        <v>44426</v>
      </c>
      <c r="E1233">
        <v>561.75</v>
      </c>
      <c r="F1233">
        <v>1358.25</v>
      </c>
      <c r="G1233">
        <v>357.6</v>
      </c>
      <c r="H1233">
        <v>737.25</v>
      </c>
      <c r="I1233">
        <v>61.93</v>
      </c>
      <c r="J1233">
        <v>5.3794000000000004</v>
      </c>
    </row>
    <row r="1234" spans="2:10" x14ac:dyDescent="0.3">
      <c r="B1234" s="10">
        <f t="shared" si="38"/>
        <v>2021</v>
      </c>
      <c r="C1234" s="10">
        <f t="shared" si="39"/>
        <v>8</v>
      </c>
      <c r="D1234" s="20">
        <v>44425</v>
      </c>
      <c r="E1234">
        <v>558.25</v>
      </c>
      <c r="F1234">
        <v>1369</v>
      </c>
      <c r="G1234">
        <v>360.1</v>
      </c>
      <c r="H1234">
        <v>734.5</v>
      </c>
      <c r="I1234">
        <v>62.54</v>
      </c>
      <c r="J1234">
        <v>5.2948000000000004</v>
      </c>
    </row>
    <row r="1235" spans="2:10" x14ac:dyDescent="0.3">
      <c r="B1235" s="10">
        <f t="shared" si="38"/>
        <v>2021</v>
      </c>
      <c r="C1235" s="10">
        <f t="shared" si="39"/>
        <v>8</v>
      </c>
      <c r="D1235" s="20">
        <v>44424</v>
      </c>
      <c r="E1235">
        <v>564.75</v>
      </c>
      <c r="F1235">
        <v>1376</v>
      </c>
      <c r="G1235">
        <v>359.4</v>
      </c>
      <c r="H1235">
        <v>760.5</v>
      </c>
      <c r="I1235">
        <v>63.29</v>
      </c>
      <c r="J1235">
        <v>5.2595000000000001</v>
      </c>
    </row>
    <row r="1236" spans="2:10" x14ac:dyDescent="0.3">
      <c r="B1236" s="10">
        <f t="shared" si="38"/>
        <v>2021</v>
      </c>
      <c r="C1236" s="10">
        <f t="shared" si="39"/>
        <v>8</v>
      </c>
      <c r="D1236" s="20">
        <v>44421</v>
      </c>
      <c r="E1236">
        <v>568.25</v>
      </c>
      <c r="F1236">
        <v>1424.25</v>
      </c>
      <c r="G1236">
        <v>358.1</v>
      </c>
      <c r="H1236">
        <v>762.25</v>
      </c>
      <c r="I1236">
        <v>63.51</v>
      </c>
      <c r="J1236">
        <v>5.2465999999999999</v>
      </c>
    </row>
    <row r="1237" spans="2:10" x14ac:dyDescent="0.3">
      <c r="B1237" s="10">
        <f t="shared" si="38"/>
        <v>2021</v>
      </c>
      <c r="C1237" s="10">
        <f t="shared" si="39"/>
        <v>8</v>
      </c>
      <c r="D1237" s="20">
        <v>44420</v>
      </c>
      <c r="E1237">
        <v>567</v>
      </c>
      <c r="F1237">
        <v>1401.5</v>
      </c>
      <c r="G1237">
        <v>355.4</v>
      </c>
      <c r="H1237">
        <v>753.5</v>
      </c>
      <c r="I1237">
        <v>63.51</v>
      </c>
      <c r="J1237">
        <v>5.2523999999999997</v>
      </c>
    </row>
    <row r="1238" spans="2:10" x14ac:dyDescent="0.3">
      <c r="B1238" s="10">
        <f t="shared" si="38"/>
        <v>2021</v>
      </c>
      <c r="C1238" s="10">
        <f t="shared" si="39"/>
        <v>8</v>
      </c>
      <c r="D1238" s="20">
        <v>44419</v>
      </c>
      <c r="E1238">
        <v>556.25</v>
      </c>
      <c r="F1238">
        <v>1405.5</v>
      </c>
      <c r="G1238">
        <v>355.4</v>
      </c>
      <c r="H1238">
        <v>727</v>
      </c>
      <c r="I1238">
        <v>63.53</v>
      </c>
      <c r="J1238">
        <v>5.2184999999999997</v>
      </c>
    </row>
    <row r="1239" spans="2:10" x14ac:dyDescent="0.3">
      <c r="B1239" s="10">
        <f t="shared" si="38"/>
        <v>2021</v>
      </c>
      <c r="C1239" s="10">
        <f t="shared" si="39"/>
        <v>8</v>
      </c>
      <c r="D1239" s="20">
        <v>44418</v>
      </c>
      <c r="E1239">
        <v>549.25</v>
      </c>
      <c r="F1239">
        <v>1447.5</v>
      </c>
      <c r="G1239">
        <v>360.3</v>
      </c>
      <c r="H1239">
        <v>727</v>
      </c>
      <c r="I1239">
        <v>65.41</v>
      </c>
      <c r="J1239">
        <v>5.1894999999999998</v>
      </c>
    </row>
    <row r="1240" spans="2:10" x14ac:dyDescent="0.3">
      <c r="B1240" s="10">
        <f t="shared" si="38"/>
        <v>2021</v>
      </c>
      <c r="C1240" s="10">
        <f t="shared" si="39"/>
        <v>8</v>
      </c>
      <c r="D1240" s="20">
        <v>44417</v>
      </c>
      <c r="E1240">
        <v>550.25</v>
      </c>
      <c r="F1240">
        <v>1433.75</v>
      </c>
      <c r="G1240">
        <v>359.6</v>
      </c>
      <c r="H1240">
        <v>711.25</v>
      </c>
      <c r="I1240">
        <v>65.72</v>
      </c>
      <c r="J1240">
        <v>5.2331000000000003</v>
      </c>
    </row>
    <row r="1241" spans="2:10" x14ac:dyDescent="0.3">
      <c r="B1241" s="10">
        <f t="shared" si="38"/>
        <v>2021</v>
      </c>
      <c r="C1241" s="10">
        <f t="shared" si="39"/>
        <v>8</v>
      </c>
      <c r="D1241" s="20">
        <v>44414</v>
      </c>
      <c r="E1241">
        <v>555</v>
      </c>
      <c r="F1241">
        <v>1422.25</v>
      </c>
      <c r="G1241">
        <v>358.8</v>
      </c>
      <c r="H1241">
        <v>719</v>
      </c>
      <c r="I1241">
        <v>63.41</v>
      </c>
      <c r="J1241">
        <v>5.2301000000000002</v>
      </c>
    </row>
    <row r="1242" spans="2:10" x14ac:dyDescent="0.3">
      <c r="B1242" s="10">
        <f t="shared" si="38"/>
        <v>2021</v>
      </c>
      <c r="C1242" s="10">
        <f t="shared" si="39"/>
        <v>8</v>
      </c>
      <c r="D1242" s="20">
        <v>44413</v>
      </c>
      <c r="E1242">
        <v>555.75</v>
      </c>
      <c r="F1242">
        <v>1402.5</v>
      </c>
      <c r="G1242">
        <v>356.9</v>
      </c>
      <c r="H1242">
        <v>712.75</v>
      </c>
      <c r="I1242">
        <v>62.47</v>
      </c>
      <c r="J1242">
        <v>5.2488000000000001</v>
      </c>
    </row>
    <row r="1243" spans="2:10" x14ac:dyDescent="0.3">
      <c r="B1243" s="10">
        <f t="shared" si="38"/>
        <v>2021</v>
      </c>
      <c r="C1243" s="10">
        <f t="shared" si="39"/>
        <v>8</v>
      </c>
      <c r="D1243" s="20">
        <v>44412</v>
      </c>
      <c r="E1243">
        <v>545.75</v>
      </c>
      <c r="F1243">
        <v>1403.5</v>
      </c>
      <c r="G1243">
        <v>353.1</v>
      </c>
      <c r="H1243">
        <v>717.25</v>
      </c>
      <c r="I1243">
        <v>62.77</v>
      </c>
      <c r="J1243">
        <v>5.1684999999999999</v>
      </c>
    </row>
    <row r="1244" spans="2:10" x14ac:dyDescent="0.3">
      <c r="B1244" s="10">
        <f t="shared" si="38"/>
        <v>2021</v>
      </c>
      <c r="C1244" s="10">
        <f t="shared" si="39"/>
        <v>8</v>
      </c>
      <c r="D1244" s="20">
        <v>44411</v>
      </c>
      <c r="E1244">
        <v>550.5</v>
      </c>
      <c r="F1244">
        <v>1392.25</v>
      </c>
      <c r="G1244">
        <v>347.8</v>
      </c>
      <c r="H1244">
        <v>724.5</v>
      </c>
      <c r="I1244">
        <v>63.27</v>
      </c>
      <c r="J1244">
        <v>5.1966999999999999</v>
      </c>
    </row>
    <row r="1245" spans="2:10" x14ac:dyDescent="0.3">
      <c r="B1245" s="10">
        <f t="shared" si="38"/>
        <v>2021</v>
      </c>
      <c r="C1245" s="10">
        <f t="shared" si="39"/>
        <v>8</v>
      </c>
      <c r="D1245" s="20">
        <v>44410</v>
      </c>
      <c r="E1245">
        <v>558.75</v>
      </c>
      <c r="F1245">
        <v>1418.75</v>
      </c>
      <c r="G1245">
        <v>357.2</v>
      </c>
      <c r="H1245">
        <v>729.5</v>
      </c>
      <c r="I1245">
        <v>64.62</v>
      </c>
      <c r="J1245">
        <v>5.1746999999999996</v>
      </c>
    </row>
    <row r="1246" spans="2:10" x14ac:dyDescent="0.3">
      <c r="B1246" s="10">
        <f t="shared" si="38"/>
        <v>2021</v>
      </c>
      <c r="C1246" s="10">
        <f t="shared" si="39"/>
        <v>7</v>
      </c>
      <c r="D1246" s="20">
        <v>44407</v>
      </c>
      <c r="E1246">
        <v>547</v>
      </c>
      <c r="F1246">
        <v>1414.75</v>
      </c>
      <c r="G1246">
        <v>352.6</v>
      </c>
      <c r="H1246">
        <v>703.75</v>
      </c>
      <c r="I1246">
        <v>65.819999999999993</v>
      </c>
      <c r="J1246">
        <v>5.2122999999999999</v>
      </c>
    </row>
    <row r="1247" spans="2:10" x14ac:dyDescent="0.3">
      <c r="B1247" s="10">
        <f t="shared" si="38"/>
        <v>2021</v>
      </c>
      <c r="C1247" s="10">
        <f t="shared" si="39"/>
        <v>7</v>
      </c>
      <c r="D1247" s="20">
        <v>44406</v>
      </c>
      <c r="E1247">
        <v>558</v>
      </c>
      <c r="F1247">
        <v>1434.25</v>
      </c>
      <c r="G1247">
        <v>356.5</v>
      </c>
      <c r="H1247">
        <v>705.25</v>
      </c>
      <c r="I1247">
        <v>66.930000000000007</v>
      </c>
      <c r="J1247">
        <v>5.0811999999999999</v>
      </c>
    </row>
    <row r="1248" spans="2:10" x14ac:dyDescent="0.3">
      <c r="B1248" s="10">
        <f t="shared" si="38"/>
        <v>2021</v>
      </c>
      <c r="C1248" s="10">
        <f t="shared" si="39"/>
        <v>7</v>
      </c>
      <c r="D1248" s="20">
        <v>44405</v>
      </c>
      <c r="E1248">
        <v>549.25</v>
      </c>
      <c r="F1248">
        <v>1432</v>
      </c>
      <c r="G1248">
        <v>356.1</v>
      </c>
      <c r="H1248">
        <v>688.75</v>
      </c>
      <c r="I1248">
        <v>66.55</v>
      </c>
      <c r="J1248">
        <v>5.1157000000000004</v>
      </c>
    </row>
    <row r="1249" spans="2:10" x14ac:dyDescent="0.3">
      <c r="B1249" s="10">
        <f t="shared" si="38"/>
        <v>2021</v>
      </c>
      <c r="C1249" s="10">
        <f t="shared" si="39"/>
        <v>7</v>
      </c>
      <c r="D1249" s="20">
        <v>44404</v>
      </c>
      <c r="E1249">
        <v>548.75</v>
      </c>
      <c r="F1249">
        <v>1418.25</v>
      </c>
      <c r="G1249">
        <v>358.8</v>
      </c>
      <c r="H1249">
        <v>674.5</v>
      </c>
      <c r="I1249">
        <v>66.260000000000005</v>
      </c>
      <c r="J1249">
        <v>5.1689999999999996</v>
      </c>
    </row>
    <row r="1250" spans="2:10" x14ac:dyDescent="0.3">
      <c r="B1250" s="10">
        <f t="shared" si="38"/>
        <v>2021</v>
      </c>
      <c r="C1250" s="10">
        <f t="shared" si="39"/>
        <v>7</v>
      </c>
      <c r="D1250" s="20">
        <v>44403</v>
      </c>
      <c r="E1250">
        <v>549.75</v>
      </c>
      <c r="F1250">
        <v>1412.75</v>
      </c>
      <c r="G1250">
        <v>353.6</v>
      </c>
      <c r="H1250">
        <v>677</v>
      </c>
      <c r="I1250">
        <v>66.430000000000007</v>
      </c>
      <c r="J1250">
        <v>5.1760999999999999</v>
      </c>
    </row>
    <row r="1251" spans="2:10" x14ac:dyDescent="0.3">
      <c r="B1251" s="10">
        <f t="shared" si="38"/>
        <v>2021</v>
      </c>
      <c r="C1251" s="10">
        <f t="shared" si="39"/>
        <v>7</v>
      </c>
      <c r="D1251" s="20">
        <v>44400</v>
      </c>
      <c r="E1251">
        <v>547.25</v>
      </c>
      <c r="F1251">
        <v>1401</v>
      </c>
      <c r="G1251">
        <v>353.6</v>
      </c>
      <c r="H1251">
        <v>684</v>
      </c>
      <c r="I1251">
        <v>65.66</v>
      </c>
      <c r="J1251">
        <v>5.2005999999999997</v>
      </c>
    </row>
    <row r="1252" spans="2:10" x14ac:dyDescent="0.3">
      <c r="B1252" s="10">
        <f t="shared" si="38"/>
        <v>2021</v>
      </c>
      <c r="C1252" s="10">
        <f t="shared" si="39"/>
        <v>7</v>
      </c>
      <c r="D1252" s="20">
        <v>44399</v>
      </c>
      <c r="E1252">
        <v>564.5</v>
      </c>
      <c r="F1252">
        <v>1416.25</v>
      </c>
      <c r="G1252">
        <v>363.2</v>
      </c>
      <c r="H1252">
        <v>692.25</v>
      </c>
      <c r="I1252">
        <v>65</v>
      </c>
      <c r="J1252">
        <v>5.2003000000000004</v>
      </c>
    </row>
    <row r="1253" spans="2:10" x14ac:dyDescent="0.3">
      <c r="B1253" s="10">
        <f t="shared" si="38"/>
        <v>2021</v>
      </c>
      <c r="C1253" s="10">
        <f t="shared" si="39"/>
        <v>7</v>
      </c>
      <c r="D1253" s="20">
        <v>44398</v>
      </c>
      <c r="E1253">
        <v>571.75</v>
      </c>
      <c r="F1253">
        <v>1439.25</v>
      </c>
      <c r="G1253">
        <v>369.8</v>
      </c>
      <c r="H1253">
        <v>710.75</v>
      </c>
      <c r="I1253">
        <v>65.459999999999994</v>
      </c>
      <c r="J1253">
        <v>5.1874000000000002</v>
      </c>
    </row>
    <row r="1254" spans="2:10" x14ac:dyDescent="0.3">
      <c r="B1254" s="10">
        <f t="shared" si="38"/>
        <v>2021</v>
      </c>
      <c r="C1254" s="10">
        <f t="shared" si="39"/>
        <v>7</v>
      </c>
      <c r="D1254" s="20">
        <v>44397</v>
      </c>
      <c r="E1254">
        <v>571.75</v>
      </c>
      <c r="F1254">
        <v>1443.5</v>
      </c>
      <c r="G1254">
        <v>365.5</v>
      </c>
      <c r="H1254">
        <v>700.5</v>
      </c>
      <c r="I1254">
        <v>67.02</v>
      </c>
      <c r="J1254">
        <v>5.2205000000000004</v>
      </c>
    </row>
    <row r="1255" spans="2:10" x14ac:dyDescent="0.3">
      <c r="B1255" s="10">
        <f t="shared" si="38"/>
        <v>2021</v>
      </c>
      <c r="C1255" s="10">
        <f t="shared" si="39"/>
        <v>7</v>
      </c>
      <c r="D1255" s="20">
        <v>44396</v>
      </c>
      <c r="E1255">
        <v>556</v>
      </c>
      <c r="F1255">
        <v>1428</v>
      </c>
      <c r="G1255">
        <v>359.8</v>
      </c>
      <c r="H1255">
        <v>697.75</v>
      </c>
      <c r="I1255">
        <v>66.69</v>
      </c>
      <c r="J1255">
        <v>5.2519</v>
      </c>
    </row>
    <row r="1256" spans="2:10" x14ac:dyDescent="0.3">
      <c r="B1256" s="10">
        <f t="shared" si="38"/>
        <v>2021</v>
      </c>
      <c r="C1256" s="10">
        <f t="shared" si="39"/>
        <v>7</v>
      </c>
      <c r="D1256" s="20">
        <v>44393</v>
      </c>
      <c r="E1256">
        <v>556</v>
      </c>
      <c r="F1256">
        <v>1454.75</v>
      </c>
      <c r="G1256">
        <v>363.2</v>
      </c>
      <c r="H1256">
        <v>692.5</v>
      </c>
      <c r="I1256">
        <v>68.31</v>
      </c>
      <c r="J1256">
        <v>5.1147</v>
      </c>
    </row>
    <row r="1257" spans="2:10" x14ac:dyDescent="0.3">
      <c r="B1257" s="10">
        <f t="shared" si="38"/>
        <v>2021</v>
      </c>
      <c r="C1257" s="10">
        <f t="shared" si="39"/>
        <v>7</v>
      </c>
      <c r="D1257" s="20">
        <v>44392</v>
      </c>
      <c r="E1257">
        <v>564.25</v>
      </c>
      <c r="F1257">
        <v>1447.5</v>
      </c>
      <c r="G1257">
        <v>362.7</v>
      </c>
      <c r="H1257">
        <v>672</v>
      </c>
      <c r="I1257">
        <v>67.31</v>
      </c>
      <c r="J1257">
        <v>5.1100000000000003</v>
      </c>
    </row>
    <row r="1258" spans="2:10" x14ac:dyDescent="0.3">
      <c r="B1258" s="10">
        <f t="shared" si="38"/>
        <v>2021</v>
      </c>
      <c r="C1258" s="10">
        <f t="shared" si="39"/>
        <v>7</v>
      </c>
      <c r="D1258" s="20">
        <v>44391</v>
      </c>
      <c r="E1258">
        <v>683</v>
      </c>
      <c r="F1258">
        <v>1467.75</v>
      </c>
      <c r="G1258">
        <v>366.6</v>
      </c>
      <c r="H1258">
        <v>645</v>
      </c>
      <c r="I1258">
        <v>66.63</v>
      </c>
      <c r="J1258">
        <v>5.0705999999999998</v>
      </c>
    </row>
    <row r="1259" spans="2:10" x14ac:dyDescent="0.3">
      <c r="B1259" s="10">
        <f t="shared" si="38"/>
        <v>2021</v>
      </c>
      <c r="C1259" s="10">
        <f t="shared" si="39"/>
        <v>7</v>
      </c>
      <c r="D1259" s="20">
        <v>44390</v>
      </c>
      <c r="E1259">
        <v>677</v>
      </c>
      <c r="F1259">
        <v>1438</v>
      </c>
      <c r="G1259">
        <v>355.1</v>
      </c>
      <c r="H1259">
        <v>628.75</v>
      </c>
      <c r="I1259">
        <v>66.63</v>
      </c>
      <c r="J1259">
        <v>5.1622000000000003</v>
      </c>
    </row>
    <row r="1260" spans="2:10" x14ac:dyDescent="0.3">
      <c r="B1260" s="10">
        <f t="shared" si="38"/>
        <v>2021</v>
      </c>
      <c r="C1260" s="10">
        <f t="shared" si="39"/>
        <v>7</v>
      </c>
      <c r="D1260" s="20">
        <v>44389</v>
      </c>
      <c r="E1260">
        <v>669.25</v>
      </c>
      <c r="F1260">
        <v>1432.5</v>
      </c>
      <c r="G1260">
        <v>354.9</v>
      </c>
      <c r="H1260">
        <v>635</v>
      </c>
      <c r="I1260">
        <v>64.989999999999995</v>
      </c>
      <c r="J1260">
        <v>5.173</v>
      </c>
    </row>
    <row r="1261" spans="2:10" x14ac:dyDescent="0.3">
      <c r="B1261" s="10">
        <f t="shared" si="38"/>
        <v>2021</v>
      </c>
      <c r="C1261" s="10">
        <f t="shared" si="39"/>
        <v>7</v>
      </c>
      <c r="D1261" s="20">
        <v>44386</v>
      </c>
      <c r="E1261">
        <v>629.75</v>
      </c>
      <c r="F1261">
        <v>1404</v>
      </c>
      <c r="G1261">
        <v>352.5</v>
      </c>
      <c r="H1261">
        <v>608.5</v>
      </c>
      <c r="I1261">
        <v>62.41</v>
      </c>
      <c r="J1261">
        <v>5.2579000000000002</v>
      </c>
    </row>
    <row r="1262" spans="2:10" x14ac:dyDescent="0.3">
      <c r="B1262" s="10">
        <f t="shared" si="38"/>
        <v>2021</v>
      </c>
      <c r="C1262" s="10">
        <f t="shared" si="39"/>
        <v>7</v>
      </c>
      <c r="D1262" s="20">
        <v>44385</v>
      </c>
      <c r="E1262">
        <v>638</v>
      </c>
      <c r="F1262">
        <v>1390.25</v>
      </c>
      <c r="G1262">
        <v>355.3</v>
      </c>
      <c r="H1262">
        <v>612.25</v>
      </c>
      <c r="I1262">
        <v>64.25</v>
      </c>
      <c r="J1262">
        <v>5.2579000000000002</v>
      </c>
    </row>
    <row r="1263" spans="2:10" x14ac:dyDescent="0.3">
      <c r="B1263" s="10">
        <f t="shared" si="38"/>
        <v>2021</v>
      </c>
      <c r="C1263" s="10">
        <f t="shared" si="39"/>
        <v>7</v>
      </c>
      <c r="D1263" s="20">
        <v>44384</v>
      </c>
      <c r="E1263">
        <v>652.5</v>
      </c>
      <c r="F1263">
        <v>1386.5</v>
      </c>
      <c r="G1263">
        <v>357.2</v>
      </c>
      <c r="H1263">
        <v>614.75</v>
      </c>
      <c r="I1263">
        <v>64.760000000000005</v>
      </c>
      <c r="J1263">
        <v>5.2314999999999996</v>
      </c>
    </row>
    <row r="1264" spans="2:10" x14ac:dyDescent="0.3">
      <c r="B1264" s="10">
        <f t="shared" si="38"/>
        <v>2021</v>
      </c>
      <c r="C1264" s="10">
        <f t="shared" si="39"/>
        <v>7</v>
      </c>
      <c r="D1264" s="20">
        <v>44383</v>
      </c>
      <c r="E1264">
        <v>656</v>
      </c>
      <c r="F1264">
        <v>1363.75</v>
      </c>
      <c r="G1264">
        <v>355</v>
      </c>
      <c r="H1264">
        <v>620</v>
      </c>
      <c r="I1264">
        <v>63.83</v>
      </c>
      <c r="J1264">
        <v>5.1969000000000003</v>
      </c>
    </row>
    <row r="1265" spans="2:10" x14ac:dyDescent="0.3">
      <c r="B1265" s="10">
        <f t="shared" si="38"/>
        <v>2021</v>
      </c>
      <c r="C1265" s="10">
        <f t="shared" si="39"/>
        <v>7</v>
      </c>
      <c r="D1265" s="20">
        <v>44382</v>
      </c>
      <c r="J1265">
        <v>5.0910000000000002</v>
      </c>
    </row>
    <row r="1266" spans="2:10" x14ac:dyDescent="0.3">
      <c r="B1266" s="10">
        <f t="shared" si="38"/>
        <v>2021</v>
      </c>
      <c r="C1266" s="10">
        <f t="shared" si="39"/>
        <v>7</v>
      </c>
      <c r="D1266" s="20">
        <v>44379</v>
      </c>
      <c r="E1266">
        <v>697.25</v>
      </c>
      <c r="F1266">
        <v>1451.75</v>
      </c>
      <c r="G1266">
        <v>379.9</v>
      </c>
      <c r="H1266">
        <v>645.75</v>
      </c>
      <c r="I1266">
        <v>66.819999999999993</v>
      </c>
      <c r="J1266">
        <v>5.0575000000000001</v>
      </c>
    </row>
    <row r="1267" spans="2:10" x14ac:dyDescent="0.3">
      <c r="B1267" s="10">
        <f t="shared" si="38"/>
        <v>2021</v>
      </c>
      <c r="C1267" s="10">
        <f t="shared" si="39"/>
        <v>7</v>
      </c>
      <c r="D1267" s="20">
        <v>44378</v>
      </c>
      <c r="E1267">
        <v>719.75</v>
      </c>
      <c r="F1267">
        <v>1446.75</v>
      </c>
      <c r="G1267">
        <v>381.8</v>
      </c>
      <c r="H1267">
        <v>658.5</v>
      </c>
      <c r="I1267">
        <v>65.040000000000006</v>
      </c>
      <c r="J1267">
        <v>5.0476000000000001</v>
      </c>
    </row>
    <row r="1268" spans="2:10" x14ac:dyDescent="0.3">
      <c r="B1268" s="10">
        <f t="shared" si="38"/>
        <v>2021</v>
      </c>
      <c r="C1268" s="10">
        <f t="shared" si="39"/>
        <v>6</v>
      </c>
      <c r="D1268" s="20">
        <v>44377</v>
      </c>
      <c r="E1268">
        <v>720</v>
      </c>
      <c r="F1268">
        <v>1450</v>
      </c>
      <c r="G1268">
        <v>375.5</v>
      </c>
      <c r="H1268">
        <v>671.5</v>
      </c>
      <c r="I1268">
        <v>65.16</v>
      </c>
      <c r="J1268">
        <v>4.9686000000000003</v>
      </c>
    </row>
    <row r="1269" spans="2:10" x14ac:dyDescent="0.3">
      <c r="B1269" s="10">
        <f t="shared" si="38"/>
        <v>2021</v>
      </c>
      <c r="C1269" s="10">
        <f t="shared" si="39"/>
        <v>6</v>
      </c>
      <c r="D1269" s="20">
        <v>44376</v>
      </c>
      <c r="E1269">
        <v>694.5</v>
      </c>
      <c r="F1269">
        <v>1359.75</v>
      </c>
      <c r="G1269">
        <v>348.4</v>
      </c>
      <c r="H1269">
        <v>639.75</v>
      </c>
      <c r="I1269">
        <v>64.150000000000006</v>
      </c>
      <c r="J1269">
        <v>4.9558999999999997</v>
      </c>
    </row>
    <row r="1270" spans="2:10" x14ac:dyDescent="0.3">
      <c r="B1270" s="10">
        <f t="shared" si="38"/>
        <v>2021</v>
      </c>
      <c r="C1270" s="10">
        <f t="shared" si="39"/>
        <v>6</v>
      </c>
      <c r="D1270" s="20">
        <v>44375</v>
      </c>
      <c r="E1270">
        <v>675.5</v>
      </c>
      <c r="F1270">
        <v>1357</v>
      </c>
      <c r="G1270">
        <v>351.6</v>
      </c>
      <c r="H1270">
        <v>646</v>
      </c>
      <c r="I1270">
        <v>62.31</v>
      </c>
      <c r="J1270">
        <v>4.9244000000000003</v>
      </c>
    </row>
    <row r="1271" spans="2:10" x14ac:dyDescent="0.3">
      <c r="B1271" s="10">
        <f t="shared" si="38"/>
        <v>2021</v>
      </c>
      <c r="C1271" s="10">
        <f t="shared" si="39"/>
        <v>6</v>
      </c>
      <c r="D1271" s="20">
        <v>44372</v>
      </c>
      <c r="E1271">
        <v>636.5</v>
      </c>
      <c r="F1271">
        <v>1329.75</v>
      </c>
      <c r="G1271">
        <v>347.2</v>
      </c>
      <c r="H1271">
        <v>637</v>
      </c>
      <c r="I1271">
        <v>59.71</v>
      </c>
      <c r="J1271">
        <v>4.9335000000000004</v>
      </c>
    </row>
    <row r="1272" spans="2:10" x14ac:dyDescent="0.3">
      <c r="B1272" s="10">
        <f t="shared" si="38"/>
        <v>2021</v>
      </c>
      <c r="C1272" s="10">
        <f t="shared" si="39"/>
        <v>6</v>
      </c>
      <c r="D1272" s="20">
        <v>44371</v>
      </c>
      <c r="E1272">
        <v>653.25</v>
      </c>
      <c r="F1272">
        <v>1371.25</v>
      </c>
      <c r="G1272">
        <v>345.8</v>
      </c>
      <c r="H1272">
        <v>651.25</v>
      </c>
      <c r="I1272">
        <v>62.7</v>
      </c>
      <c r="J1272">
        <v>4.9137000000000004</v>
      </c>
    </row>
    <row r="1273" spans="2:10" x14ac:dyDescent="0.3">
      <c r="B1273" s="10">
        <f t="shared" si="38"/>
        <v>2021</v>
      </c>
      <c r="C1273" s="10">
        <f t="shared" si="39"/>
        <v>6</v>
      </c>
      <c r="D1273" s="20">
        <v>44370</v>
      </c>
      <c r="E1273">
        <v>664.25</v>
      </c>
      <c r="F1273">
        <v>1385</v>
      </c>
      <c r="G1273">
        <v>354.2</v>
      </c>
      <c r="H1273">
        <v>661.25</v>
      </c>
      <c r="I1273">
        <v>62.13</v>
      </c>
      <c r="J1273">
        <v>4.9667000000000003</v>
      </c>
    </row>
    <row r="1274" spans="2:10" x14ac:dyDescent="0.3">
      <c r="B1274" s="10">
        <f t="shared" si="38"/>
        <v>2021</v>
      </c>
      <c r="C1274" s="10">
        <f t="shared" si="39"/>
        <v>6</v>
      </c>
      <c r="D1274" s="20">
        <v>44369</v>
      </c>
      <c r="E1274">
        <v>659.75</v>
      </c>
      <c r="F1274">
        <v>1394.5</v>
      </c>
      <c r="G1274">
        <v>363.3</v>
      </c>
      <c r="H1274">
        <v>651</v>
      </c>
      <c r="I1274">
        <v>60.67</v>
      </c>
      <c r="J1274">
        <v>4.9573999999999998</v>
      </c>
    </row>
    <row r="1275" spans="2:10" x14ac:dyDescent="0.3">
      <c r="B1275" s="10">
        <f t="shared" si="38"/>
        <v>2021</v>
      </c>
      <c r="C1275" s="10">
        <f t="shared" si="39"/>
        <v>6</v>
      </c>
      <c r="D1275" s="20">
        <v>44368</v>
      </c>
      <c r="E1275">
        <v>659.25</v>
      </c>
      <c r="F1275">
        <v>1415</v>
      </c>
      <c r="G1275">
        <v>373.1</v>
      </c>
      <c r="H1275">
        <v>661.5</v>
      </c>
      <c r="I1275">
        <v>60.33</v>
      </c>
      <c r="J1275">
        <v>5.0129999999999999</v>
      </c>
    </row>
    <row r="1276" spans="2:10" x14ac:dyDescent="0.3">
      <c r="B1276" s="10">
        <f t="shared" si="38"/>
        <v>2021</v>
      </c>
      <c r="C1276" s="10">
        <f t="shared" si="39"/>
        <v>6</v>
      </c>
      <c r="D1276" s="20">
        <v>44365</v>
      </c>
      <c r="E1276">
        <v>655.25</v>
      </c>
      <c r="F1276">
        <v>1396</v>
      </c>
      <c r="G1276">
        <v>373.4</v>
      </c>
      <c r="H1276">
        <v>662.75</v>
      </c>
      <c r="I1276">
        <v>58.12</v>
      </c>
      <c r="J1276">
        <v>5.0894000000000004</v>
      </c>
    </row>
    <row r="1277" spans="2:10" x14ac:dyDescent="0.3">
      <c r="B1277" s="10">
        <f t="shared" si="38"/>
        <v>2021</v>
      </c>
      <c r="C1277" s="10">
        <f t="shared" si="39"/>
        <v>6</v>
      </c>
      <c r="D1277" s="20">
        <v>44364</v>
      </c>
      <c r="E1277">
        <v>633</v>
      </c>
      <c r="F1277">
        <v>1329.75</v>
      </c>
      <c r="G1277">
        <v>361.5</v>
      </c>
      <c r="H1277">
        <v>639</v>
      </c>
      <c r="I1277">
        <v>56.57</v>
      </c>
      <c r="J1277">
        <v>5.0058999999999996</v>
      </c>
    </row>
    <row r="1278" spans="2:10" x14ac:dyDescent="0.3">
      <c r="B1278" s="10">
        <f t="shared" si="38"/>
        <v>2021</v>
      </c>
      <c r="C1278" s="10">
        <f t="shared" si="39"/>
        <v>6</v>
      </c>
      <c r="D1278" s="20">
        <v>44363</v>
      </c>
      <c r="E1278">
        <v>673</v>
      </c>
      <c r="F1278">
        <v>1448.5</v>
      </c>
      <c r="G1278">
        <v>379.2</v>
      </c>
      <c r="H1278">
        <v>662.75</v>
      </c>
      <c r="I1278">
        <v>62.07</v>
      </c>
      <c r="J1278">
        <v>5.0545</v>
      </c>
    </row>
    <row r="1279" spans="2:10" x14ac:dyDescent="0.3">
      <c r="B1279" s="10">
        <f t="shared" si="38"/>
        <v>2021</v>
      </c>
      <c r="C1279" s="10">
        <f t="shared" si="39"/>
        <v>6</v>
      </c>
      <c r="D1279" s="20">
        <v>44362</v>
      </c>
      <c r="E1279">
        <v>667.5</v>
      </c>
      <c r="F1279">
        <v>1465.75</v>
      </c>
      <c r="G1279">
        <v>372.4</v>
      </c>
      <c r="H1279">
        <v>661.5</v>
      </c>
      <c r="I1279">
        <v>65.569999999999993</v>
      </c>
      <c r="J1279">
        <v>5.0437000000000003</v>
      </c>
    </row>
    <row r="1280" spans="2:10" x14ac:dyDescent="0.3">
      <c r="B1280" s="10">
        <f t="shared" si="38"/>
        <v>2021</v>
      </c>
      <c r="C1280" s="10">
        <f t="shared" si="39"/>
        <v>6</v>
      </c>
      <c r="D1280" s="20">
        <v>44361</v>
      </c>
      <c r="E1280">
        <v>659.25</v>
      </c>
      <c r="F1280">
        <v>1472.25</v>
      </c>
      <c r="G1280">
        <v>373.9</v>
      </c>
      <c r="H1280">
        <v>674.5</v>
      </c>
      <c r="I1280">
        <v>65.959999999999994</v>
      </c>
      <c r="J1280">
        <v>5.0601000000000003</v>
      </c>
    </row>
    <row r="1281" spans="2:10" x14ac:dyDescent="0.3">
      <c r="B1281" s="10">
        <f t="shared" si="38"/>
        <v>2021</v>
      </c>
      <c r="C1281" s="10">
        <f t="shared" si="39"/>
        <v>6</v>
      </c>
      <c r="D1281" s="20">
        <v>44358</v>
      </c>
      <c r="E1281">
        <v>684.5</v>
      </c>
      <c r="F1281">
        <v>1508.5</v>
      </c>
      <c r="G1281">
        <v>383.3</v>
      </c>
      <c r="H1281">
        <v>680.75</v>
      </c>
      <c r="I1281">
        <v>66.98</v>
      </c>
      <c r="J1281">
        <v>5.1170999999999998</v>
      </c>
    </row>
    <row r="1282" spans="2:10" x14ac:dyDescent="0.3">
      <c r="B1282" s="10">
        <f t="shared" si="38"/>
        <v>2021</v>
      </c>
      <c r="C1282" s="10">
        <f t="shared" si="39"/>
        <v>6</v>
      </c>
      <c r="D1282" s="20">
        <v>44357</v>
      </c>
      <c r="E1282">
        <v>699</v>
      </c>
      <c r="F1282">
        <v>1544</v>
      </c>
      <c r="G1282">
        <v>381.6</v>
      </c>
      <c r="H1282">
        <v>683.75</v>
      </c>
      <c r="I1282">
        <v>70.459999999999994</v>
      </c>
      <c r="J1282">
        <v>5.0552000000000001</v>
      </c>
    </row>
    <row r="1283" spans="2:10" x14ac:dyDescent="0.3">
      <c r="B1283" s="10">
        <f t="shared" si="38"/>
        <v>2021</v>
      </c>
      <c r="C1283" s="10">
        <f t="shared" si="39"/>
        <v>6</v>
      </c>
      <c r="D1283" s="20">
        <v>44356</v>
      </c>
      <c r="E1283">
        <v>690.75</v>
      </c>
      <c r="F1283">
        <v>1562.5</v>
      </c>
      <c r="G1283">
        <v>386.4</v>
      </c>
      <c r="H1283">
        <v>682.25</v>
      </c>
      <c r="I1283">
        <v>71.59</v>
      </c>
      <c r="J1283">
        <v>5.0621</v>
      </c>
    </row>
    <row r="1284" spans="2:10" x14ac:dyDescent="0.3">
      <c r="B1284" s="10">
        <f t="shared" si="38"/>
        <v>2021</v>
      </c>
      <c r="C1284" s="10">
        <f t="shared" si="39"/>
        <v>6</v>
      </c>
      <c r="D1284" s="20">
        <v>44355</v>
      </c>
      <c r="E1284">
        <v>680</v>
      </c>
      <c r="F1284">
        <v>1580</v>
      </c>
      <c r="G1284">
        <v>389.8</v>
      </c>
      <c r="H1284">
        <v>685</v>
      </c>
      <c r="I1284">
        <v>72.08</v>
      </c>
      <c r="J1284">
        <v>5.0324999999999998</v>
      </c>
    </row>
    <row r="1285" spans="2:10" x14ac:dyDescent="0.3">
      <c r="B1285" s="10">
        <f t="shared" si="38"/>
        <v>2021</v>
      </c>
      <c r="C1285" s="10">
        <f t="shared" si="39"/>
        <v>6</v>
      </c>
      <c r="D1285" s="20">
        <v>44354</v>
      </c>
      <c r="E1285">
        <v>679.25</v>
      </c>
      <c r="F1285">
        <v>1560.25</v>
      </c>
      <c r="G1285">
        <v>386.9</v>
      </c>
      <c r="H1285">
        <v>680</v>
      </c>
      <c r="I1285">
        <v>70.83</v>
      </c>
      <c r="J1285">
        <v>5.0450999999999997</v>
      </c>
    </row>
    <row r="1286" spans="2:10" x14ac:dyDescent="0.3">
      <c r="B1286" s="10">
        <f t="shared" ref="B1286:B1349" si="40">YEAR(D1286)</f>
        <v>2021</v>
      </c>
      <c r="C1286" s="10">
        <f t="shared" ref="C1286:C1349" si="41">MONTH(D1286)</f>
        <v>6</v>
      </c>
      <c r="D1286" s="20">
        <v>44351</v>
      </c>
      <c r="E1286">
        <v>682.75</v>
      </c>
      <c r="F1286">
        <v>1583.75</v>
      </c>
      <c r="G1286">
        <v>396.2</v>
      </c>
      <c r="H1286">
        <v>687.75</v>
      </c>
      <c r="I1286">
        <v>71.34</v>
      </c>
      <c r="J1286">
        <v>5.0495000000000001</v>
      </c>
    </row>
    <row r="1287" spans="2:10" x14ac:dyDescent="0.3">
      <c r="B1287" s="10">
        <f t="shared" si="40"/>
        <v>2021</v>
      </c>
      <c r="C1287" s="10">
        <f t="shared" si="41"/>
        <v>6</v>
      </c>
      <c r="D1287" s="20">
        <v>44350</v>
      </c>
      <c r="E1287">
        <v>662</v>
      </c>
      <c r="F1287">
        <v>1549.25</v>
      </c>
      <c r="G1287">
        <v>391.6</v>
      </c>
      <c r="H1287">
        <v>676.25</v>
      </c>
      <c r="I1287">
        <v>68.849999999999994</v>
      </c>
      <c r="J1287">
        <v>5.0774999999999997</v>
      </c>
    </row>
    <row r="1288" spans="2:10" x14ac:dyDescent="0.3">
      <c r="B1288" s="10">
        <f t="shared" si="40"/>
        <v>2021</v>
      </c>
      <c r="C1288" s="10">
        <f t="shared" si="41"/>
        <v>6</v>
      </c>
      <c r="D1288" s="20">
        <v>44349</v>
      </c>
      <c r="E1288">
        <v>675</v>
      </c>
      <c r="F1288">
        <v>1562.5</v>
      </c>
      <c r="G1288">
        <v>394</v>
      </c>
      <c r="H1288">
        <v>687.5</v>
      </c>
      <c r="I1288">
        <v>70.38</v>
      </c>
      <c r="J1288">
        <v>5.0754000000000001</v>
      </c>
    </row>
    <row r="1289" spans="2:10" x14ac:dyDescent="0.3">
      <c r="B1289" s="10">
        <f t="shared" si="40"/>
        <v>2021</v>
      </c>
      <c r="C1289" s="10">
        <f t="shared" si="41"/>
        <v>6</v>
      </c>
      <c r="D1289" s="20">
        <v>44348</v>
      </c>
      <c r="E1289">
        <v>688.75</v>
      </c>
      <c r="F1289">
        <v>1548.5</v>
      </c>
      <c r="G1289">
        <v>398.7</v>
      </c>
      <c r="H1289">
        <v>693.5</v>
      </c>
      <c r="I1289">
        <v>67.39</v>
      </c>
      <c r="J1289">
        <v>5.1509</v>
      </c>
    </row>
    <row r="1290" spans="2:10" x14ac:dyDescent="0.3">
      <c r="B1290" s="10">
        <f t="shared" si="40"/>
        <v>2021</v>
      </c>
      <c r="C1290" s="10">
        <f t="shared" si="41"/>
        <v>5</v>
      </c>
      <c r="D1290" s="20">
        <v>44347</v>
      </c>
      <c r="J1290">
        <v>5.2172000000000001</v>
      </c>
    </row>
    <row r="1291" spans="2:10" x14ac:dyDescent="0.3">
      <c r="B1291" s="10">
        <f t="shared" si="40"/>
        <v>2021</v>
      </c>
      <c r="C1291" s="10">
        <f t="shared" si="41"/>
        <v>5</v>
      </c>
      <c r="D1291" s="20">
        <v>44344</v>
      </c>
      <c r="E1291">
        <v>656.75</v>
      </c>
      <c r="F1291">
        <v>1530.5</v>
      </c>
      <c r="G1291">
        <v>395.5</v>
      </c>
      <c r="H1291">
        <v>663.5</v>
      </c>
      <c r="I1291">
        <v>65.790000000000006</v>
      </c>
      <c r="J1291">
        <v>5.2244000000000002</v>
      </c>
    </row>
    <row r="1292" spans="2:10" x14ac:dyDescent="0.3">
      <c r="B1292" s="10">
        <f t="shared" si="40"/>
        <v>2021</v>
      </c>
      <c r="C1292" s="10">
        <f t="shared" si="41"/>
        <v>5</v>
      </c>
      <c r="D1292" s="20">
        <v>44343</v>
      </c>
      <c r="E1292">
        <v>664.5</v>
      </c>
      <c r="F1292">
        <v>1537</v>
      </c>
      <c r="G1292">
        <v>390.3</v>
      </c>
      <c r="H1292">
        <v>676.25</v>
      </c>
      <c r="I1292">
        <v>66.81</v>
      </c>
      <c r="J1292">
        <v>5.2382999999999997</v>
      </c>
    </row>
    <row r="1293" spans="2:10" x14ac:dyDescent="0.3">
      <c r="B1293" s="10">
        <f t="shared" si="40"/>
        <v>2021</v>
      </c>
      <c r="C1293" s="10">
        <f t="shared" si="41"/>
        <v>5</v>
      </c>
      <c r="D1293" s="20">
        <v>44342</v>
      </c>
      <c r="E1293">
        <v>624.5</v>
      </c>
      <c r="F1293">
        <v>1503.5</v>
      </c>
      <c r="G1293">
        <v>383.8</v>
      </c>
      <c r="H1293">
        <v>648.5</v>
      </c>
      <c r="I1293">
        <v>65.680000000000007</v>
      </c>
      <c r="J1293">
        <v>5.3114999999999997</v>
      </c>
    </row>
    <row r="1294" spans="2:10" x14ac:dyDescent="0.3">
      <c r="B1294" s="10">
        <f t="shared" si="40"/>
        <v>2021</v>
      </c>
      <c r="C1294" s="10">
        <f t="shared" si="41"/>
        <v>5</v>
      </c>
      <c r="D1294" s="20">
        <v>44341</v>
      </c>
      <c r="E1294">
        <v>620.25</v>
      </c>
      <c r="F1294">
        <v>1511.75</v>
      </c>
      <c r="G1294">
        <v>386.3</v>
      </c>
      <c r="H1294">
        <v>656.5</v>
      </c>
      <c r="I1294">
        <v>66.69</v>
      </c>
      <c r="J1294">
        <v>5.3311999999999999</v>
      </c>
    </row>
    <row r="1295" spans="2:10" x14ac:dyDescent="0.3">
      <c r="B1295" s="10">
        <f t="shared" si="40"/>
        <v>2021</v>
      </c>
      <c r="C1295" s="10">
        <f t="shared" si="41"/>
        <v>5</v>
      </c>
      <c r="D1295" s="20">
        <v>44340</v>
      </c>
      <c r="E1295">
        <v>657.25</v>
      </c>
      <c r="F1295">
        <v>1522.75</v>
      </c>
      <c r="G1295">
        <v>400.2</v>
      </c>
      <c r="H1295">
        <v>662.25</v>
      </c>
      <c r="I1295">
        <v>65.13</v>
      </c>
      <c r="J1295">
        <v>5.3174999999999999</v>
      </c>
    </row>
    <row r="1296" spans="2:10" x14ac:dyDescent="0.3">
      <c r="B1296" s="10">
        <f t="shared" si="40"/>
        <v>2021</v>
      </c>
      <c r="C1296" s="10">
        <f t="shared" si="41"/>
        <v>5</v>
      </c>
      <c r="D1296" s="20">
        <v>44337</v>
      </c>
      <c r="E1296">
        <v>659.5</v>
      </c>
      <c r="F1296">
        <v>1526.25</v>
      </c>
      <c r="G1296">
        <v>398.9</v>
      </c>
      <c r="H1296">
        <v>674.25</v>
      </c>
      <c r="I1296">
        <v>65.489999999999995</v>
      </c>
      <c r="J1296">
        <v>5.3616999999999999</v>
      </c>
    </row>
    <row r="1297" spans="2:10" x14ac:dyDescent="0.3">
      <c r="B1297" s="10">
        <f t="shared" si="40"/>
        <v>2021</v>
      </c>
      <c r="C1297" s="10">
        <f t="shared" si="41"/>
        <v>5</v>
      </c>
      <c r="D1297" s="20">
        <v>44336</v>
      </c>
      <c r="E1297">
        <v>664.5</v>
      </c>
      <c r="F1297">
        <v>1533.25</v>
      </c>
      <c r="G1297">
        <v>401.1</v>
      </c>
      <c r="H1297">
        <v>675.25</v>
      </c>
      <c r="I1297">
        <v>65.760000000000005</v>
      </c>
      <c r="J1297">
        <v>5.2824999999999998</v>
      </c>
    </row>
    <row r="1298" spans="2:10" x14ac:dyDescent="0.3">
      <c r="B1298" s="10">
        <f t="shared" si="40"/>
        <v>2021</v>
      </c>
      <c r="C1298" s="10">
        <f t="shared" si="41"/>
        <v>5</v>
      </c>
      <c r="D1298" s="20">
        <v>44335</v>
      </c>
      <c r="E1298">
        <v>658.25</v>
      </c>
      <c r="F1298">
        <v>1538.25</v>
      </c>
      <c r="G1298">
        <v>403.2</v>
      </c>
      <c r="H1298">
        <v>679.25</v>
      </c>
      <c r="I1298">
        <v>66.47</v>
      </c>
      <c r="J1298">
        <v>5.3094000000000001</v>
      </c>
    </row>
    <row r="1299" spans="2:10" x14ac:dyDescent="0.3">
      <c r="B1299" s="10">
        <f t="shared" si="40"/>
        <v>2021</v>
      </c>
      <c r="C1299" s="10">
        <f t="shared" si="41"/>
        <v>5</v>
      </c>
      <c r="D1299" s="20">
        <v>44334</v>
      </c>
      <c r="E1299">
        <v>658.25</v>
      </c>
      <c r="F1299">
        <v>1574.25</v>
      </c>
      <c r="G1299">
        <v>410.8</v>
      </c>
      <c r="H1299">
        <v>698</v>
      </c>
      <c r="I1299">
        <v>68.67</v>
      </c>
      <c r="J1299">
        <v>5.2605000000000004</v>
      </c>
    </row>
    <row r="1300" spans="2:10" x14ac:dyDescent="0.3">
      <c r="B1300" s="10">
        <f t="shared" si="40"/>
        <v>2021</v>
      </c>
      <c r="C1300" s="10">
        <f t="shared" si="41"/>
        <v>5</v>
      </c>
      <c r="D1300" s="20">
        <v>44333</v>
      </c>
      <c r="E1300">
        <v>652.5</v>
      </c>
      <c r="F1300">
        <v>1587.5</v>
      </c>
      <c r="G1300">
        <v>414.9</v>
      </c>
      <c r="H1300">
        <v>699.75</v>
      </c>
      <c r="I1300">
        <v>68.97</v>
      </c>
      <c r="J1300">
        <v>5.2728999999999999</v>
      </c>
    </row>
    <row r="1301" spans="2:10" x14ac:dyDescent="0.3">
      <c r="B1301" s="10">
        <f t="shared" si="40"/>
        <v>2021</v>
      </c>
      <c r="C1301" s="10">
        <f t="shared" si="41"/>
        <v>5</v>
      </c>
      <c r="D1301" s="20">
        <v>44330</v>
      </c>
      <c r="E1301">
        <v>685</v>
      </c>
      <c r="F1301">
        <v>1603.75</v>
      </c>
      <c r="G1301">
        <v>423.5</v>
      </c>
      <c r="H1301">
        <v>727.25</v>
      </c>
      <c r="I1301">
        <v>68.41</v>
      </c>
      <c r="J1301">
        <v>5.2728000000000002</v>
      </c>
    </row>
    <row r="1302" spans="2:10" x14ac:dyDescent="0.3">
      <c r="B1302" s="10">
        <f t="shared" si="40"/>
        <v>2021</v>
      </c>
      <c r="C1302" s="10">
        <f t="shared" si="41"/>
        <v>5</v>
      </c>
      <c r="D1302" s="20">
        <v>44329</v>
      </c>
      <c r="E1302">
        <v>719</v>
      </c>
      <c r="F1302">
        <v>1612.25</v>
      </c>
      <c r="G1302">
        <v>423.5</v>
      </c>
      <c r="H1302">
        <v>726.5</v>
      </c>
      <c r="I1302">
        <v>68.040000000000006</v>
      </c>
      <c r="J1302">
        <v>5.3090000000000002</v>
      </c>
    </row>
    <row r="1303" spans="2:10" x14ac:dyDescent="0.3">
      <c r="B1303" s="10">
        <f t="shared" si="40"/>
        <v>2021</v>
      </c>
      <c r="C1303" s="10">
        <f t="shared" si="41"/>
        <v>5</v>
      </c>
      <c r="D1303" s="20">
        <v>44328</v>
      </c>
      <c r="E1303">
        <v>757.5</v>
      </c>
      <c r="F1303">
        <v>1660.5</v>
      </c>
      <c r="G1303">
        <v>450.9</v>
      </c>
      <c r="H1303">
        <v>754.75</v>
      </c>
      <c r="I1303">
        <v>68.66</v>
      </c>
      <c r="J1303">
        <v>5.3060999999999998</v>
      </c>
    </row>
    <row r="1304" spans="2:10" x14ac:dyDescent="0.3">
      <c r="B1304" s="10">
        <f t="shared" si="40"/>
        <v>2021</v>
      </c>
      <c r="C1304" s="10">
        <f t="shared" si="41"/>
        <v>5</v>
      </c>
      <c r="D1304" s="20">
        <v>44327</v>
      </c>
      <c r="E1304">
        <v>759.5</v>
      </c>
      <c r="F1304">
        <v>1637.5</v>
      </c>
      <c r="G1304">
        <v>449.5</v>
      </c>
      <c r="H1304">
        <v>759.75</v>
      </c>
      <c r="I1304">
        <v>67.06</v>
      </c>
      <c r="J1304">
        <v>5.2207999999999997</v>
      </c>
    </row>
    <row r="1305" spans="2:10" x14ac:dyDescent="0.3">
      <c r="B1305" s="10">
        <f t="shared" si="40"/>
        <v>2021</v>
      </c>
      <c r="C1305" s="10">
        <f t="shared" si="41"/>
        <v>5</v>
      </c>
      <c r="D1305" s="20">
        <v>44326</v>
      </c>
      <c r="E1305">
        <v>748</v>
      </c>
      <c r="F1305">
        <v>1620</v>
      </c>
      <c r="G1305">
        <v>444.4</v>
      </c>
      <c r="H1305">
        <v>742.5</v>
      </c>
      <c r="I1305">
        <v>66.099999999999994</v>
      </c>
      <c r="J1305">
        <v>5.2271999999999998</v>
      </c>
    </row>
    <row r="1306" spans="2:10" x14ac:dyDescent="0.3">
      <c r="B1306" s="10">
        <f t="shared" si="40"/>
        <v>2021</v>
      </c>
      <c r="C1306" s="10">
        <f t="shared" si="41"/>
        <v>5</v>
      </c>
      <c r="D1306" s="20">
        <v>44323</v>
      </c>
      <c r="E1306">
        <v>772.75</v>
      </c>
      <c r="F1306">
        <v>1621</v>
      </c>
      <c r="G1306">
        <v>442.5</v>
      </c>
      <c r="H1306">
        <v>773.5</v>
      </c>
      <c r="I1306">
        <v>66.38</v>
      </c>
      <c r="J1306">
        <v>5.2367999999999997</v>
      </c>
    </row>
    <row r="1307" spans="2:10" x14ac:dyDescent="0.3">
      <c r="B1307" s="10">
        <f t="shared" si="40"/>
        <v>2021</v>
      </c>
      <c r="C1307" s="10">
        <f t="shared" si="41"/>
        <v>5</v>
      </c>
      <c r="D1307" s="20">
        <v>44322</v>
      </c>
      <c r="E1307">
        <v>759.5</v>
      </c>
      <c r="F1307">
        <v>1605.5</v>
      </c>
      <c r="G1307">
        <v>427.7</v>
      </c>
      <c r="H1307">
        <v>764.25</v>
      </c>
      <c r="I1307">
        <v>66.25</v>
      </c>
      <c r="J1307">
        <v>5.2759999999999998</v>
      </c>
    </row>
    <row r="1308" spans="2:10" x14ac:dyDescent="0.3">
      <c r="B1308" s="10">
        <f t="shared" si="40"/>
        <v>2021</v>
      </c>
      <c r="C1308" s="10">
        <f t="shared" si="41"/>
        <v>5</v>
      </c>
      <c r="D1308" s="20">
        <v>44321</v>
      </c>
      <c r="E1308">
        <v>753.25</v>
      </c>
      <c r="F1308">
        <v>1582</v>
      </c>
      <c r="G1308">
        <v>424.3</v>
      </c>
      <c r="H1308">
        <v>755.75</v>
      </c>
      <c r="I1308">
        <v>66.739999999999995</v>
      </c>
      <c r="J1308">
        <v>5.3541999999999996</v>
      </c>
    </row>
    <row r="1309" spans="2:10" x14ac:dyDescent="0.3">
      <c r="B1309" s="10">
        <f t="shared" si="40"/>
        <v>2021</v>
      </c>
      <c r="C1309" s="10">
        <f t="shared" si="41"/>
        <v>5</v>
      </c>
      <c r="D1309" s="20">
        <v>44320</v>
      </c>
      <c r="E1309">
        <v>744.75</v>
      </c>
      <c r="F1309">
        <v>1577</v>
      </c>
      <c r="G1309">
        <v>423.5</v>
      </c>
      <c r="H1309">
        <v>737</v>
      </c>
      <c r="I1309">
        <v>67.95</v>
      </c>
      <c r="J1309">
        <v>5.4435000000000002</v>
      </c>
    </row>
    <row r="1310" spans="2:10" x14ac:dyDescent="0.3">
      <c r="B1310" s="10">
        <f t="shared" si="40"/>
        <v>2021</v>
      </c>
      <c r="C1310" s="10">
        <f t="shared" si="41"/>
        <v>5</v>
      </c>
      <c r="D1310" s="20">
        <v>44319</v>
      </c>
      <c r="E1310">
        <v>732.25</v>
      </c>
      <c r="F1310">
        <v>1560.25</v>
      </c>
      <c r="G1310">
        <v>416.2</v>
      </c>
      <c r="H1310">
        <v>725.5</v>
      </c>
      <c r="I1310">
        <v>68.31</v>
      </c>
      <c r="J1310">
        <v>5.4420000000000002</v>
      </c>
    </row>
    <row r="1311" spans="2:10" x14ac:dyDescent="0.3">
      <c r="B1311" s="10">
        <f t="shared" si="40"/>
        <v>2021</v>
      </c>
      <c r="C1311" s="10">
        <f t="shared" si="41"/>
        <v>4</v>
      </c>
      <c r="D1311" s="20">
        <v>44316</v>
      </c>
      <c r="E1311">
        <v>740</v>
      </c>
      <c r="F1311">
        <v>1571</v>
      </c>
      <c r="G1311">
        <v>426</v>
      </c>
      <c r="H1311">
        <v>742.5</v>
      </c>
      <c r="I1311">
        <v>68.459999999999994</v>
      </c>
      <c r="J1311">
        <v>5.4366000000000003</v>
      </c>
    </row>
    <row r="1312" spans="2:10" x14ac:dyDescent="0.3">
      <c r="B1312" s="10">
        <f t="shared" si="40"/>
        <v>2021</v>
      </c>
      <c r="C1312" s="10">
        <f t="shared" si="41"/>
        <v>4</v>
      </c>
      <c r="D1312" s="20">
        <v>44315</v>
      </c>
      <c r="E1312">
        <v>702</v>
      </c>
      <c r="F1312">
        <v>1542.5</v>
      </c>
      <c r="G1312">
        <v>422.6</v>
      </c>
      <c r="H1312">
        <v>737.5</v>
      </c>
      <c r="I1312">
        <v>65.989999999999995</v>
      </c>
      <c r="J1312">
        <v>5.3375000000000004</v>
      </c>
    </row>
    <row r="1313" spans="2:10" x14ac:dyDescent="0.3">
      <c r="B1313" s="10">
        <f t="shared" si="40"/>
        <v>2021</v>
      </c>
      <c r="C1313" s="10">
        <f t="shared" si="41"/>
        <v>4</v>
      </c>
      <c r="D1313" s="20">
        <v>44314</v>
      </c>
      <c r="E1313">
        <v>686.25</v>
      </c>
      <c r="F1313">
        <v>1557.75</v>
      </c>
      <c r="G1313">
        <v>421.3</v>
      </c>
      <c r="H1313">
        <v>725.25</v>
      </c>
      <c r="I1313">
        <v>68.95</v>
      </c>
      <c r="J1313">
        <v>5.343</v>
      </c>
    </row>
    <row r="1314" spans="2:10" x14ac:dyDescent="0.3">
      <c r="B1314" s="10">
        <f t="shared" si="40"/>
        <v>2021</v>
      </c>
      <c r="C1314" s="10">
        <f t="shared" si="41"/>
        <v>4</v>
      </c>
      <c r="D1314" s="20">
        <v>44313</v>
      </c>
      <c r="E1314">
        <v>695.5</v>
      </c>
      <c r="F1314">
        <v>1549.75</v>
      </c>
      <c r="G1314">
        <v>425.5</v>
      </c>
      <c r="H1314">
        <v>733.75</v>
      </c>
      <c r="I1314">
        <v>66.45</v>
      </c>
      <c r="J1314">
        <v>5.4489999999999998</v>
      </c>
    </row>
    <row r="1315" spans="2:10" x14ac:dyDescent="0.3">
      <c r="B1315" s="10">
        <f t="shared" si="40"/>
        <v>2021</v>
      </c>
      <c r="C1315" s="10">
        <f t="shared" si="41"/>
        <v>4</v>
      </c>
      <c r="D1315" s="20">
        <v>44312</v>
      </c>
      <c r="E1315">
        <v>680.5</v>
      </c>
      <c r="F1315">
        <v>1569</v>
      </c>
      <c r="G1315">
        <v>428.8</v>
      </c>
      <c r="H1315">
        <v>739.5</v>
      </c>
      <c r="I1315">
        <v>65.209999999999994</v>
      </c>
      <c r="J1315">
        <v>5.4363999999999999</v>
      </c>
    </row>
    <row r="1316" spans="2:10" x14ac:dyDescent="0.3">
      <c r="B1316" s="10">
        <f t="shared" si="40"/>
        <v>2021</v>
      </c>
      <c r="C1316" s="10">
        <f t="shared" si="41"/>
        <v>4</v>
      </c>
      <c r="D1316" s="20">
        <v>44309</v>
      </c>
      <c r="E1316">
        <v>655.5</v>
      </c>
      <c r="F1316">
        <v>1539.75</v>
      </c>
      <c r="G1316">
        <v>422.4</v>
      </c>
      <c r="H1316">
        <v>710.25</v>
      </c>
      <c r="I1316">
        <v>62.71</v>
      </c>
      <c r="J1316">
        <v>5.4751000000000003</v>
      </c>
    </row>
    <row r="1317" spans="2:10" x14ac:dyDescent="0.3">
      <c r="B1317" s="10">
        <f t="shared" si="40"/>
        <v>2021</v>
      </c>
      <c r="C1317" s="10">
        <f t="shared" si="41"/>
        <v>4</v>
      </c>
      <c r="D1317" s="20">
        <v>44308</v>
      </c>
      <c r="E1317">
        <v>650.5</v>
      </c>
      <c r="F1317">
        <v>1533.25</v>
      </c>
      <c r="G1317">
        <v>422</v>
      </c>
      <c r="H1317">
        <v>710.25</v>
      </c>
      <c r="I1317">
        <v>62.52</v>
      </c>
      <c r="J1317">
        <v>5.4447999999999999</v>
      </c>
    </row>
    <row r="1318" spans="2:10" x14ac:dyDescent="0.3">
      <c r="B1318" s="10">
        <f t="shared" si="40"/>
        <v>2021</v>
      </c>
      <c r="C1318" s="10">
        <f t="shared" si="41"/>
        <v>4</v>
      </c>
      <c r="D1318" s="20">
        <v>44307</v>
      </c>
      <c r="E1318">
        <v>625.5</v>
      </c>
      <c r="F1318">
        <v>1497.25</v>
      </c>
      <c r="G1318">
        <v>412.3</v>
      </c>
      <c r="H1318">
        <v>673.25</v>
      </c>
      <c r="I1318">
        <v>60.19</v>
      </c>
      <c r="J1318">
        <v>5.569</v>
      </c>
    </row>
    <row r="1319" spans="2:10" x14ac:dyDescent="0.3">
      <c r="B1319" s="10">
        <f t="shared" si="40"/>
        <v>2021</v>
      </c>
      <c r="C1319" s="10">
        <f t="shared" si="41"/>
        <v>4</v>
      </c>
      <c r="D1319" s="20">
        <v>44306</v>
      </c>
      <c r="E1319">
        <v>606.5</v>
      </c>
      <c r="F1319">
        <v>1472</v>
      </c>
      <c r="G1319">
        <v>410.4</v>
      </c>
      <c r="H1319">
        <v>659.75</v>
      </c>
      <c r="I1319">
        <v>58.32</v>
      </c>
      <c r="J1319">
        <v>5.5686999999999998</v>
      </c>
    </row>
    <row r="1320" spans="2:10" x14ac:dyDescent="0.3">
      <c r="B1320" s="10">
        <f t="shared" si="40"/>
        <v>2021</v>
      </c>
      <c r="C1320" s="10">
        <f t="shared" si="41"/>
        <v>4</v>
      </c>
      <c r="D1320" s="20">
        <v>44305</v>
      </c>
      <c r="E1320">
        <v>592</v>
      </c>
      <c r="F1320">
        <v>1449.75</v>
      </c>
      <c r="G1320">
        <v>407.5</v>
      </c>
      <c r="H1320">
        <v>652.25</v>
      </c>
      <c r="I1320">
        <v>56.27</v>
      </c>
      <c r="J1320">
        <v>5.5461</v>
      </c>
    </row>
    <row r="1321" spans="2:10" x14ac:dyDescent="0.3">
      <c r="B1321" s="10">
        <f t="shared" si="40"/>
        <v>2021</v>
      </c>
      <c r="C1321" s="10">
        <f t="shared" si="41"/>
        <v>4</v>
      </c>
      <c r="D1321" s="20">
        <v>44302</v>
      </c>
      <c r="E1321">
        <v>585.5</v>
      </c>
      <c r="F1321">
        <v>1433.25</v>
      </c>
      <c r="G1321">
        <v>402.2</v>
      </c>
      <c r="H1321">
        <v>652.5</v>
      </c>
      <c r="I1321">
        <v>56.33</v>
      </c>
      <c r="J1321">
        <v>5.5883000000000003</v>
      </c>
    </row>
    <row r="1322" spans="2:10" x14ac:dyDescent="0.3">
      <c r="B1322" s="10">
        <f t="shared" si="40"/>
        <v>2021</v>
      </c>
      <c r="C1322" s="10">
        <f t="shared" si="41"/>
        <v>4</v>
      </c>
      <c r="D1322" s="20">
        <v>44301</v>
      </c>
      <c r="E1322">
        <v>590</v>
      </c>
      <c r="F1322">
        <v>1418.25</v>
      </c>
      <c r="G1322">
        <v>401.9</v>
      </c>
      <c r="H1322">
        <v>653.75</v>
      </c>
      <c r="I1322">
        <v>54.89</v>
      </c>
      <c r="J1322">
        <v>5.6162000000000001</v>
      </c>
    </row>
    <row r="1323" spans="2:10" x14ac:dyDescent="0.3">
      <c r="B1323" s="10">
        <f t="shared" si="40"/>
        <v>2021</v>
      </c>
      <c r="C1323" s="10">
        <f t="shared" si="41"/>
        <v>4</v>
      </c>
      <c r="D1323" s="20">
        <v>44300</v>
      </c>
      <c r="E1323">
        <v>594</v>
      </c>
      <c r="F1323">
        <v>1410</v>
      </c>
      <c r="G1323">
        <v>398.2</v>
      </c>
      <c r="H1323">
        <v>648</v>
      </c>
      <c r="I1323">
        <v>54.24</v>
      </c>
      <c r="J1323">
        <v>5.6525999999999996</v>
      </c>
    </row>
    <row r="1324" spans="2:10" x14ac:dyDescent="0.3">
      <c r="B1324" s="10">
        <f t="shared" si="40"/>
        <v>2021</v>
      </c>
      <c r="C1324" s="10">
        <f t="shared" si="41"/>
        <v>4</v>
      </c>
      <c r="D1324" s="20">
        <v>44299</v>
      </c>
      <c r="E1324">
        <v>580</v>
      </c>
      <c r="F1324">
        <v>1389.5</v>
      </c>
      <c r="G1324">
        <v>395</v>
      </c>
      <c r="H1324">
        <v>629.75</v>
      </c>
      <c r="I1324">
        <v>53.03</v>
      </c>
      <c r="J1324">
        <v>5.7165999999999997</v>
      </c>
    </row>
    <row r="1325" spans="2:10" x14ac:dyDescent="0.3">
      <c r="B1325" s="10">
        <f t="shared" si="40"/>
        <v>2021</v>
      </c>
      <c r="C1325" s="10">
        <f t="shared" si="41"/>
        <v>4</v>
      </c>
      <c r="D1325" s="20">
        <v>44298</v>
      </c>
      <c r="E1325">
        <v>569</v>
      </c>
      <c r="F1325">
        <v>1382</v>
      </c>
      <c r="G1325">
        <v>401.9</v>
      </c>
      <c r="H1325">
        <v>628</v>
      </c>
      <c r="I1325">
        <v>51.45</v>
      </c>
      <c r="J1325">
        <v>5.7332999999999998</v>
      </c>
    </row>
    <row r="1326" spans="2:10" x14ac:dyDescent="0.3">
      <c r="B1326" s="10">
        <f t="shared" si="40"/>
        <v>2021</v>
      </c>
      <c r="C1326" s="10">
        <f t="shared" si="41"/>
        <v>4</v>
      </c>
      <c r="D1326" s="20">
        <v>44295</v>
      </c>
      <c r="E1326">
        <v>577.25</v>
      </c>
      <c r="F1326">
        <v>1403</v>
      </c>
      <c r="G1326">
        <v>401.2</v>
      </c>
      <c r="H1326">
        <v>638.75</v>
      </c>
      <c r="I1326">
        <v>52.85</v>
      </c>
      <c r="J1326">
        <v>5.6821000000000002</v>
      </c>
    </row>
    <row r="1327" spans="2:10" x14ac:dyDescent="0.3">
      <c r="B1327" s="10">
        <f t="shared" si="40"/>
        <v>2021</v>
      </c>
      <c r="C1327" s="10">
        <f t="shared" si="41"/>
        <v>4</v>
      </c>
      <c r="D1327" s="20">
        <v>44294</v>
      </c>
      <c r="E1327">
        <v>579.75</v>
      </c>
      <c r="F1327">
        <v>1415.25</v>
      </c>
      <c r="G1327">
        <v>406.8</v>
      </c>
      <c r="H1327">
        <v>628.75</v>
      </c>
      <c r="I1327">
        <v>53.38</v>
      </c>
      <c r="J1327">
        <v>5.5720000000000001</v>
      </c>
    </row>
    <row r="1328" spans="2:10" x14ac:dyDescent="0.3">
      <c r="B1328" s="10">
        <f t="shared" si="40"/>
        <v>2021</v>
      </c>
      <c r="C1328" s="10">
        <f t="shared" si="41"/>
        <v>4</v>
      </c>
      <c r="D1328" s="20">
        <v>44293</v>
      </c>
      <c r="E1328">
        <v>560.5</v>
      </c>
      <c r="F1328">
        <v>1408.75</v>
      </c>
      <c r="G1328">
        <v>409.1</v>
      </c>
      <c r="H1328">
        <v>616.25</v>
      </c>
      <c r="I1328">
        <v>52.85</v>
      </c>
      <c r="J1328">
        <v>5.6143000000000001</v>
      </c>
    </row>
    <row r="1329" spans="2:10" x14ac:dyDescent="0.3">
      <c r="B1329" s="10">
        <f t="shared" si="40"/>
        <v>2021</v>
      </c>
      <c r="C1329" s="10">
        <f t="shared" si="41"/>
        <v>4</v>
      </c>
      <c r="D1329" s="20">
        <v>44292</v>
      </c>
      <c r="E1329">
        <v>554.25</v>
      </c>
      <c r="F1329">
        <v>1418.75</v>
      </c>
      <c r="G1329">
        <v>406.4</v>
      </c>
      <c r="H1329">
        <v>615.5</v>
      </c>
      <c r="I1329">
        <v>53.92</v>
      </c>
      <c r="J1329">
        <v>5.5903999999999998</v>
      </c>
    </row>
    <row r="1330" spans="2:10" x14ac:dyDescent="0.3">
      <c r="B1330" s="10">
        <f t="shared" si="40"/>
        <v>2021</v>
      </c>
      <c r="C1330" s="10">
        <f t="shared" si="41"/>
        <v>4</v>
      </c>
      <c r="D1330" s="20">
        <v>44291</v>
      </c>
      <c r="E1330">
        <v>553.25</v>
      </c>
      <c r="F1330">
        <v>1412.75</v>
      </c>
      <c r="G1330">
        <v>406.3</v>
      </c>
      <c r="H1330">
        <v>618</v>
      </c>
      <c r="I1330">
        <v>52.81</v>
      </c>
      <c r="J1330">
        <v>5.6631999999999998</v>
      </c>
    </row>
    <row r="1331" spans="2:10" x14ac:dyDescent="0.3">
      <c r="B1331" s="10">
        <f t="shared" si="40"/>
        <v>2021</v>
      </c>
      <c r="C1331" s="10">
        <f t="shared" si="41"/>
        <v>4</v>
      </c>
      <c r="D1331" s="20">
        <v>44288</v>
      </c>
      <c r="J1331">
        <v>5.7074999999999996</v>
      </c>
    </row>
    <row r="1332" spans="2:10" x14ac:dyDescent="0.3">
      <c r="B1332" s="10">
        <f t="shared" si="40"/>
        <v>2021</v>
      </c>
      <c r="C1332" s="10">
        <f t="shared" si="41"/>
        <v>4</v>
      </c>
      <c r="D1332" s="20">
        <v>44287</v>
      </c>
      <c r="E1332">
        <v>559.75</v>
      </c>
      <c r="F1332">
        <v>1402</v>
      </c>
      <c r="G1332">
        <v>410.2</v>
      </c>
      <c r="H1332">
        <v>611</v>
      </c>
      <c r="I1332">
        <v>52.13</v>
      </c>
      <c r="J1332">
        <v>5.7070999999999996</v>
      </c>
    </row>
    <row r="1333" spans="2:10" x14ac:dyDescent="0.3">
      <c r="B1333" s="10">
        <f t="shared" si="40"/>
        <v>2021</v>
      </c>
      <c r="C1333" s="10">
        <f t="shared" si="41"/>
        <v>3</v>
      </c>
      <c r="D1333" s="20">
        <v>44286</v>
      </c>
      <c r="E1333">
        <v>564.25</v>
      </c>
      <c r="F1333">
        <v>1436.75</v>
      </c>
      <c r="G1333">
        <v>423.2</v>
      </c>
      <c r="H1333">
        <v>618</v>
      </c>
      <c r="I1333">
        <v>52.92</v>
      </c>
      <c r="J1333">
        <v>5.6315</v>
      </c>
    </row>
    <row r="1334" spans="2:10" x14ac:dyDescent="0.3">
      <c r="B1334" s="10">
        <f t="shared" si="40"/>
        <v>2021</v>
      </c>
      <c r="C1334" s="10">
        <f t="shared" si="41"/>
        <v>3</v>
      </c>
      <c r="D1334" s="20">
        <v>44285</v>
      </c>
      <c r="E1334">
        <v>539.25</v>
      </c>
      <c r="F1334">
        <v>1366.75</v>
      </c>
      <c r="G1334">
        <v>398.2</v>
      </c>
      <c r="H1334">
        <v>601.75</v>
      </c>
      <c r="I1334">
        <v>50.46</v>
      </c>
      <c r="J1334">
        <v>5.7744999999999997</v>
      </c>
    </row>
    <row r="1335" spans="2:10" x14ac:dyDescent="0.3">
      <c r="B1335" s="10">
        <f t="shared" si="40"/>
        <v>2021</v>
      </c>
      <c r="C1335" s="10">
        <f t="shared" si="41"/>
        <v>3</v>
      </c>
      <c r="D1335" s="20">
        <v>44284</v>
      </c>
      <c r="E1335">
        <v>546.75</v>
      </c>
      <c r="F1335">
        <v>1393</v>
      </c>
      <c r="G1335">
        <v>398.1</v>
      </c>
      <c r="H1335">
        <v>616.75</v>
      </c>
      <c r="I1335">
        <v>52.96</v>
      </c>
      <c r="J1335">
        <v>5.7798999999999996</v>
      </c>
    </row>
    <row r="1336" spans="2:10" x14ac:dyDescent="0.3">
      <c r="B1336" s="10">
        <f t="shared" si="40"/>
        <v>2021</v>
      </c>
      <c r="C1336" s="10">
        <f t="shared" si="41"/>
        <v>3</v>
      </c>
      <c r="D1336" s="20">
        <v>44281</v>
      </c>
      <c r="E1336">
        <v>552.5</v>
      </c>
      <c r="F1336">
        <v>1400.5</v>
      </c>
      <c r="G1336">
        <v>404</v>
      </c>
      <c r="H1336">
        <v>613.25</v>
      </c>
      <c r="I1336">
        <v>52.48</v>
      </c>
      <c r="J1336">
        <v>5.7565999999999997</v>
      </c>
    </row>
    <row r="1337" spans="2:10" x14ac:dyDescent="0.3">
      <c r="B1337" s="10">
        <f t="shared" si="40"/>
        <v>2021</v>
      </c>
      <c r="C1337" s="10">
        <f t="shared" si="41"/>
        <v>3</v>
      </c>
      <c r="D1337" s="20">
        <v>44280</v>
      </c>
      <c r="E1337">
        <v>546.5</v>
      </c>
      <c r="F1337">
        <v>1414.25</v>
      </c>
      <c r="G1337">
        <v>404.6</v>
      </c>
      <c r="H1337">
        <v>612.5</v>
      </c>
      <c r="I1337">
        <v>54.98</v>
      </c>
      <c r="J1337">
        <v>5.6475</v>
      </c>
    </row>
    <row r="1338" spans="2:10" x14ac:dyDescent="0.3">
      <c r="B1338" s="10">
        <f t="shared" si="40"/>
        <v>2021</v>
      </c>
      <c r="C1338" s="10">
        <f t="shared" si="41"/>
        <v>3</v>
      </c>
      <c r="D1338" s="20">
        <v>44279</v>
      </c>
      <c r="E1338">
        <v>553.25</v>
      </c>
      <c r="F1338">
        <v>1432.75</v>
      </c>
      <c r="G1338">
        <v>401</v>
      </c>
      <c r="H1338">
        <v>624.75</v>
      </c>
      <c r="I1338">
        <v>57.48</v>
      </c>
      <c r="J1338">
        <v>5.6208999999999998</v>
      </c>
    </row>
    <row r="1339" spans="2:10" x14ac:dyDescent="0.3">
      <c r="B1339" s="10">
        <f t="shared" si="40"/>
        <v>2021</v>
      </c>
      <c r="C1339" s="10">
        <f t="shared" si="41"/>
        <v>3</v>
      </c>
      <c r="D1339" s="20">
        <v>44278</v>
      </c>
      <c r="E1339">
        <v>551.25</v>
      </c>
      <c r="F1339">
        <v>1423.25</v>
      </c>
      <c r="G1339">
        <v>398.8</v>
      </c>
      <c r="H1339">
        <v>634.75</v>
      </c>
      <c r="I1339">
        <v>57.02</v>
      </c>
      <c r="J1339">
        <v>5.5213999999999999</v>
      </c>
    </row>
    <row r="1340" spans="2:10" x14ac:dyDescent="0.3">
      <c r="B1340" s="10">
        <f t="shared" si="40"/>
        <v>2021</v>
      </c>
      <c r="C1340" s="10">
        <f t="shared" si="41"/>
        <v>3</v>
      </c>
      <c r="D1340" s="20">
        <v>44277</v>
      </c>
      <c r="E1340">
        <v>549</v>
      </c>
      <c r="F1340">
        <v>1417.5</v>
      </c>
      <c r="G1340">
        <v>396.6</v>
      </c>
      <c r="H1340">
        <v>627.25</v>
      </c>
      <c r="I1340">
        <v>56.37</v>
      </c>
      <c r="J1340">
        <v>5.5045000000000002</v>
      </c>
    </row>
    <row r="1341" spans="2:10" x14ac:dyDescent="0.3">
      <c r="B1341" s="10">
        <f t="shared" si="40"/>
        <v>2021</v>
      </c>
      <c r="C1341" s="10">
        <f t="shared" si="41"/>
        <v>3</v>
      </c>
      <c r="D1341" s="20">
        <v>44274</v>
      </c>
      <c r="E1341">
        <v>557.75</v>
      </c>
      <c r="F1341">
        <v>1416.25</v>
      </c>
      <c r="G1341">
        <v>407.9</v>
      </c>
      <c r="H1341">
        <v>627</v>
      </c>
      <c r="I1341">
        <v>53.87</v>
      </c>
      <c r="J1341">
        <v>5.4916999999999998</v>
      </c>
    </row>
    <row r="1342" spans="2:10" x14ac:dyDescent="0.3">
      <c r="B1342" s="10">
        <f t="shared" si="40"/>
        <v>2021</v>
      </c>
      <c r="C1342" s="10">
        <f t="shared" si="41"/>
        <v>3</v>
      </c>
      <c r="D1342" s="20">
        <v>44273</v>
      </c>
      <c r="E1342">
        <v>546.5</v>
      </c>
      <c r="F1342">
        <v>1392.25</v>
      </c>
      <c r="G1342">
        <v>398.2</v>
      </c>
      <c r="H1342">
        <v>630.5</v>
      </c>
      <c r="I1342">
        <v>53.52</v>
      </c>
      <c r="J1342">
        <v>5.5603999999999996</v>
      </c>
    </row>
    <row r="1343" spans="2:10" x14ac:dyDescent="0.3">
      <c r="B1343" s="10">
        <f t="shared" si="40"/>
        <v>2021</v>
      </c>
      <c r="C1343" s="10">
        <f t="shared" si="41"/>
        <v>3</v>
      </c>
      <c r="D1343" s="20">
        <v>44272</v>
      </c>
      <c r="E1343">
        <v>558</v>
      </c>
      <c r="F1343">
        <v>1417.75</v>
      </c>
      <c r="G1343">
        <v>404.9</v>
      </c>
      <c r="H1343">
        <v>640</v>
      </c>
      <c r="I1343">
        <v>54.6</v>
      </c>
      <c r="J1343">
        <v>5.5831999999999997</v>
      </c>
    </row>
    <row r="1344" spans="2:10" x14ac:dyDescent="0.3">
      <c r="B1344" s="10">
        <f t="shared" si="40"/>
        <v>2021</v>
      </c>
      <c r="C1344" s="10">
        <f t="shared" si="41"/>
        <v>3</v>
      </c>
      <c r="D1344" s="20">
        <v>44271</v>
      </c>
      <c r="E1344">
        <v>554.25</v>
      </c>
      <c r="F1344">
        <v>1423.25</v>
      </c>
      <c r="G1344">
        <v>406.1</v>
      </c>
      <c r="H1344">
        <v>647</v>
      </c>
      <c r="I1344">
        <v>55.09</v>
      </c>
      <c r="J1344">
        <v>5.6246</v>
      </c>
    </row>
    <row r="1345" spans="2:10" x14ac:dyDescent="0.3">
      <c r="B1345" s="10">
        <f t="shared" si="40"/>
        <v>2021</v>
      </c>
      <c r="C1345" s="10">
        <f t="shared" si="41"/>
        <v>3</v>
      </c>
      <c r="D1345" s="20">
        <v>44270</v>
      </c>
      <c r="E1345">
        <v>549.5</v>
      </c>
      <c r="F1345">
        <v>1419.5</v>
      </c>
      <c r="G1345">
        <v>407.4</v>
      </c>
      <c r="H1345">
        <v>645</v>
      </c>
      <c r="I1345">
        <v>55.09</v>
      </c>
      <c r="J1345">
        <v>5.6155999999999997</v>
      </c>
    </row>
    <row r="1346" spans="2:10" x14ac:dyDescent="0.3">
      <c r="B1346" s="10">
        <f t="shared" si="40"/>
        <v>2021</v>
      </c>
      <c r="C1346" s="10">
        <f t="shared" si="41"/>
        <v>3</v>
      </c>
      <c r="D1346" s="20">
        <v>44267</v>
      </c>
      <c r="E1346">
        <v>549.25</v>
      </c>
      <c r="F1346">
        <v>1415.75</v>
      </c>
      <c r="G1346">
        <v>396.3</v>
      </c>
      <c r="H1346">
        <v>631.75</v>
      </c>
      <c r="I1346">
        <v>56.89</v>
      </c>
      <c r="J1346">
        <v>5.5518000000000001</v>
      </c>
    </row>
    <row r="1347" spans="2:10" x14ac:dyDescent="0.3">
      <c r="B1347" s="10">
        <f t="shared" si="40"/>
        <v>2021</v>
      </c>
      <c r="C1347" s="10">
        <f t="shared" si="41"/>
        <v>3</v>
      </c>
      <c r="D1347" s="20">
        <v>44266</v>
      </c>
      <c r="E1347">
        <v>555</v>
      </c>
      <c r="F1347">
        <v>1415.5</v>
      </c>
      <c r="G1347">
        <v>402</v>
      </c>
      <c r="H1347">
        <v>636.25</v>
      </c>
      <c r="I1347">
        <v>56.46</v>
      </c>
      <c r="J1347">
        <v>5.5357000000000003</v>
      </c>
    </row>
    <row r="1348" spans="2:10" x14ac:dyDescent="0.3">
      <c r="B1348" s="10">
        <f t="shared" si="40"/>
        <v>2021</v>
      </c>
      <c r="C1348" s="10">
        <f t="shared" si="41"/>
        <v>3</v>
      </c>
      <c r="D1348" s="20">
        <v>44265</v>
      </c>
      <c r="E1348">
        <v>547.75</v>
      </c>
      <c r="F1348">
        <v>1411.5</v>
      </c>
      <c r="G1348">
        <v>410.1</v>
      </c>
      <c r="H1348">
        <v>650.75</v>
      </c>
      <c r="I1348">
        <v>55.36</v>
      </c>
      <c r="J1348">
        <v>5.6719999999999997</v>
      </c>
    </row>
    <row r="1349" spans="2:10" x14ac:dyDescent="0.3">
      <c r="B1349" s="10">
        <f t="shared" si="40"/>
        <v>2021</v>
      </c>
      <c r="C1349" s="10">
        <f t="shared" si="41"/>
        <v>3</v>
      </c>
      <c r="D1349" s="20">
        <v>44264</v>
      </c>
      <c r="E1349">
        <v>562</v>
      </c>
      <c r="F1349">
        <v>1441.25</v>
      </c>
      <c r="G1349">
        <v>419.2</v>
      </c>
      <c r="H1349">
        <v>656.5</v>
      </c>
      <c r="I1349">
        <v>55.15</v>
      </c>
      <c r="J1349">
        <v>5.8025000000000002</v>
      </c>
    </row>
    <row r="1350" spans="2:10" x14ac:dyDescent="0.3">
      <c r="B1350" s="10">
        <f t="shared" ref="B1350:B1413" si="42">YEAR(D1350)</f>
        <v>2021</v>
      </c>
      <c r="C1350" s="10">
        <f t="shared" ref="C1350:C1413" si="43">MONTH(D1350)</f>
        <v>3</v>
      </c>
      <c r="D1350" s="20">
        <v>44263</v>
      </c>
      <c r="E1350">
        <v>565</v>
      </c>
      <c r="F1350">
        <v>1437.75</v>
      </c>
      <c r="G1350">
        <v>418.3</v>
      </c>
      <c r="H1350">
        <v>646.5</v>
      </c>
      <c r="I1350">
        <v>54.06</v>
      </c>
      <c r="J1350">
        <v>5.8754999999999997</v>
      </c>
    </row>
    <row r="1351" spans="2:10" x14ac:dyDescent="0.3">
      <c r="B1351" s="10">
        <f t="shared" si="42"/>
        <v>2021</v>
      </c>
      <c r="C1351" s="10">
        <f t="shared" si="43"/>
        <v>3</v>
      </c>
      <c r="D1351" s="20">
        <v>44260</v>
      </c>
      <c r="E1351">
        <v>562</v>
      </c>
      <c r="F1351">
        <v>1434.25</v>
      </c>
      <c r="G1351">
        <v>420</v>
      </c>
      <c r="H1351">
        <v>654</v>
      </c>
      <c r="I1351">
        <v>53.38</v>
      </c>
      <c r="J1351">
        <v>5.6908000000000003</v>
      </c>
    </row>
    <row r="1352" spans="2:10" x14ac:dyDescent="0.3">
      <c r="B1352" s="10">
        <f t="shared" si="42"/>
        <v>2021</v>
      </c>
      <c r="C1352" s="10">
        <f t="shared" si="43"/>
        <v>3</v>
      </c>
      <c r="D1352" s="20">
        <v>44259</v>
      </c>
      <c r="E1352">
        <v>546.25</v>
      </c>
      <c r="F1352">
        <v>1415.25</v>
      </c>
      <c r="G1352">
        <v>418.1</v>
      </c>
      <c r="H1352">
        <v>649.75</v>
      </c>
      <c r="I1352">
        <v>52.38</v>
      </c>
      <c r="J1352">
        <v>5.6692999999999998</v>
      </c>
    </row>
    <row r="1353" spans="2:10" x14ac:dyDescent="0.3">
      <c r="B1353" s="10">
        <f t="shared" si="42"/>
        <v>2021</v>
      </c>
      <c r="C1353" s="10">
        <f t="shared" si="43"/>
        <v>3</v>
      </c>
      <c r="D1353" s="20">
        <v>44258</v>
      </c>
      <c r="E1353">
        <v>550.25</v>
      </c>
      <c r="F1353">
        <v>1410.75</v>
      </c>
      <c r="G1353">
        <v>420.2</v>
      </c>
      <c r="H1353">
        <v>652</v>
      </c>
      <c r="I1353">
        <v>51.35</v>
      </c>
      <c r="J1353">
        <v>5.6193</v>
      </c>
    </row>
    <row r="1354" spans="2:10" x14ac:dyDescent="0.3">
      <c r="B1354" s="10">
        <f t="shared" si="42"/>
        <v>2021</v>
      </c>
      <c r="C1354" s="10">
        <f t="shared" si="43"/>
        <v>3</v>
      </c>
      <c r="D1354" s="20">
        <v>44257</v>
      </c>
      <c r="E1354">
        <v>560.75</v>
      </c>
      <c r="F1354">
        <v>1414</v>
      </c>
      <c r="G1354">
        <v>423.3</v>
      </c>
      <c r="H1354">
        <v>663.25</v>
      </c>
      <c r="I1354">
        <v>51.27</v>
      </c>
      <c r="J1354">
        <v>5.6760999999999999</v>
      </c>
    </row>
    <row r="1355" spans="2:10" x14ac:dyDescent="0.3">
      <c r="B1355" s="10">
        <f t="shared" si="42"/>
        <v>2021</v>
      </c>
      <c r="C1355" s="10">
        <f t="shared" si="43"/>
        <v>3</v>
      </c>
      <c r="D1355" s="20">
        <v>44256</v>
      </c>
      <c r="E1355">
        <v>547.5</v>
      </c>
      <c r="F1355">
        <v>1392.5</v>
      </c>
      <c r="G1355">
        <v>420.2</v>
      </c>
      <c r="H1355">
        <v>643.75</v>
      </c>
      <c r="I1355">
        <v>50.77</v>
      </c>
      <c r="J1355">
        <v>5.6417999999999999</v>
      </c>
    </row>
    <row r="1356" spans="2:10" x14ac:dyDescent="0.3">
      <c r="B1356" s="10">
        <f t="shared" si="42"/>
        <v>2021</v>
      </c>
      <c r="C1356" s="10">
        <f t="shared" si="43"/>
        <v>2</v>
      </c>
      <c r="D1356" s="20">
        <v>44253</v>
      </c>
      <c r="E1356">
        <v>555.5</v>
      </c>
      <c r="F1356">
        <v>1405.25</v>
      </c>
      <c r="G1356">
        <v>423.2</v>
      </c>
      <c r="H1356">
        <v>655</v>
      </c>
      <c r="I1356">
        <v>51.34</v>
      </c>
      <c r="J1356">
        <v>5.5986000000000002</v>
      </c>
    </row>
    <row r="1357" spans="2:10" x14ac:dyDescent="0.3">
      <c r="B1357" s="10">
        <f t="shared" si="42"/>
        <v>2021</v>
      </c>
      <c r="C1357" s="10">
        <f t="shared" si="43"/>
        <v>2</v>
      </c>
      <c r="D1357" s="20">
        <v>44252</v>
      </c>
      <c r="E1357">
        <v>554.75</v>
      </c>
      <c r="F1357">
        <v>1406</v>
      </c>
      <c r="G1357">
        <v>424.1</v>
      </c>
      <c r="H1357">
        <v>671.75</v>
      </c>
      <c r="I1357">
        <v>50.96</v>
      </c>
      <c r="J1357">
        <v>5.5308000000000002</v>
      </c>
    </row>
    <row r="1358" spans="2:10" x14ac:dyDescent="0.3">
      <c r="B1358" s="10">
        <f t="shared" si="42"/>
        <v>2021</v>
      </c>
      <c r="C1358" s="10">
        <f t="shared" si="43"/>
        <v>2</v>
      </c>
      <c r="D1358" s="20">
        <v>44251</v>
      </c>
      <c r="E1358">
        <v>559.25</v>
      </c>
      <c r="F1358">
        <v>1423.75</v>
      </c>
      <c r="G1358">
        <v>428.3</v>
      </c>
      <c r="H1358">
        <v>680.25</v>
      </c>
      <c r="I1358">
        <v>51.14</v>
      </c>
      <c r="J1358">
        <v>5.4062000000000001</v>
      </c>
    </row>
    <row r="1359" spans="2:10" x14ac:dyDescent="0.3">
      <c r="B1359" s="10">
        <f t="shared" si="42"/>
        <v>2021</v>
      </c>
      <c r="C1359" s="10">
        <f t="shared" si="43"/>
        <v>2</v>
      </c>
      <c r="D1359" s="20">
        <v>44250</v>
      </c>
      <c r="E1359">
        <v>553.75</v>
      </c>
      <c r="F1359">
        <v>1406</v>
      </c>
      <c r="G1359">
        <v>426.5</v>
      </c>
      <c r="H1359">
        <v>665.75</v>
      </c>
      <c r="I1359">
        <v>49.26</v>
      </c>
      <c r="J1359">
        <v>5.4409000000000001</v>
      </c>
    </row>
    <row r="1360" spans="2:10" x14ac:dyDescent="0.3">
      <c r="B1360" s="10">
        <f t="shared" si="42"/>
        <v>2021</v>
      </c>
      <c r="C1360" s="10">
        <f t="shared" si="43"/>
        <v>2</v>
      </c>
      <c r="D1360" s="20">
        <v>44249</v>
      </c>
      <c r="E1360">
        <v>551</v>
      </c>
      <c r="F1360">
        <v>1383.75</v>
      </c>
      <c r="G1360">
        <v>423.1</v>
      </c>
      <c r="H1360">
        <v>664</v>
      </c>
      <c r="I1360">
        <v>47.9</v>
      </c>
      <c r="J1360">
        <v>5.4659000000000004</v>
      </c>
    </row>
    <row r="1361" spans="2:10" x14ac:dyDescent="0.3">
      <c r="B1361" s="10">
        <f t="shared" si="42"/>
        <v>2021</v>
      </c>
      <c r="C1361" s="10">
        <f t="shared" si="43"/>
        <v>2</v>
      </c>
      <c r="D1361" s="20">
        <v>44246</v>
      </c>
      <c r="E1361">
        <v>542.75</v>
      </c>
      <c r="F1361">
        <v>1377.25</v>
      </c>
      <c r="G1361">
        <v>424.3</v>
      </c>
      <c r="H1361">
        <v>650.75</v>
      </c>
      <c r="I1361">
        <v>47.55</v>
      </c>
      <c r="J1361">
        <v>5.3822999999999999</v>
      </c>
    </row>
    <row r="1362" spans="2:10" x14ac:dyDescent="0.3">
      <c r="B1362" s="10">
        <f t="shared" si="42"/>
        <v>2021</v>
      </c>
      <c r="C1362" s="10">
        <f t="shared" si="43"/>
        <v>2</v>
      </c>
      <c r="D1362" s="20">
        <v>44245</v>
      </c>
      <c r="E1362">
        <v>550.25</v>
      </c>
      <c r="F1362">
        <v>1375</v>
      </c>
      <c r="G1362">
        <v>425.9</v>
      </c>
      <c r="H1362">
        <v>662.5</v>
      </c>
      <c r="I1362">
        <v>46.91</v>
      </c>
      <c r="J1362">
        <v>5.4269999999999996</v>
      </c>
    </row>
    <row r="1363" spans="2:10" x14ac:dyDescent="0.3">
      <c r="B1363" s="10">
        <f t="shared" si="42"/>
        <v>2021</v>
      </c>
      <c r="C1363" s="10">
        <f t="shared" si="43"/>
        <v>2</v>
      </c>
      <c r="D1363" s="20">
        <v>44244</v>
      </c>
      <c r="E1363">
        <v>553</v>
      </c>
      <c r="F1363">
        <v>1383.75</v>
      </c>
      <c r="G1363">
        <v>431.7</v>
      </c>
      <c r="H1363">
        <v>644</v>
      </c>
      <c r="I1363">
        <v>46.77</v>
      </c>
      <c r="J1363">
        <v>5.4104999999999999</v>
      </c>
    </row>
    <row r="1364" spans="2:10" x14ac:dyDescent="0.3">
      <c r="B1364" s="10">
        <f t="shared" si="42"/>
        <v>2021</v>
      </c>
      <c r="C1364" s="10">
        <f t="shared" si="43"/>
        <v>2</v>
      </c>
      <c r="D1364" s="20">
        <v>44243</v>
      </c>
      <c r="E1364">
        <v>552.25</v>
      </c>
      <c r="F1364">
        <v>1384.75</v>
      </c>
      <c r="G1364">
        <v>428.4</v>
      </c>
      <c r="H1364">
        <v>657.5</v>
      </c>
      <c r="I1364">
        <v>47.27</v>
      </c>
      <c r="J1364">
        <v>5.3695000000000004</v>
      </c>
    </row>
    <row r="1365" spans="2:10" x14ac:dyDescent="0.3">
      <c r="B1365" s="10">
        <f t="shared" si="42"/>
        <v>2021</v>
      </c>
      <c r="C1365" s="10">
        <f t="shared" si="43"/>
        <v>2</v>
      </c>
      <c r="D1365" s="20">
        <v>44242</v>
      </c>
      <c r="J1365">
        <v>5.3697999999999997</v>
      </c>
    </row>
    <row r="1366" spans="2:10" x14ac:dyDescent="0.3">
      <c r="B1366" s="10">
        <f t="shared" si="42"/>
        <v>2021</v>
      </c>
      <c r="C1366" s="10">
        <f t="shared" si="43"/>
        <v>2</v>
      </c>
      <c r="D1366" s="20">
        <v>44239</v>
      </c>
      <c r="E1366">
        <v>538.75</v>
      </c>
      <c r="F1366">
        <v>1372</v>
      </c>
      <c r="G1366">
        <v>427.2</v>
      </c>
      <c r="H1366">
        <v>636.75</v>
      </c>
      <c r="I1366">
        <v>46.04</v>
      </c>
      <c r="J1366">
        <v>5.3697999999999997</v>
      </c>
    </row>
    <row r="1367" spans="2:10" x14ac:dyDescent="0.3">
      <c r="B1367" s="10">
        <f t="shared" si="42"/>
        <v>2021</v>
      </c>
      <c r="C1367" s="10">
        <f t="shared" si="43"/>
        <v>2</v>
      </c>
      <c r="D1367" s="20">
        <v>44238</v>
      </c>
      <c r="E1367">
        <v>541</v>
      </c>
      <c r="F1367">
        <v>1367.5</v>
      </c>
      <c r="G1367">
        <v>428.9</v>
      </c>
      <c r="H1367">
        <v>633.5</v>
      </c>
      <c r="I1367">
        <v>45.63</v>
      </c>
      <c r="J1367">
        <v>5.3665000000000003</v>
      </c>
    </row>
    <row r="1368" spans="2:10" x14ac:dyDescent="0.3">
      <c r="B1368" s="10">
        <f t="shared" si="42"/>
        <v>2021</v>
      </c>
      <c r="C1368" s="10">
        <f t="shared" si="43"/>
        <v>2</v>
      </c>
      <c r="D1368" s="20">
        <v>44237</v>
      </c>
      <c r="E1368">
        <v>534.5</v>
      </c>
      <c r="F1368">
        <v>1354</v>
      </c>
      <c r="G1368">
        <v>422.3</v>
      </c>
      <c r="H1368">
        <v>635.5</v>
      </c>
      <c r="I1368">
        <v>45.69</v>
      </c>
      <c r="J1368">
        <v>5.3860000000000001</v>
      </c>
    </row>
    <row r="1369" spans="2:10" x14ac:dyDescent="0.3">
      <c r="B1369" s="10">
        <f t="shared" si="42"/>
        <v>2021</v>
      </c>
      <c r="C1369" s="10">
        <f t="shared" si="43"/>
        <v>2</v>
      </c>
      <c r="D1369" s="20">
        <v>44236</v>
      </c>
      <c r="E1369">
        <v>556.25</v>
      </c>
      <c r="F1369">
        <v>1401.75</v>
      </c>
      <c r="G1369">
        <v>438.7</v>
      </c>
      <c r="H1369">
        <v>649.5</v>
      </c>
      <c r="I1369">
        <v>46.52</v>
      </c>
      <c r="J1369">
        <v>5.3780999999999999</v>
      </c>
    </row>
    <row r="1370" spans="2:10" x14ac:dyDescent="0.3">
      <c r="B1370" s="10">
        <f t="shared" si="42"/>
        <v>2021</v>
      </c>
      <c r="C1370" s="10">
        <f t="shared" si="43"/>
        <v>2</v>
      </c>
      <c r="D1370" s="20">
        <v>44235</v>
      </c>
      <c r="E1370">
        <v>563.75</v>
      </c>
      <c r="F1370">
        <v>1387.75</v>
      </c>
      <c r="G1370">
        <v>436.6</v>
      </c>
      <c r="H1370">
        <v>655.75</v>
      </c>
      <c r="I1370">
        <v>45.63</v>
      </c>
      <c r="J1370">
        <v>5.3657000000000004</v>
      </c>
    </row>
    <row r="1371" spans="2:10" x14ac:dyDescent="0.3">
      <c r="B1371" s="10">
        <f t="shared" si="42"/>
        <v>2021</v>
      </c>
      <c r="C1371" s="10">
        <f t="shared" si="43"/>
        <v>2</v>
      </c>
      <c r="D1371" s="20">
        <v>44232</v>
      </c>
      <c r="E1371">
        <v>548.5</v>
      </c>
      <c r="F1371">
        <v>1366.75</v>
      </c>
      <c r="G1371">
        <v>430.5</v>
      </c>
      <c r="H1371">
        <v>641.25</v>
      </c>
      <c r="I1371">
        <v>44.66</v>
      </c>
      <c r="J1371">
        <v>5.3704000000000001</v>
      </c>
    </row>
    <row r="1372" spans="2:10" x14ac:dyDescent="0.3">
      <c r="B1372" s="10">
        <f t="shared" si="42"/>
        <v>2021</v>
      </c>
      <c r="C1372" s="10">
        <f t="shared" si="43"/>
        <v>2</v>
      </c>
      <c r="D1372" s="20">
        <v>44231</v>
      </c>
      <c r="E1372">
        <v>550</v>
      </c>
      <c r="F1372">
        <v>1372.5</v>
      </c>
      <c r="G1372">
        <v>433.1</v>
      </c>
      <c r="H1372">
        <v>637.5</v>
      </c>
      <c r="I1372">
        <v>44.94</v>
      </c>
      <c r="J1372">
        <v>5.4265999999999996</v>
      </c>
    </row>
    <row r="1373" spans="2:10" x14ac:dyDescent="0.3">
      <c r="B1373" s="10">
        <f t="shared" si="42"/>
        <v>2021</v>
      </c>
      <c r="C1373" s="10">
        <f t="shared" si="43"/>
        <v>2</v>
      </c>
      <c r="D1373" s="20">
        <v>44230</v>
      </c>
      <c r="E1373">
        <v>552</v>
      </c>
      <c r="F1373">
        <v>1371.25</v>
      </c>
      <c r="G1373">
        <v>435.5</v>
      </c>
      <c r="H1373">
        <v>648.25</v>
      </c>
      <c r="I1373">
        <v>44.48</v>
      </c>
      <c r="J1373">
        <v>5.3533999999999997</v>
      </c>
    </row>
    <row r="1374" spans="2:10" x14ac:dyDescent="0.3">
      <c r="B1374" s="10">
        <f t="shared" si="42"/>
        <v>2021</v>
      </c>
      <c r="C1374" s="10">
        <f t="shared" si="43"/>
        <v>2</v>
      </c>
      <c r="D1374" s="20">
        <v>44229</v>
      </c>
      <c r="E1374">
        <v>543</v>
      </c>
      <c r="F1374">
        <v>1354.75</v>
      </c>
      <c r="G1374">
        <v>428</v>
      </c>
      <c r="H1374">
        <v>644.75</v>
      </c>
      <c r="I1374">
        <v>44.32</v>
      </c>
      <c r="J1374">
        <v>5.3680000000000003</v>
      </c>
    </row>
    <row r="1375" spans="2:10" x14ac:dyDescent="0.3">
      <c r="B1375" s="10">
        <f t="shared" si="42"/>
        <v>2021</v>
      </c>
      <c r="C1375" s="10">
        <f t="shared" si="43"/>
        <v>2</v>
      </c>
      <c r="D1375" s="20">
        <v>44228</v>
      </c>
      <c r="E1375">
        <v>549.25</v>
      </c>
      <c r="F1375">
        <v>1365.25</v>
      </c>
      <c r="G1375">
        <v>430.5</v>
      </c>
      <c r="H1375">
        <v>651</v>
      </c>
      <c r="I1375">
        <v>44.97</v>
      </c>
      <c r="J1375">
        <v>5.4321999999999999</v>
      </c>
    </row>
    <row r="1376" spans="2:10" x14ac:dyDescent="0.3">
      <c r="B1376" s="10">
        <f t="shared" si="42"/>
        <v>2021</v>
      </c>
      <c r="C1376" s="10">
        <f t="shared" si="43"/>
        <v>1</v>
      </c>
      <c r="D1376" s="20">
        <v>44225</v>
      </c>
      <c r="E1376">
        <v>547</v>
      </c>
      <c r="F1376">
        <v>1370</v>
      </c>
      <c r="G1376">
        <v>431</v>
      </c>
      <c r="H1376">
        <v>663</v>
      </c>
      <c r="I1376">
        <v>44.62</v>
      </c>
      <c r="J1376">
        <v>5.4625000000000004</v>
      </c>
    </row>
    <row r="1377" spans="2:10" x14ac:dyDescent="0.3">
      <c r="B1377" s="10">
        <f t="shared" si="42"/>
        <v>2021</v>
      </c>
      <c r="C1377" s="10">
        <f t="shared" si="43"/>
        <v>1</v>
      </c>
      <c r="D1377" s="20">
        <v>44224</v>
      </c>
      <c r="E1377">
        <v>534.5</v>
      </c>
      <c r="F1377">
        <v>1353.25</v>
      </c>
      <c r="G1377">
        <v>427.1</v>
      </c>
      <c r="H1377">
        <v>647</v>
      </c>
      <c r="I1377">
        <v>44.65</v>
      </c>
      <c r="J1377">
        <v>5.4409999999999998</v>
      </c>
    </row>
    <row r="1378" spans="2:10" x14ac:dyDescent="0.3">
      <c r="B1378" s="10">
        <f t="shared" si="42"/>
        <v>2021</v>
      </c>
      <c r="C1378" s="10">
        <f t="shared" si="43"/>
        <v>1</v>
      </c>
      <c r="D1378" s="20">
        <v>44223</v>
      </c>
      <c r="E1378">
        <v>534</v>
      </c>
      <c r="F1378">
        <v>1374.75</v>
      </c>
      <c r="G1378">
        <v>436.6</v>
      </c>
      <c r="H1378">
        <v>658.25</v>
      </c>
      <c r="I1378">
        <v>44.52</v>
      </c>
      <c r="J1378">
        <v>5.4138000000000002</v>
      </c>
    </row>
    <row r="1379" spans="2:10" x14ac:dyDescent="0.3">
      <c r="B1379" s="10">
        <f t="shared" si="42"/>
        <v>2021</v>
      </c>
      <c r="C1379" s="10">
        <f t="shared" si="43"/>
        <v>1</v>
      </c>
      <c r="D1379" s="20">
        <v>44222</v>
      </c>
      <c r="E1379">
        <v>532.25</v>
      </c>
      <c r="F1379">
        <v>1370.25</v>
      </c>
      <c r="G1379">
        <v>436.5</v>
      </c>
      <c r="H1379">
        <v>665.25</v>
      </c>
      <c r="I1379">
        <v>43.91</v>
      </c>
      <c r="J1379">
        <v>5.3552</v>
      </c>
    </row>
    <row r="1380" spans="2:10" x14ac:dyDescent="0.3">
      <c r="B1380" s="10">
        <f t="shared" si="42"/>
        <v>2021</v>
      </c>
      <c r="C1380" s="10">
        <f t="shared" si="43"/>
        <v>1</v>
      </c>
      <c r="D1380" s="20">
        <v>44221</v>
      </c>
      <c r="E1380">
        <v>511.5</v>
      </c>
      <c r="F1380">
        <v>1343.5</v>
      </c>
      <c r="G1380">
        <v>429.6</v>
      </c>
      <c r="H1380">
        <v>648.5</v>
      </c>
      <c r="I1380">
        <v>42.94</v>
      </c>
      <c r="J1380">
        <v>5.4664999999999999</v>
      </c>
    </row>
    <row r="1381" spans="2:10" x14ac:dyDescent="0.3">
      <c r="B1381" s="10">
        <f t="shared" si="42"/>
        <v>2021</v>
      </c>
      <c r="C1381" s="10">
        <f t="shared" si="43"/>
        <v>1</v>
      </c>
      <c r="D1381" s="20">
        <v>44218</v>
      </c>
      <c r="E1381">
        <v>500.5</v>
      </c>
      <c r="F1381">
        <v>1311.75</v>
      </c>
      <c r="G1381">
        <v>421.6</v>
      </c>
      <c r="H1381">
        <v>634.5</v>
      </c>
      <c r="I1381">
        <v>42.27</v>
      </c>
      <c r="J1381">
        <v>5.4665999999999997</v>
      </c>
    </row>
    <row r="1382" spans="2:10" x14ac:dyDescent="0.3">
      <c r="B1382" s="10">
        <f t="shared" si="42"/>
        <v>2021</v>
      </c>
      <c r="C1382" s="10">
        <f t="shared" si="43"/>
        <v>1</v>
      </c>
      <c r="D1382" s="20">
        <v>44217</v>
      </c>
      <c r="E1382">
        <v>524.25</v>
      </c>
      <c r="F1382">
        <v>1370.25</v>
      </c>
      <c r="G1382">
        <v>438.2</v>
      </c>
      <c r="H1382">
        <v>660.75</v>
      </c>
      <c r="I1382">
        <v>43.43</v>
      </c>
      <c r="J1382">
        <v>5.3506</v>
      </c>
    </row>
    <row r="1383" spans="2:10" x14ac:dyDescent="0.3">
      <c r="B1383" s="10">
        <f t="shared" si="42"/>
        <v>2021</v>
      </c>
      <c r="C1383" s="10">
        <f t="shared" si="43"/>
        <v>1</v>
      </c>
      <c r="D1383" s="20">
        <v>44216</v>
      </c>
      <c r="E1383">
        <v>522</v>
      </c>
      <c r="F1383">
        <v>1369.5</v>
      </c>
      <c r="G1383">
        <v>442.4</v>
      </c>
      <c r="H1383">
        <v>667.75</v>
      </c>
      <c r="I1383">
        <v>42.54</v>
      </c>
      <c r="J1383">
        <v>5.2916999999999996</v>
      </c>
    </row>
    <row r="1384" spans="2:10" x14ac:dyDescent="0.3">
      <c r="B1384" s="10">
        <f t="shared" si="42"/>
        <v>2021</v>
      </c>
      <c r="C1384" s="10">
        <f t="shared" si="43"/>
        <v>1</v>
      </c>
      <c r="D1384" s="20">
        <v>44215</v>
      </c>
      <c r="E1384">
        <v>526</v>
      </c>
      <c r="F1384">
        <v>1385.75</v>
      </c>
      <c r="G1384">
        <v>450.5</v>
      </c>
      <c r="H1384">
        <v>672.25</v>
      </c>
      <c r="I1384">
        <v>41.7</v>
      </c>
      <c r="J1384">
        <v>5.3578000000000001</v>
      </c>
    </row>
    <row r="1385" spans="2:10" x14ac:dyDescent="0.3">
      <c r="B1385" s="10">
        <f t="shared" si="42"/>
        <v>2021</v>
      </c>
      <c r="C1385" s="10">
        <f t="shared" si="43"/>
        <v>1</v>
      </c>
      <c r="D1385" s="20">
        <v>44214</v>
      </c>
      <c r="J1385">
        <v>5.2957000000000001</v>
      </c>
    </row>
    <row r="1386" spans="2:10" x14ac:dyDescent="0.3">
      <c r="B1386" s="10">
        <f t="shared" si="42"/>
        <v>2021</v>
      </c>
      <c r="C1386" s="10">
        <f t="shared" si="43"/>
        <v>1</v>
      </c>
      <c r="D1386" s="20">
        <v>44211</v>
      </c>
      <c r="E1386">
        <v>531.5</v>
      </c>
      <c r="F1386">
        <v>1416.75</v>
      </c>
      <c r="G1386">
        <v>463.2</v>
      </c>
      <c r="H1386">
        <v>675.5</v>
      </c>
      <c r="I1386">
        <v>41.85</v>
      </c>
      <c r="J1386">
        <v>5.2927</v>
      </c>
    </row>
    <row r="1387" spans="2:10" x14ac:dyDescent="0.3">
      <c r="B1387" s="10">
        <f t="shared" si="42"/>
        <v>2021</v>
      </c>
      <c r="C1387" s="10">
        <f t="shared" si="43"/>
        <v>1</v>
      </c>
      <c r="D1387" s="20">
        <v>44210</v>
      </c>
      <c r="E1387">
        <v>534.25</v>
      </c>
      <c r="F1387">
        <v>1436.5</v>
      </c>
      <c r="G1387">
        <v>464.9</v>
      </c>
      <c r="H1387">
        <v>670</v>
      </c>
      <c r="I1387">
        <v>43.27</v>
      </c>
      <c r="J1387">
        <v>5.1966999999999999</v>
      </c>
    </row>
    <row r="1388" spans="2:10" x14ac:dyDescent="0.3">
      <c r="B1388" s="10">
        <f t="shared" si="42"/>
        <v>2021</v>
      </c>
      <c r="C1388" s="10">
        <f t="shared" si="43"/>
        <v>1</v>
      </c>
      <c r="D1388" s="20">
        <v>44209</v>
      </c>
      <c r="E1388">
        <v>524.5</v>
      </c>
      <c r="F1388">
        <v>1411</v>
      </c>
      <c r="G1388">
        <v>462.4</v>
      </c>
      <c r="H1388">
        <v>660.5</v>
      </c>
      <c r="I1388">
        <v>42.68</v>
      </c>
      <c r="J1388">
        <v>5.2990000000000004</v>
      </c>
    </row>
    <row r="1389" spans="2:10" x14ac:dyDescent="0.3">
      <c r="B1389" s="10">
        <f t="shared" si="42"/>
        <v>2021</v>
      </c>
      <c r="C1389" s="10">
        <f t="shared" si="43"/>
        <v>1</v>
      </c>
      <c r="D1389" s="20">
        <v>44208</v>
      </c>
      <c r="E1389">
        <v>517.25</v>
      </c>
      <c r="F1389">
        <v>1422</v>
      </c>
      <c r="G1389">
        <v>471.2</v>
      </c>
      <c r="H1389">
        <v>665</v>
      </c>
      <c r="I1389">
        <v>43.13</v>
      </c>
      <c r="J1389">
        <v>5.3226000000000004</v>
      </c>
    </row>
    <row r="1390" spans="2:10" x14ac:dyDescent="0.3">
      <c r="B1390" s="10">
        <f t="shared" si="42"/>
        <v>2021</v>
      </c>
      <c r="C1390" s="10">
        <f t="shared" si="43"/>
        <v>1</v>
      </c>
      <c r="D1390" s="20">
        <v>44207</v>
      </c>
      <c r="E1390">
        <v>492.25</v>
      </c>
      <c r="F1390">
        <v>1374.5</v>
      </c>
      <c r="G1390">
        <v>451.8</v>
      </c>
      <c r="H1390">
        <v>634.75</v>
      </c>
      <c r="I1390">
        <v>43.13</v>
      </c>
      <c r="J1390">
        <v>5.4889999999999999</v>
      </c>
    </row>
    <row r="1391" spans="2:10" x14ac:dyDescent="0.3">
      <c r="B1391" s="10">
        <f t="shared" si="42"/>
        <v>2021</v>
      </c>
      <c r="C1391" s="10">
        <f t="shared" si="43"/>
        <v>1</v>
      </c>
      <c r="D1391" s="20">
        <v>44204</v>
      </c>
      <c r="E1391">
        <v>496.25</v>
      </c>
      <c r="F1391">
        <v>1375.75</v>
      </c>
      <c r="G1391">
        <v>444.8</v>
      </c>
      <c r="H1391">
        <v>638.75</v>
      </c>
      <c r="I1391">
        <v>43.76</v>
      </c>
      <c r="J1391">
        <v>5.4177999999999997</v>
      </c>
    </row>
    <row r="1392" spans="2:10" x14ac:dyDescent="0.3">
      <c r="B1392" s="10">
        <f t="shared" si="42"/>
        <v>2021</v>
      </c>
      <c r="C1392" s="10">
        <f t="shared" si="43"/>
        <v>1</v>
      </c>
      <c r="D1392" s="20">
        <v>44203</v>
      </c>
      <c r="E1392">
        <v>494</v>
      </c>
      <c r="F1392">
        <v>1360.5</v>
      </c>
      <c r="G1392">
        <v>438</v>
      </c>
      <c r="H1392">
        <v>642.25</v>
      </c>
      <c r="I1392">
        <v>44.35</v>
      </c>
      <c r="J1392">
        <v>5.4100999999999999</v>
      </c>
    </row>
    <row r="1393" spans="2:10" x14ac:dyDescent="0.3">
      <c r="B1393" s="10">
        <f t="shared" si="42"/>
        <v>2021</v>
      </c>
      <c r="C1393" s="10">
        <f t="shared" si="43"/>
        <v>1</v>
      </c>
      <c r="D1393" s="20">
        <v>44202</v>
      </c>
      <c r="E1393">
        <v>495</v>
      </c>
      <c r="F1393">
        <v>1365.25</v>
      </c>
      <c r="G1393">
        <v>443.3</v>
      </c>
      <c r="H1393">
        <v>647.5</v>
      </c>
      <c r="I1393">
        <v>44.39</v>
      </c>
      <c r="J1393">
        <v>5.3139000000000003</v>
      </c>
    </row>
    <row r="1394" spans="2:10" x14ac:dyDescent="0.3">
      <c r="B1394" s="10">
        <f t="shared" si="42"/>
        <v>2021</v>
      </c>
      <c r="C1394" s="10">
        <f t="shared" si="43"/>
        <v>1</v>
      </c>
      <c r="D1394" s="20">
        <v>44201</v>
      </c>
      <c r="E1394">
        <v>491.75</v>
      </c>
      <c r="F1394">
        <v>1350</v>
      </c>
      <c r="G1394">
        <v>435.4</v>
      </c>
      <c r="H1394">
        <v>654</v>
      </c>
      <c r="I1394">
        <v>44.36</v>
      </c>
      <c r="J1394">
        <v>5.2854000000000001</v>
      </c>
    </row>
    <row r="1395" spans="2:10" x14ac:dyDescent="0.3">
      <c r="B1395" s="10">
        <f t="shared" si="42"/>
        <v>2021</v>
      </c>
      <c r="C1395" s="10">
        <f t="shared" si="43"/>
        <v>1</v>
      </c>
      <c r="D1395" s="20">
        <v>44200</v>
      </c>
      <c r="E1395">
        <v>483.75</v>
      </c>
      <c r="F1395">
        <v>1316.5</v>
      </c>
      <c r="G1395">
        <v>427.2</v>
      </c>
      <c r="H1395">
        <v>642</v>
      </c>
      <c r="I1395">
        <v>42.93</v>
      </c>
      <c r="J1395">
        <v>5.2968000000000002</v>
      </c>
    </row>
    <row r="1396" spans="2:10" x14ac:dyDescent="0.3">
      <c r="B1396" s="10">
        <f t="shared" si="42"/>
        <v>2021</v>
      </c>
      <c r="C1396" s="10">
        <f t="shared" si="43"/>
        <v>1</v>
      </c>
      <c r="D1396" s="20">
        <v>44197</v>
      </c>
      <c r="J1396">
        <v>5.1936999999999998</v>
      </c>
    </row>
    <row r="1397" spans="2:10" x14ac:dyDescent="0.3">
      <c r="B1397" s="10">
        <f t="shared" si="42"/>
        <v>2020</v>
      </c>
      <c r="C1397" s="10">
        <f t="shared" si="43"/>
        <v>12</v>
      </c>
      <c r="D1397" s="20">
        <v>44196</v>
      </c>
      <c r="E1397">
        <v>484</v>
      </c>
      <c r="F1397">
        <v>1315.25</v>
      </c>
      <c r="G1397">
        <v>434.4</v>
      </c>
      <c r="H1397">
        <v>640.5</v>
      </c>
      <c r="I1397">
        <v>43.33</v>
      </c>
      <c r="J1397">
        <v>5.1936999999999998</v>
      </c>
    </row>
    <row r="1398" spans="2:10" x14ac:dyDescent="0.3">
      <c r="B1398" s="10">
        <f t="shared" si="42"/>
        <v>2020</v>
      </c>
      <c r="C1398" s="10">
        <f t="shared" si="43"/>
        <v>12</v>
      </c>
      <c r="D1398" s="20">
        <v>44195</v>
      </c>
      <c r="E1398">
        <v>474.5</v>
      </c>
      <c r="F1398">
        <v>1303.75</v>
      </c>
      <c r="G1398">
        <v>432.4</v>
      </c>
      <c r="H1398">
        <v>640.75</v>
      </c>
      <c r="I1398">
        <v>42.67</v>
      </c>
      <c r="J1398">
        <v>5.1936999999999998</v>
      </c>
    </row>
    <row r="1399" spans="2:10" x14ac:dyDescent="0.3">
      <c r="B1399" s="10">
        <f t="shared" si="42"/>
        <v>2020</v>
      </c>
      <c r="C1399" s="10">
        <f t="shared" si="43"/>
        <v>12</v>
      </c>
      <c r="D1399" s="20">
        <v>44194</v>
      </c>
      <c r="E1399">
        <v>466</v>
      </c>
      <c r="F1399">
        <v>1295.5</v>
      </c>
      <c r="G1399">
        <v>427</v>
      </c>
      <c r="H1399">
        <v>618.5</v>
      </c>
      <c r="I1399">
        <v>42.48</v>
      </c>
      <c r="J1399">
        <v>5.2099000000000002</v>
      </c>
    </row>
    <row r="1400" spans="2:10" x14ac:dyDescent="0.3">
      <c r="B1400" s="10">
        <f t="shared" si="42"/>
        <v>2020</v>
      </c>
      <c r="C1400" s="10">
        <f t="shared" si="43"/>
        <v>12</v>
      </c>
      <c r="D1400" s="20">
        <v>44193</v>
      </c>
      <c r="E1400">
        <v>456.5</v>
      </c>
      <c r="F1400">
        <v>1255.25</v>
      </c>
      <c r="G1400">
        <v>415.3</v>
      </c>
      <c r="H1400">
        <v>614.25</v>
      </c>
      <c r="I1400">
        <v>41.72</v>
      </c>
      <c r="J1400">
        <v>5.2461000000000002</v>
      </c>
    </row>
    <row r="1401" spans="2:10" x14ac:dyDescent="0.3">
      <c r="B1401" s="10">
        <f t="shared" si="42"/>
        <v>2020</v>
      </c>
      <c r="C1401" s="10">
        <f t="shared" si="43"/>
        <v>12</v>
      </c>
      <c r="D1401" s="20">
        <v>44190</v>
      </c>
      <c r="J1401">
        <v>5.2164999999999999</v>
      </c>
    </row>
    <row r="1402" spans="2:10" x14ac:dyDescent="0.3">
      <c r="B1402" s="10">
        <f t="shared" si="42"/>
        <v>2020</v>
      </c>
      <c r="C1402" s="10">
        <f t="shared" si="43"/>
        <v>12</v>
      </c>
      <c r="D1402" s="20">
        <v>44189</v>
      </c>
      <c r="E1402">
        <v>451</v>
      </c>
      <c r="F1402">
        <v>1263.5</v>
      </c>
      <c r="G1402">
        <v>416.8</v>
      </c>
      <c r="H1402">
        <v>627</v>
      </c>
      <c r="I1402">
        <v>41.84</v>
      </c>
      <c r="J1402">
        <v>5.2164999999999999</v>
      </c>
    </row>
    <row r="1403" spans="2:10" x14ac:dyDescent="0.3">
      <c r="B1403" s="10">
        <f t="shared" si="42"/>
        <v>2020</v>
      </c>
      <c r="C1403" s="10">
        <f t="shared" si="43"/>
        <v>12</v>
      </c>
      <c r="D1403" s="20">
        <v>44188</v>
      </c>
      <c r="E1403">
        <v>447.25</v>
      </c>
      <c r="F1403">
        <v>1258.75</v>
      </c>
      <c r="G1403">
        <v>421.2</v>
      </c>
      <c r="H1403">
        <v>629.75</v>
      </c>
      <c r="I1403">
        <v>41.35</v>
      </c>
      <c r="J1403">
        <v>5.2164000000000001</v>
      </c>
    </row>
    <row r="1404" spans="2:10" x14ac:dyDescent="0.3">
      <c r="B1404" s="10">
        <f t="shared" si="42"/>
        <v>2020</v>
      </c>
      <c r="C1404" s="10">
        <f t="shared" si="43"/>
        <v>12</v>
      </c>
      <c r="D1404" s="20">
        <v>44187</v>
      </c>
      <c r="E1404">
        <v>443.5</v>
      </c>
      <c r="F1404">
        <v>1247.25</v>
      </c>
      <c r="G1404">
        <v>415</v>
      </c>
      <c r="H1404">
        <v>617</v>
      </c>
      <c r="I1404">
        <v>40.549999999999997</v>
      </c>
      <c r="J1404">
        <v>5.1597</v>
      </c>
    </row>
    <row r="1405" spans="2:10" x14ac:dyDescent="0.3">
      <c r="B1405" s="10">
        <f t="shared" si="42"/>
        <v>2020</v>
      </c>
      <c r="C1405" s="10">
        <f t="shared" si="43"/>
        <v>12</v>
      </c>
      <c r="D1405" s="20">
        <v>44186</v>
      </c>
      <c r="E1405">
        <v>440</v>
      </c>
      <c r="F1405">
        <v>1243.25</v>
      </c>
      <c r="G1405">
        <v>412.3</v>
      </c>
      <c r="H1405">
        <v>611.25</v>
      </c>
      <c r="I1405">
        <v>39.96</v>
      </c>
      <c r="J1405">
        <v>5.1222000000000003</v>
      </c>
    </row>
    <row r="1406" spans="2:10" x14ac:dyDescent="0.3">
      <c r="B1406" s="10">
        <f t="shared" si="42"/>
        <v>2020</v>
      </c>
      <c r="C1406" s="10">
        <f t="shared" si="43"/>
        <v>12</v>
      </c>
      <c r="D1406" s="20">
        <v>44183</v>
      </c>
      <c r="E1406">
        <v>437.5</v>
      </c>
      <c r="F1406">
        <v>1220</v>
      </c>
      <c r="G1406">
        <v>405.5</v>
      </c>
      <c r="H1406">
        <v>608.25</v>
      </c>
      <c r="I1406">
        <v>40.07</v>
      </c>
      <c r="J1406">
        <v>5.1021999999999998</v>
      </c>
    </row>
    <row r="1407" spans="2:10" x14ac:dyDescent="0.3">
      <c r="B1407" s="10">
        <f t="shared" si="42"/>
        <v>2020</v>
      </c>
      <c r="C1407" s="10">
        <f t="shared" si="43"/>
        <v>12</v>
      </c>
      <c r="D1407" s="20">
        <v>44182</v>
      </c>
      <c r="E1407">
        <v>432.5</v>
      </c>
      <c r="F1407">
        <v>1201.25</v>
      </c>
      <c r="G1407">
        <v>397.9</v>
      </c>
      <c r="H1407">
        <v>608.75</v>
      </c>
      <c r="I1407">
        <v>39.93</v>
      </c>
      <c r="J1407">
        <v>5.0582000000000003</v>
      </c>
    </row>
    <row r="1408" spans="2:10" x14ac:dyDescent="0.3">
      <c r="B1408" s="10">
        <f t="shared" si="42"/>
        <v>2020</v>
      </c>
      <c r="C1408" s="10">
        <f t="shared" si="43"/>
        <v>12</v>
      </c>
      <c r="D1408" s="20">
        <v>44181</v>
      </c>
      <c r="E1408">
        <v>427.25</v>
      </c>
      <c r="F1408">
        <v>1183.75</v>
      </c>
      <c r="G1408">
        <v>394.5</v>
      </c>
      <c r="H1408">
        <v>598.5</v>
      </c>
      <c r="I1408">
        <v>39.049999999999997</v>
      </c>
      <c r="J1408">
        <v>5.0838000000000001</v>
      </c>
    </row>
    <row r="1409" spans="2:10" x14ac:dyDescent="0.3">
      <c r="B1409" s="10">
        <f t="shared" si="42"/>
        <v>2020</v>
      </c>
      <c r="C1409" s="10">
        <f t="shared" si="43"/>
        <v>12</v>
      </c>
      <c r="D1409" s="20">
        <v>44180</v>
      </c>
      <c r="E1409">
        <v>424.75</v>
      </c>
      <c r="F1409">
        <v>1184.25</v>
      </c>
      <c r="G1409">
        <v>388.2</v>
      </c>
      <c r="H1409">
        <v>599.75</v>
      </c>
      <c r="I1409">
        <v>39.19</v>
      </c>
      <c r="J1409">
        <v>5.0842000000000001</v>
      </c>
    </row>
    <row r="1410" spans="2:10" x14ac:dyDescent="0.3">
      <c r="B1410" s="10">
        <f t="shared" si="42"/>
        <v>2020</v>
      </c>
      <c r="C1410" s="10">
        <f t="shared" si="43"/>
        <v>12</v>
      </c>
      <c r="D1410" s="20">
        <v>44179</v>
      </c>
      <c r="E1410">
        <v>419.25</v>
      </c>
      <c r="F1410">
        <v>1169.5</v>
      </c>
      <c r="G1410">
        <v>380.8</v>
      </c>
      <c r="H1410">
        <v>593.5</v>
      </c>
      <c r="I1410">
        <v>40.11</v>
      </c>
      <c r="J1410">
        <v>5.1189</v>
      </c>
    </row>
    <row r="1411" spans="2:10" x14ac:dyDescent="0.3">
      <c r="B1411" s="10">
        <f t="shared" si="42"/>
        <v>2020</v>
      </c>
      <c r="C1411" s="10">
        <f t="shared" si="43"/>
        <v>12</v>
      </c>
      <c r="D1411" s="20">
        <v>44176</v>
      </c>
      <c r="E1411">
        <v>424.25</v>
      </c>
      <c r="F1411">
        <v>1160.5</v>
      </c>
      <c r="G1411">
        <v>384.1</v>
      </c>
      <c r="H1411">
        <v>608.25</v>
      </c>
      <c r="I1411">
        <v>39.58</v>
      </c>
      <c r="J1411">
        <v>5.0655999999999999</v>
      </c>
    </row>
    <row r="1412" spans="2:10" x14ac:dyDescent="0.3">
      <c r="B1412" s="10">
        <f t="shared" si="42"/>
        <v>2020</v>
      </c>
      <c r="C1412" s="10">
        <f t="shared" si="43"/>
        <v>12</v>
      </c>
      <c r="D1412" s="20">
        <v>44175</v>
      </c>
      <c r="E1412">
        <v>420.25</v>
      </c>
      <c r="F1412">
        <v>1152.75</v>
      </c>
      <c r="G1412">
        <v>381</v>
      </c>
      <c r="H1412">
        <v>590.25</v>
      </c>
      <c r="I1412">
        <v>38.96</v>
      </c>
      <c r="J1412">
        <v>5.0255999999999998</v>
      </c>
    </row>
    <row r="1413" spans="2:10" x14ac:dyDescent="0.3">
      <c r="B1413" s="10">
        <f t="shared" si="42"/>
        <v>2020</v>
      </c>
      <c r="C1413" s="10">
        <f t="shared" si="43"/>
        <v>12</v>
      </c>
      <c r="D1413" s="20">
        <v>44174</v>
      </c>
      <c r="E1413">
        <v>422</v>
      </c>
      <c r="F1413">
        <v>1158.5</v>
      </c>
      <c r="G1413">
        <v>384.4</v>
      </c>
      <c r="H1413">
        <v>577</v>
      </c>
      <c r="I1413">
        <v>38.76</v>
      </c>
      <c r="J1413">
        <v>5.1707999999999998</v>
      </c>
    </row>
    <row r="1414" spans="2:10" x14ac:dyDescent="0.3">
      <c r="B1414" s="10">
        <f t="shared" ref="B1414:B1477" si="44">YEAR(D1414)</f>
        <v>2020</v>
      </c>
      <c r="C1414" s="10">
        <f t="shared" ref="C1414:C1477" si="45">MONTH(D1414)</f>
        <v>12</v>
      </c>
      <c r="D1414" s="20">
        <v>44173</v>
      </c>
      <c r="E1414">
        <v>417</v>
      </c>
      <c r="F1414">
        <v>1145.75</v>
      </c>
      <c r="G1414">
        <v>381.7</v>
      </c>
      <c r="H1414">
        <v>563.75</v>
      </c>
      <c r="I1414">
        <v>38.28</v>
      </c>
      <c r="J1414">
        <v>5.1201999999999996</v>
      </c>
    </row>
    <row r="1415" spans="2:10" x14ac:dyDescent="0.3">
      <c r="B1415" s="10">
        <f t="shared" si="44"/>
        <v>2020</v>
      </c>
      <c r="C1415" s="10">
        <f t="shared" si="45"/>
        <v>12</v>
      </c>
      <c r="D1415" s="20">
        <v>44172</v>
      </c>
      <c r="E1415">
        <v>419.5</v>
      </c>
      <c r="F1415">
        <v>1158.5</v>
      </c>
      <c r="G1415">
        <v>386.5</v>
      </c>
      <c r="H1415">
        <v>571.25</v>
      </c>
      <c r="I1415">
        <v>38.869999999999997</v>
      </c>
      <c r="J1415">
        <v>5.0990000000000002</v>
      </c>
    </row>
    <row r="1416" spans="2:10" x14ac:dyDescent="0.3">
      <c r="B1416" s="10">
        <f t="shared" si="44"/>
        <v>2020</v>
      </c>
      <c r="C1416" s="10">
        <f t="shared" si="45"/>
        <v>12</v>
      </c>
      <c r="D1416" s="20">
        <v>44169</v>
      </c>
      <c r="E1416">
        <v>417</v>
      </c>
      <c r="F1416">
        <v>1163</v>
      </c>
      <c r="G1416">
        <v>388.8</v>
      </c>
      <c r="H1416">
        <v>566.5</v>
      </c>
      <c r="I1416">
        <v>39.19</v>
      </c>
      <c r="J1416">
        <v>5.1557000000000004</v>
      </c>
    </row>
    <row r="1417" spans="2:10" x14ac:dyDescent="0.3">
      <c r="B1417" s="10">
        <f t="shared" si="44"/>
        <v>2020</v>
      </c>
      <c r="C1417" s="10">
        <f t="shared" si="45"/>
        <v>12</v>
      </c>
      <c r="D1417" s="20">
        <v>44168</v>
      </c>
      <c r="E1417">
        <v>422.5</v>
      </c>
      <c r="F1417">
        <v>1168.25</v>
      </c>
      <c r="G1417">
        <v>392.8</v>
      </c>
      <c r="H1417">
        <v>571.75</v>
      </c>
      <c r="I1417">
        <v>38.68</v>
      </c>
      <c r="J1417">
        <v>5.1515000000000004</v>
      </c>
    </row>
    <row r="1418" spans="2:10" x14ac:dyDescent="0.3">
      <c r="B1418" s="10">
        <f t="shared" si="44"/>
        <v>2020</v>
      </c>
      <c r="C1418" s="10">
        <f t="shared" si="45"/>
        <v>12</v>
      </c>
      <c r="D1418" s="20">
        <v>44167</v>
      </c>
      <c r="E1418">
        <v>419</v>
      </c>
      <c r="F1418">
        <v>1153</v>
      </c>
      <c r="G1418">
        <v>389.5</v>
      </c>
      <c r="H1418">
        <v>578</v>
      </c>
      <c r="I1418">
        <v>37.47</v>
      </c>
      <c r="J1418">
        <v>5.2175000000000002</v>
      </c>
    </row>
    <row r="1419" spans="2:10" x14ac:dyDescent="0.3">
      <c r="B1419" s="10">
        <f t="shared" si="44"/>
        <v>2020</v>
      </c>
      <c r="C1419" s="10">
        <f t="shared" si="45"/>
        <v>12</v>
      </c>
      <c r="D1419" s="20">
        <v>44166</v>
      </c>
      <c r="E1419">
        <v>414.75</v>
      </c>
      <c r="F1419">
        <v>1162</v>
      </c>
      <c r="G1419">
        <v>393.5</v>
      </c>
      <c r="H1419">
        <v>565.5</v>
      </c>
      <c r="I1419">
        <v>37.4</v>
      </c>
      <c r="J1419">
        <v>5.2061000000000002</v>
      </c>
    </row>
    <row r="1420" spans="2:10" x14ac:dyDescent="0.3">
      <c r="B1420" s="10">
        <f t="shared" si="44"/>
        <v>2020</v>
      </c>
      <c r="C1420" s="10">
        <f t="shared" si="45"/>
        <v>11</v>
      </c>
      <c r="D1420" s="20">
        <v>44165</v>
      </c>
      <c r="E1420">
        <v>419.75</v>
      </c>
      <c r="F1420">
        <v>1168.5</v>
      </c>
      <c r="G1420">
        <v>393.1</v>
      </c>
      <c r="H1420">
        <v>580.25</v>
      </c>
      <c r="I1420">
        <v>37.880000000000003</v>
      </c>
      <c r="J1420">
        <v>5.3319000000000001</v>
      </c>
    </row>
    <row r="1421" spans="2:10" x14ac:dyDescent="0.3">
      <c r="B1421" s="10">
        <f t="shared" si="44"/>
        <v>2020</v>
      </c>
      <c r="C1421" s="10">
        <f t="shared" si="45"/>
        <v>11</v>
      </c>
      <c r="D1421" s="20">
        <v>44162</v>
      </c>
      <c r="E1421">
        <v>425.5</v>
      </c>
      <c r="F1421">
        <v>1191.75</v>
      </c>
      <c r="G1421">
        <v>398.5</v>
      </c>
      <c r="H1421">
        <v>596.5</v>
      </c>
      <c r="I1421">
        <v>38.700000000000003</v>
      </c>
      <c r="J1421">
        <v>5.3437999999999999</v>
      </c>
    </row>
    <row r="1422" spans="2:10" x14ac:dyDescent="0.3">
      <c r="B1422" s="10">
        <f t="shared" si="44"/>
        <v>2020</v>
      </c>
      <c r="C1422" s="10">
        <f t="shared" si="45"/>
        <v>11</v>
      </c>
      <c r="D1422" s="20">
        <v>44161</v>
      </c>
      <c r="J1422">
        <v>5.3365</v>
      </c>
    </row>
    <row r="1423" spans="2:10" x14ac:dyDescent="0.3">
      <c r="B1423" s="10">
        <f t="shared" si="44"/>
        <v>2020</v>
      </c>
      <c r="C1423" s="10">
        <f t="shared" si="45"/>
        <v>11</v>
      </c>
      <c r="D1423" s="20">
        <v>44160</v>
      </c>
      <c r="E1423">
        <v>420</v>
      </c>
      <c r="F1423">
        <v>1184</v>
      </c>
      <c r="G1423">
        <v>396.9</v>
      </c>
      <c r="H1423">
        <v>588.25</v>
      </c>
      <c r="I1423">
        <v>38.18</v>
      </c>
      <c r="J1423">
        <v>5.3236999999999997</v>
      </c>
    </row>
    <row r="1424" spans="2:10" x14ac:dyDescent="0.3">
      <c r="B1424" s="10">
        <f t="shared" si="44"/>
        <v>2020</v>
      </c>
      <c r="C1424" s="10">
        <f t="shared" si="45"/>
        <v>11</v>
      </c>
      <c r="D1424" s="20">
        <v>44159</v>
      </c>
      <c r="E1424">
        <v>425.75</v>
      </c>
      <c r="F1424">
        <v>1191.25</v>
      </c>
      <c r="G1424">
        <v>398.3</v>
      </c>
      <c r="H1424">
        <v>611.25</v>
      </c>
      <c r="I1424">
        <v>38.06</v>
      </c>
      <c r="J1424">
        <v>5.3735999999999997</v>
      </c>
    </row>
    <row r="1425" spans="2:10" x14ac:dyDescent="0.3">
      <c r="B1425" s="10">
        <f t="shared" si="44"/>
        <v>2020</v>
      </c>
      <c r="C1425" s="10">
        <f t="shared" si="45"/>
        <v>11</v>
      </c>
      <c r="D1425" s="20">
        <v>44158</v>
      </c>
      <c r="E1425">
        <v>426.5</v>
      </c>
      <c r="F1425">
        <v>1191.5</v>
      </c>
      <c r="G1425">
        <v>394.9</v>
      </c>
      <c r="H1425">
        <v>598.75</v>
      </c>
      <c r="I1425">
        <v>38.549999999999997</v>
      </c>
      <c r="J1425">
        <v>5.4390000000000001</v>
      </c>
    </row>
    <row r="1426" spans="2:10" x14ac:dyDescent="0.3">
      <c r="B1426" s="10">
        <f t="shared" si="44"/>
        <v>2020</v>
      </c>
      <c r="C1426" s="10">
        <f t="shared" si="45"/>
        <v>11</v>
      </c>
      <c r="D1426" s="20">
        <v>44155</v>
      </c>
      <c r="E1426">
        <v>423.25</v>
      </c>
      <c r="F1426">
        <v>1181</v>
      </c>
      <c r="G1426">
        <v>394.7</v>
      </c>
      <c r="H1426">
        <v>593.25</v>
      </c>
      <c r="I1426">
        <v>38.659999999999997</v>
      </c>
      <c r="J1426">
        <v>5.3796999999999997</v>
      </c>
    </row>
    <row r="1427" spans="2:10" x14ac:dyDescent="0.3">
      <c r="B1427" s="10">
        <f t="shared" si="44"/>
        <v>2020</v>
      </c>
      <c r="C1427" s="10">
        <f t="shared" si="45"/>
        <v>11</v>
      </c>
      <c r="D1427" s="20">
        <v>44154</v>
      </c>
      <c r="E1427">
        <v>422.5</v>
      </c>
      <c r="F1427">
        <v>1177.5</v>
      </c>
      <c r="G1427">
        <v>393.7</v>
      </c>
      <c r="H1427">
        <v>591.75</v>
      </c>
      <c r="I1427">
        <v>38.81</v>
      </c>
      <c r="J1427">
        <v>5.3053999999999997</v>
      </c>
    </row>
    <row r="1428" spans="2:10" x14ac:dyDescent="0.3">
      <c r="B1428" s="10">
        <f t="shared" si="44"/>
        <v>2020</v>
      </c>
      <c r="C1428" s="10">
        <f t="shared" si="45"/>
        <v>11</v>
      </c>
      <c r="D1428" s="20">
        <v>44153</v>
      </c>
      <c r="E1428">
        <v>425.75</v>
      </c>
      <c r="F1428">
        <v>1175.75</v>
      </c>
      <c r="G1428">
        <v>394.9</v>
      </c>
      <c r="H1428">
        <v>597.75</v>
      </c>
      <c r="I1428">
        <v>38.46</v>
      </c>
      <c r="J1428">
        <v>5.3628999999999998</v>
      </c>
    </row>
    <row r="1429" spans="2:10" x14ac:dyDescent="0.3">
      <c r="B1429" s="10">
        <f t="shared" si="44"/>
        <v>2020</v>
      </c>
      <c r="C1429" s="10">
        <f t="shared" si="45"/>
        <v>11</v>
      </c>
      <c r="D1429" s="20">
        <v>44152</v>
      </c>
      <c r="E1429">
        <v>420.25</v>
      </c>
      <c r="F1429">
        <v>1169.75</v>
      </c>
      <c r="G1429">
        <v>395.8</v>
      </c>
      <c r="H1429">
        <v>595.25</v>
      </c>
      <c r="I1429">
        <v>37.5</v>
      </c>
      <c r="J1429">
        <v>5.3281000000000001</v>
      </c>
    </row>
    <row r="1430" spans="2:10" x14ac:dyDescent="0.3">
      <c r="B1430" s="10">
        <f t="shared" si="44"/>
        <v>2020</v>
      </c>
      <c r="C1430" s="10">
        <f t="shared" si="45"/>
        <v>11</v>
      </c>
      <c r="D1430" s="20">
        <v>44151</v>
      </c>
      <c r="E1430">
        <v>416.25</v>
      </c>
      <c r="F1430">
        <v>1153.5</v>
      </c>
      <c r="G1430">
        <v>389.3</v>
      </c>
      <c r="H1430">
        <v>598</v>
      </c>
      <c r="I1430">
        <v>37.43</v>
      </c>
      <c r="J1430">
        <v>5.4151999999999996</v>
      </c>
    </row>
    <row r="1431" spans="2:10" x14ac:dyDescent="0.3">
      <c r="B1431" s="10">
        <f t="shared" si="44"/>
        <v>2020</v>
      </c>
      <c r="C1431" s="10">
        <f t="shared" si="45"/>
        <v>11</v>
      </c>
      <c r="D1431" s="20">
        <v>44148</v>
      </c>
      <c r="E1431">
        <v>410.5</v>
      </c>
      <c r="F1431">
        <v>1141.5</v>
      </c>
      <c r="G1431">
        <v>388.1</v>
      </c>
      <c r="H1431">
        <v>593.5</v>
      </c>
      <c r="I1431">
        <v>37.130000000000003</v>
      </c>
      <c r="J1431">
        <v>5.4581999999999997</v>
      </c>
    </row>
    <row r="1432" spans="2:10" x14ac:dyDescent="0.3">
      <c r="B1432" s="10">
        <f t="shared" si="44"/>
        <v>2020</v>
      </c>
      <c r="C1432" s="10">
        <f t="shared" si="45"/>
        <v>11</v>
      </c>
      <c r="D1432" s="20">
        <v>44147</v>
      </c>
      <c r="E1432">
        <v>408.25</v>
      </c>
      <c r="F1432">
        <v>1137</v>
      </c>
      <c r="G1432">
        <v>388.1</v>
      </c>
      <c r="H1432">
        <v>588.25</v>
      </c>
      <c r="I1432">
        <v>37.049999999999997</v>
      </c>
      <c r="J1432">
        <v>5.4581</v>
      </c>
    </row>
    <row r="1433" spans="2:10" x14ac:dyDescent="0.3">
      <c r="B1433" s="10">
        <f t="shared" si="44"/>
        <v>2020</v>
      </c>
      <c r="C1433" s="10">
        <f t="shared" si="45"/>
        <v>11</v>
      </c>
      <c r="D1433" s="20">
        <v>44146</v>
      </c>
      <c r="E1433">
        <v>417.25</v>
      </c>
      <c r="F1433">
        <v>1143.25</v>
      </c>
      <c r="G1433">
        <v>392.7</v>
      </c>
      <c r="H1433">
        <v>598</v>
      </c>
      <c r="I1433">
        <v>37.130000000000003</v>
      </c>
      <c r="J1433">
        <v>5.391</v>
      </c>
    </row>
    <row r="1434" spans="2:10" x14ac:dyDescent="0.3">
      <c r="B1434" s="10">
        <f t="shared" si="44"/>
        <v>2020</v>
      </c>
      <c r="C1434" s="10">
        <f t="shared" si="45"/>
        <v>11</v>
      </c>
      <c r="D1434" s="20">
        <v>44145</v>
      </c>
      <c r="E1434">
        <v>423</v>
      </c>
      <c r="F1434">
        <v>1138.25</v>
      </c>
      <c r="G1434">
        <v>394.8</v>
      </c>
      <c r="H1434">
        <v>608.5</v>
      </c>
      <c r="I1434">
        <v>36.06</v>
      </c>
      <c r="J1434">
        <v>5.4146999999999998</v>
      </c>
    </row>
    <row r="1435" spans="2:10" x14ac:dyDescent="0.3">
      <c r="B1435" s="10">
        <f t="shared" si="44"/>
        <v>2020</v>
      </c>
      <c r="C1435" s="10">
        <f t="shared" si="45"/>
        <v>11</v>
      </c>
      <c r="D1435" s="20">
        <v>44144</v>
      </c>
      <c r="E1435">
        <v>407.5</v>
      </c>
      <c r="F1435">
        <v>1105</v>
      </c>
      <c r="G1435">
        <v>384.1</v>
      </c>
      <c r="H1435">
        <v>597.5</v>
      </c>
      <c r="I1435">
        <v>35.479999999999997</v>
      </c>
      <c r="J1435">
        <v>5.3857999999999997</v>
      </c>
    </row>
    <row r="1436" spans="2:10" x14ac:dyDescent="0.3">
      <c r="B1436" s="10">
        <f t="shared" si="44"/>
        <v>2020</v>
      </c>
      <c r="C1436" s="10">
        <f t="shared" si="45"/>
        <v>11</v>
      </c>
      <c r="D1436" s="20">
        <v>44141</v>
      </c>
      <c r="E1436">
        <v>406.75</v>
      </c>
      <c r="F1436">
        <v>1098.5</v>
      </c>
      <c r="G1436">
        <v>382.4</v>
      </c>
      <c r="H1436">
        <v>602</v>
      </c>
      <c r="I1436">
        <v>35.340000000000003</v>
      </c>
      <c r="J1436">
        <v>5.3647</v>
      </c>
    </row>
    <row r="1437" spans="2:10" x14ac:dyDescent="0.3">
      <c r="B1437" s="10">
        <f t="shared" si="44"/>
        <v>2020</v>
      </c>
      <c r="C1437" s="10">
        <f t="shared" si="45"/>
        <v>11</v>
      </c>
      <c r="D1437" s="20">
        <v>44140</v>
      </c>
      <c r="E1437">
        <v>409.25</v>
      </c>
      <c r="F1437">
        <v>1101.75</v>
      </c>
      <c r="G1437">
        <v>387.8</v>
      </c>
      <c r="H1437">
        <v>609.25</v>
      </c>
      <c r="I1437">
        <v>35.47</v>
      </c>
      <c r="J1437">
        <v>5.5250000000000004</v>
      </c>
    </row>
    <row r="1438" spans="2:10" x14ac:dyDescent="0.3">
      <c r="B1438" s="10">
        <f t="shared" si="44"/>
        <v>2020</v>
      </c>
      <c r="C1438" s="10">
        <f t="shared" si="45"/>
        <v>11</v>
      </c>
      <c r="D1438" s="20">
        <v>44139</v>
      </c>
      <c r="E1438">
        <v>405.25</v>
      </c>
      <c r="F1438">
        <v>1079</v>
      </c>
      <c r="G1438">
        <v>385.7</v>
      </c>
      <c r="H1438">
        <v>606</v>
      </c>
      <c r="I1438">
        <v>34.39</v>
      </c>
      <c r="J1438">
        <v>5.6635</v>
      </c>
    </row>
    <row r="1439" spans="2:10" x14ac:dyDescent="0.3">
      <c r="B1439" s="10">
        <f t="shared" si="44"/>
        <v>2020</v>
      </c>
      <c r="C1439" s="10">
        <f t="shared" si="45"/>
        <v>11</v>
      </c>
      <c r="D1439" s="20">
        <v>44138</v>
      </c>
      <c r="E1439">
        <v>401</v>
      </c>
      <c r="F1439">
        <v>1059</v>
      </c>
      <c r="G1439">
        <v>377.2</v>
      </c>
      <c r="H1439">
        <v>608</v>
      </c>
      <c r="I1439">
        <v>33.78</v>
      </c>
      <c r="J1439">
        <v>5.7560000000000002</v>
      </c>
    </row>
    <row r="1440" spans="2:10" x14ac:dyDescent="0.3">
      <c r="B1440" s="10">
        <f t="shared" si="44"/>
        <v>2020</v>
      </c>
      <c r="C1440" s="10">
        <f t="shared" si="45"/>
        <v>11</v>
      </c>
      <c r="D1440" s="20">
        <v>44137</v>
      </c>
      <c r="E1440">
        <v>397.5</v>
      </c>
      <c r="F1440">
        <v>1050.75</v>
      </c>
      <c r="G1440">
        <v>375.1</v>
      </c>
      <c r="H1440">
        <v>607.5</v>
      </c>
      <c r="I1440">
        <v>33.19</v>
      </c>
      <c r="J1440">
        <v>5.7424999999999997</v>
      </c>
    </row>
    <row r="1441" spans="2:10" x14ac:dyDescent="0.3">
      <c r="B1441" s="10">
        <f t="shared" si="44"/>
        <v>2020</v>
      </c>
      <c r="C1441" s="10">
        <f t="shared" si="45"/>
        <v>10</v>
      </c>
      <c r="D1441" s="20">
        <v>44134</v>
      </c>
      <c r="E1441">
        <v>398.5</v>
      </c>
      <c r="F1441">
        <v>1056.5</v>
      </c>
      <c r="G1441">
        <v>378.6</v>
      </c>
      <c r="H1441">
        <v>598.5</v>
      </c>
      <c r="I1441">
        <v>33.61</v>
      </c>
      <c r="J1441">
        <v>5.7446000000000002</v>
      </c>
    </row>
    <row r="1442" spans="2:10" x14ac:dyDescent="0.3">
      <c r="B1442" s="10">
        <f t="shared" si="44"/>
        <v>2020</v>
      </c>
      <c r="C1442" s="10">
        <f t="shared" si="45"/>
        <v>10</v>
      </c>
      <c r="D1442" s="20">
        <v>44133</v>
      </c>
      <c r="E1442">
        <v>398.5</v>
      </c>
      <c r="F1442">
        <v>1051.75</v>
      </c>
      <c r="G1442">
        <v>376.9</v>
      </c>
      <c r="H1442">
        <v>603.75</v>
      </c>
      <c r="I1442">
        <v>33.06</v>
      </c>
      <c r="J1442">
        <v>5.7789999999999999</v>
      </c>
    </row>
    <row r="1443" spans="2:10" x14ac:dyDescent="0.3">
      <c r="B1443" s="10">
        <f t="shared" si="44"/>
        <v>2020</v>
      </c>
      <c r="C1443" s="10">
        <f t="shared" si="45"/>
        <v>10</v>
      </c>
      <c r="D1443" s="20">
        <v>44132</v>
      </c>
      <c r="E1443">
        <v>401.5</v>
      </c>
      <c r="F1443">
        <v>1057.25</v>
      </c>
      <c r="G1443">
        <v>376.7</v>
      </c>
      <c r="H1443">
        <v>608.75</v>
      </c>
      <c r="I1443">
        <v>33.42</v>
      </c>
      <c r="J1443">
        <v>5.7457000000000003</v>
      </c>
    </row>
    <row r="1444" spans="2:10" x14ac:dyDescent="0.3">
      <c r="B1444" s="10">
        <f t="shared" si="44"/>
        <v>2020</v>
      </c>
      <c r="C1444" s="10">
        <f t="shared" si="45"/>
        <v>10</v>
      </c>
      <c r="D1444" s="20">
        <v>44131</v>
      </c>
      <c r="E1444">
        <v>416</v>
      </c>
      <c r="F1444">
        <v>1082.25</v>
      </c>
      <c r="G1444">
        <v>384</v>
      </c>
      <c r="H1444">
        <v>615.75</v>
      </c>
      <c r="I1444">
        <v>34.11</v>
      </c>
      <c r="J1444">
        <v>5.7054999999999998</v>
      </c>
    </row>
    <row r="1445" spans="2:10" x14ac:dyDescent="0.3">
      <c r="B1445" s="10">
        <f t="shared" si="44"/>
        <v>2020</v>
      </c>
      <c r="C1445" s="10">
        <f t="shared" si="45"/>
        <v>10</v>
      </c>
      <c r="D1445" s="20">
        <v>44130</v>
      </c>
      <c r="E1445">
        <v>417.75</v>
      </c>
      <c r="F1445">
        <v>1087.75</v>
      </c>
      <c r="G1445">
        <v>389.6</v>
      </c>
      <c r="H1445">
        <v>620</v>
      </c>
      <c r="I1445">
        <v>34.46</v>
      </c>
      <c r="J1445">
        <v>5.6228999999999996</v>
      </c>
    </row>
    <row r="1446" spans="2:10" x14ac:dyDescent="0.3">
      <c r="B1446" s="10">
        <f t="shared" si="44"/>
        <v>2020</v>
      </c>
      <c r="C1446" s="10">
        <f t="shared" si="45"/>
        <v>10</v>
      </c>
      <c r="D1446" s="20">
        <v>44127</v>
      </c>
      <c r="E1446">
        <v>419.25</v>
      </c>
      <c r="F1446">
        <v>1083.75</v>
      </c>
      <c r="G1446">
        <v>386.4</v>
      </c>
      <c r="H1446">
        <v>632.75</v>
      </c>
      <c r="I1446">
        <v>34.11</v>
      </c>
      <c r="J1446">
        <v>5.6174999999999997</v>
      </c>
    </row>
    <row r="1447" spans="2:10" x14ac:dyDescent="0.3">
      <c r="B1447" s="10">
        <f t="shared" si="44"/>
        <v>2020</v>
      </c>
      <c r="C1447" s="10">
        <f t="shared" si="45"/>
        <v>10</v>
      </c>
      <c r="D1447" s="20">
        <v>44126</v>
      </c>
      <c r="E1447">
        <v>416.25</v>
      </c>
      <c r="F1447">
        <v>1073.75</v>
      </c>
      <c r="G1447">
        <v>382.4</v>
      </c>
      <c r="H1447">
        <v>622.75</v>
      </c>
      <c r="I1447">
        <v>33.69</v>
      </c>
      <c r="J1447">
        <v>5.5892999999999997</v>
      </c>
    </row>
    <row r="1448" spans="2:10" x14ac:dyDescent="0.3">
      <c r="B1448" s="10">
        <f t="shared" si="44"/>
        <v>2020</v>
      </c>
      <c r="C1448" s="10">
        <f t="shared" si="45"/>
        <v>10</v>
      </c>
      <c r="D1448" s="20">
        <v>44125</v>
      </c>
      <c r="E1448">
        <v>413.75</v>
      </c>
      <c r="F1448">
        <v>1072</v>
      </c>
      <c r="G1448">
        <v>378.8</v>
      </c>
      <c r="H1448">
        <v>629.75</v>
      </c>
      <c r="I1448">
        <v>33.200000000000003</v>
      </c>
      <c r="J1448">
        <v>5.6066000000000003</v>
      </c>
    </row>
    <row r="1449" spans="2:10" x14ac:dyDescent="0.3">
      <c r="B1449" s="10">
        <f t="shared" si="44"/>
        <v>2020</v>
      </c>
      <c r="C1449" s="10">
        <f t="shared" si="45"/>
        <v>10</v>
      </c>
      <c r="D1449" s="20">
        <v>44124</v>
      </c>
      <c r="E1449">
        <v>408.75</v>
      </c>
      <c r="F1449">
        <v>1064</v>
      </c>
      <c r="G1449">
        <v>371.9</v>
      </c>
      <c r="H1449">
        <v>632</v>
      </c>
      <c r="I1449">
        <v>33.31</v>
      </c>
      <c r="J1449">
        <v>5.6054000000000004</v>
      </c>
    </row>
    <row r="1450" spans="2:10" x14ac:dyDescent="0.3">
      <c r="B1450" s="10">
        <f t="shared" si="44"/>
        <v>2020</v>
      </c>
      <c r="C1450" s="10">
        <f t="shared" si="45"/>
        <v>10</v>
      </c>
      <c r="D1450" s="20">
        <v>44123</v>
      </c>
      <c r="E1450">
        <v>405.25</v>
      </c>
      <c r="F1450">
        <v>1054.25</v>
      </c>
      <c r="G1450">
        <v>373.2</v>
      </c>
      <c r="H1450">
        <v>627</v>
      </c>
      <c r="I1450">
        <v>32.53</v>
      </c>
      <c r="J1450">
        <v>5.6069000000000004</v>
      </c>
    </row>
    <row r="1451" spans="2:10" x14ac:dyDescent="0.3">
      <c r="B1451" s="10">
        <f t="shared" si="44"/>
        <v>2020</v>
      </c>
      <c r="C1451" s="10">
        <f t="shared" si="45"/>
        <v>10</v>
      </c>
      <c r="D1451" s="20">
        <v>44120</v>
      </c>
      <c r="E1451">
        <v>402</v>
      </c>
      <c r="F1451">
        <v>1050</v>
      </c>
      <c r="G1451">
        <v>367.5</v>
      </c>
      <c r="H1451">
        <v>625.25</v>
      </c>
      <c r="I1451">
        <v>32.99</v>
      </c>
      <c r="J1451">
        <v>5.6428000000000003</v>
      </c>
    </row>
    <row r="1452" spans="2:10" x14ac:dyDescent="0.3">
      <c r="B1452" s="10">
        <f t="shared" si="44"/>
        <v>2020</v>
      </c>
      <c r="C1452" s="10">
        <f t="shared" si="45"/>
        <v>10</v>
      </c>
      <c r="D1452" s="20">
        <v>44119</v>
      </c>
      <c r="E1452">
        <v>403.75</v>
      </c>
      <c r="F1452">
        <v>1062.25</v>
      </c>
      <c r="G1452">
        <v>372.1</v>
      </c>
      <c r="H1452">
        <v>618.25</v>
      </c>
      <c r="I1452">
        <v>33.17</v>
      </c>
      <c r="J1452">
        <v>5.6125999999999996</v>
      </c>
    </row>
    <row r="1453" spans="2:10" x14ac:dyDescent="0.3">
      <c r="B1453" s="10">
        <f t="shared" si="44"/>
        <v>2020</v>
      </c>
      <c r="C1453" s="10">
        <f t="shared" si="45"/>
        <v>10</v>
      </c>
      <c r="D1453" s="20">
        <v>44118</v>
      </c>
      <c r="E1453">
        <v>396.5</v>
      </c>
      <c r="F1453">
        <v>1056.25</v>
      </c>
      <c r="G1453">
        <v>358.4</v>
      </c>
      <c r="H1453">
        <v>596.75</v>
      </c>
      <c r="I1453">
        <v>33.72</v>
      </c>
      <c r="J1453">
        <v>5.5911999999999997</v>
      </c>
    </row>
    <row r="1454" spans="2:10" x14ac:dyDescent="0.3">
      <c r="B1454" s="10">
        <f t="shared" si="44"/>
        <v>2020</v>
      </c>
      <c r="C1454" s="10">
        <f t="shared" si="45"/>
        <v>10</v>
      </c>
      <c r="D1454" s="20">
        <v>44117</v>
      </c>
      <c r="E1454">
        <v>391.25</v>
      </c>
      <c r="F1454">
        <v>1044</v>
      </c>
      <c r="G1454">
        <v>358.5</v>
      </c>
      <c r="H1454">
        <v>594</v>
      </c>
      <c r="I1454">
        <v>33.72</v>
      </c>
      <c r="J1454">
        <v>5.5693000000000001</v>
      </c>
    </row>
    <row r="1455" spans="2:10" x14ac:dyDescent="0.3">
      <c r="B1455" s="10">
        <f t="shared" si="44"/>
        <v>2020</v>
      </c>
      <c r="C1455" s="10">
        <f t="shared" si="45"/>
        <v>10</v>
      </c>
      <c r="D1455" s="20">
        <v>44116</v>
      </c>
      <c r="E1455">
        <v>389</v>
      </c>
      <c r="F1455">
        <v>1033.75</v>
      </c>
      <c r="G1455">
        <v>356.7</v>
      </c>
      <c r="H1455">
        <v>594.25</v>
      </c>
      <c r="I1455">
        <v>33.14</v>
      </c>
      <c r="J1455">
        <v>5.5316000000000001</v>
      </c>
    </row>
    <row r="1456" spans="2:10" x14ac:dyDescent="0.3">
      <c r="B1456" s="10">
        <f t="shared" si="44"/>
        <v>2020</v>
      </c>
      <c r="C1456" s="10">
        <f t="shared" si="45"/>
        <v>10</v>
      </c>
      <c r="D1456" s="20">
        <v>44113</v>
      </c>
      <c r="E1456">
        <v>395</v>
      </c>
      <c r="F1456">
        <v>1065.5</v>
      </c>
      <c r="G1456">
        <v>363.1</v>
      </c>
      <c r="H1456">
        <v>593.75</v>
      </c>
      <c r="I1456">
        <v>34.15</v>
      </c>
      <c r="J1456">
        <v>5.5317999999999996</v>
      </c>
    </row>
    <row r="1457" spans="2:10" x14ac:dyDescent="0.3">
      <c r="B1457" s="10">
        <f t="shared" si="44"/>
        <v>2020</v>
      </c>
      <c r="C1457" s="10">
        <f t="shared" si="45"/>
        <v>10</v>
      </c>
      <c r="D1457" s="20">
        <v>44112</v>
      </c>
      <c r="E1457">
        <v>387</v>
      </c>
      <c r="F1457">
        <v>1050</v>
      </c>
      <c r="G1457">
        <v>359.2</v>
      </c>
      <c r="H1457">
        <v>595.25</v>
      </c>
      <c r="I1457">
        <v>33.24</v>
      </c>
      <c r="J1457">
        <v>5.5987</v>
      </c>
    </row>
    <row r="1458" spans="2:10" x14ac:dyDescent="0.3">
      <c r="B1458" s="10">
        <f t="shared" si="44"/>
        <v>2020</v>
      </c>
      <c r="C1458" s="10">
        <f t="shared" si="45"/>
        <v>10</v>
      </c>
      <c r="D1458" s="20">
        <v>44111</v>
      </c>
      <c r="E1458">
        <v>388.75</v>
      </c>
      <c r="F1458">
        <v>1051</v>
      </c>
      <c r="G1458">
        <v>361</v>
      </c>
      <c r="H1458">
        <v>607.5</v>
      </c>
      <c r="I1458">
        <v>33.31</v>
      </c>
      <c r="J1458">
        <v>5.6097000000000001</v>
      </c>
    </row>
    <row r="1459" spans="2:10" x14ac:dyDescent="0.3">
      <c r="B1459" s="10">
        <f t="shared" si="44"/>
        <v>2020</v>
      </c>
      <c r="C1459" s="10">
        <f t="shared" si="45"/>
        <v>10</v>
      </c>
      <c r="D1459" s="20">
        <v>44110</v>
      </c>
      <c r="E1459">
        <v>385</v>
      </c>
      <c r="F1459">
        <v>1044</v>
      </c>
      <c r="G1459">
        <v>354.3</v>
      </c>
      <c r="H1459">
        <v>592.75</v>
      </c>
      <c r="I1459">
        <v>33.29</v>
      </c>
      <c r="J1459">
        <v>5.593</v>
      </c>
    </row>
    <row r="1460" spans="2:10" x14ac:dyDescent="0.3">
      <c r="B1460" s="10">
        <f t="shared" si="44"/>
        <v>2020</v>
      </c>
      <c r="C1460" s="10">
        <f t="shared" si="45"/>
        <v>10</v>
      </c>
      <c r="D1460" s="20">
        <v>44109</v>
      </c>
      <c r="E1460">
        <v>379.5</v>
      </c>
      <c r="F1460">
        <v>1021.5</v>
      </c>
      <c r="G1460">
        <v>343.6</v>
      </c>
      <c r="H1460">
        <v>584.25</v>
      </c>
      <c r="I1460">
        <v>32.81</v>
      </c>
      <c r="J1460">
        <v>5.5743</v>
      </c>
    </row>
    <row r="1461" spans="2:10" x14ac:dyDescent="0.3">
      <c r="B1461" s="10">
        <f t="shared" si="44"/>
        <v>2020</v>
      </c>
      <c r="C1461" s="10">
        <f t="shared" si="45"/>
        <v>10</v>
      </c>
      <c r="D1461" s="20">
        <v>44106</v>
      </c>
      <c r="E1461">
        <v>379.75</v>
      </c>
      <c r="F1461">
        <v>1020.75</v>
      </c>
      <c r="G1461">
        <v>349.4</v>
      </c>
      <c r="H1461">
        <v>573.25</v>
      </c>
      <c r="I1461">
        <v>31.94</v>
      </c>
      <c r="J1461">
        <v>5.6851000000000003</v>
      </c>
    </row>
    <row r="1462" spans="2:10" x14ac:dyDescent="0.3">
      <c r="B1462" s="10">
        <f t="shared" si="44"/>
        <v>2020</v>
      </c>
      <c r="C1462" s="10">
        <f t="shared" si="45"/>
        <v>10</v>
      </c>
      <c r="D1462" s="20">
        <v>44105</v>
      </c>
      <c r="E1462">
        <v>382.75</v>
      </c>
      <c r="F1462">
        <v>1023.5</v>
      </c>
      <c r="G1462">
        <v>345</v>
      </c>
      <c r="H1462">
        <v>570.25</v>
      </c>
      <c r="I1462">
        <v>32.65</v>
      </c>
      <c r="J1462">
        <v>5.6436999999999999</v>
      </c>
    </row>
    <row r="1463" spans="2:10" x14ac:dyDescent="0.3">
      <c r="B1463" s="10">
        <f t="shared" si="44"/>
        <v>2020</v>
      </c>
      <c r="C1463" s="10">
        <f t="shared" si="45"/>
        <v>9</v>
      </c>
      <c r="D1463" s="20">
        <v>44104</v>
      </c>
      <c r="E1463">
        <v>379</v>
      </c>
      <c r="F1463">
        <v>1023.5</v>
      </c>
      <c r="G1463">
        <v>339.7</v>
      </c>
      <c r="H1463">
        <v>578</v>
      </c>
      <c r="I1463">
        <v>33.369999999999997</v>
      </c>
      <c r="J1463">
        <v>5.6112000000000002</v>
      </c>
    </row>
    <row r="1464" spans="2:10" x14ac:dyDescent="0.3">
      <c r="B1464" s="10">
        <f t="shared" si="44"/>
        <v>2020</v>
      </c>
      <c r="C1464" s="10">
        <f t="shared" si="45"/>
        <v>9</v>
      </c>
      <c r="D1464" s="20">
        <v>44103</v>
      </c>
      <c r="E1464">
        <v>364.75</v>
      </c>
      <c r="F1464">
        <v>993</v>
      </c>
      <c r="G1464">
        <v>327.3</v>
      </c>
      <c r="H1464">
        <v>549.5</v>
      </c>
      <c r="I1464">
        <v>32.869999999999997</v>
      </c>
      <c r="J1464">
        <v>5.6344000000000003</v>
      </c>
    </row>
    <row r="1465" spans="2:10" x14ac:dyDescent="0.3">
      <c r="B1465" s="10">
        <f t="shared" si="44"/>
        <v>2020</v>
      </c>
      <c r="C1465" s="10">
        <f t="shared" si="45"/>
        <v>9</v>
      </c>
      <c r="D1465" s="20">
        <v>44102</v>
      </c>
      <c r="E1465">
        <v>366.75</v>
      </c>
      <c r="F1465">
        <v>996.25</v>
      </c>
      <c r="G1465">
        <v>332.6</v>
      </c>
      <c r="H1465">
        <v>550.25</v>
      </c>
      <c r="I1465">
        <v>33.29</v>
      </c>
      <c r="J1465">
        <v>5.6627000000000001</v>
      </c>
    </row>
    <row r="1466" spans="2:10" x14ac:dyDescent="0.3">
      <c r="B1466" s="10">
        <f t="shared" si="44"/>
        <v>2020</v>
      </c>
      <c r="C1466" s="10">
        <f t="shared" si="45"/>
        <v>9</v>
      </c>
      <c r="D1466" s="20">
        <v>44099</v>
      </c>
      <c r="E1466">
        <v>365.25</v>
      </c>
      <c r="F1466">
        <v>1002.5</v>
      </c>
      <c r="G1466">
        <v>336.9</v>
      </c>
      <c r="H1466">
        <v>544.25</v>
      </c>
      <c r="I1466">
        <v>32.840000000000003</v>
      </c>
      <c r="J1466">
        <v>5.5624000000000002</v>
      </c>
    </row>
    <row r="1467" spans="2:10" x14ac:dyDescent="0.3">
      <c r="B1467" s="10">
        <f t="shared" si="44"/>
        <v>2020</v>
      </c>
      <c r="C1467" s="10">
        <f t="shared" si="45"/>
        <v>9</v>
      </c>
      <c r="D1467" s="20">
        <v>44098</v>
      </c>
      <c r="E1467">
        <v>363.5</v>
      </c>
      <c r="F1467">
        <v>1000</v>
      </c>
      <c r="G1467">
        <v>333.8</v>
      </c>
      <c r="H1467">
        <v>549.75</v>
      </c>
      <c r="I1467">
        <v>32.36</v>
      </c>
      <c r="J1467">
        <v>5.5088999999999997</v>
      </c>
    </row>
    <row r="1468" spans="2:10" x14ac:dyDescent="0.3">
      <c r="B1468" s="10">
        <f t="shared" si="44"/>
        <v>2020</v>
      </c>
      <c r="C1468" s="10">
        <f t="shared" si="45"/>
        <v>9</v>
      </c>
      <c r="D1468" s="20">
        <v>44097</v>
      </c>
      <c r="E1468">
        <v>368.5</v>
      </c>
      <c r="F1468">
        <v>1014.5</v>
      </c>
      <c r="G1468">
        <v>342.1</v>
      </c>
      <c r="H1468">
        <v>549</v>
      </c>
      <c r="I1468">
        <v>32.69</v>
      </c>
      <c r="J1468">
        <v>5.5942999999999996</v>
      </c>
    </row>
    <row r="1469" spans="2:10" x14ac:dyDescent="0.3">
      <c r="B1469" s="10">
        <f t="shared" si="44"/>
        <v>2020</v>
      </c>
      <c r="C1469" s="10">
        <f t="shared" si="45"/>
        <v>9</v>
      </c>
      <c r="D1469" s="20">
        <v>44096</v>
      </c>
      <c r="E1469">
        <v>369.25</v>
      </c>
      <c r="F1469">
        <v>1019.75</v>
      </c>
      <c r="G1469">
        <v>337.3</v>
      </c>
      <c r="H1469">
        <v>558</v>
      </c>
      <c r="I1469">
        <v>33.67</v>
      </c>
      <c r="J1469">
        <v>5.4703999999999997</v>
      </c>
    </row>
    <row r="1470" spans="2:10" x14ac:dyDescent="0.3">
      <c r="B1470" s="10">
        <f t="shared" si="44"/>
        <v>2020</v>
      </c>
      <c r="C1470" s="10">
        <f t="shared" si="45"/>
        <v>9</v>
      </c>
      <c r="D1470" s="20">
        <v>44095</v>
      </c>
      <c r="E1470">
        <v>369.75</v>
      </c>
      <c r="F1470">
        <v>1022.5</v>
      </c>
      <c r="G1470">
        <v>333.4</v>
      </c>
      <c r="H1470">
        <v>554.75</v>
      </c>
      <c r="I1470">
        <v>34.270000000000003</v>
      </c>
      <c r="J1470">
        <v>5.4131</v>
      </c>
    </row>
    <row r="1471" spans="2:10" x14ac:dyDescent="0.3">
      <c r="B1471" s="10">
        <f t="shared" si="44"/>
        <v>2020</v>
      </c>
      <c r="C1471" s="10">
        <f t="shared" si="45"/>
        <v>9</v>
      </c>
      <c r="D1471" s="20">
        <v>44092</v>
      </c>
      <c r="E1471">
        <v>378.5</v>
      </c>
      <c r="F1471">
        <v>1043.5</v>
      </c>
      <c r="G1471">
        <v>337.4</v>
      </c>
      <c r="H1471">
        <v>575</v>
      </c>
      <c r="I1471">
        <v>35.229999999999997</v>
      </c>
      <c r="J1471">
        <v>5.3875999999999999</v>
      </c>
    </row>
    <row r="1472" spans="2:10" x14ac:dyDescent="0.3">
      <c r="B1472" s="10">
        <f t="shared" si="44"/>
        <v>2020</v>
      </c>
      <c r="C1472" s="10">
        <f t="shared" si="45"/>
        <v>9</v>
      </c>
      <c r="D1472" s="20">
        <v>44091</v>
      </c>
      <c r="E1472">
        <v>375.25</v>
      </c>
      <c r="F1472">
        <v>1028.5</v>
      </c>
      <c r="G1472">
        <v>330.4</v>
      </c>
      <c r="H1472">
        <v>556.25</v>
      </c>
      <c r="I1472">
        <v>34.909999999999997</v>
      </c>
      <c r="J1472">
        <v>5.2393999999999998</v>
      </c>
    </row>
    <row r="1473" spans="2:10" x14ac:dyDescent="0.3">
      <c r="B1473" s="10">
        <f t="shared" si="44"/>
        <v>2020</v>
      </c>
      <c r="C1473" s="10">
        <f t="shared" si="45"/>
        <v>9</v>
      </c>
      <c r="D1473" s="20">
        <v>44090</v>
      </c>
      <c r="E1473">
        <v>371.75</v>
      </c>
      <c r="F1473">
        <v>1011.25</v>
      </c>
      <c r="G1473">
        <v>320.8</v>
      </c>
      <c r="H1473">
        <v>542</v>
      </c>
      <c r="I1473">
        <v>34.94</v>
      </c>
      <c r="J1473">
        <v>5.2377000000000002</v>
      </c>
    </row>
    <row r="1474" spans="2:10" x14ac:dyDescent="0.3">
      <c r="B1474" s="10">
        <f t="shared" si="44"/>
        <v>2020</v>
      </c>
      <c r="C1474" s="10">
        <f t="shared" si="45"/>
        <v>9</v>
      </c>
      <c r="D1474" s="20">
        <v>44089</v>
      </c>
      <c r="E1474">
        <v>366</v>
      </c>
      <c r="F1474">
        <v>991.5</v>
      </c>
      <c r="G1474">
        <v>314.3</v>
      </c>
      <c r="H1474">
        <v>538.25</v>
      </c>
      <c r="I1474">
        <v>34.08</v>
      </c>
      <c r="J1474">
        <v>5.2747999999999999</v>
      </c>
    </row>
    <row r="1475" spans="2:10" x14ac:dyDescent="0.3">
      <c r="B1475" s="10">
        <f t="shared" si="44"/>
        <v>2020</v>
      </c>
      <c r="C1475" s="10">
        <f t="shared" si="45"/>
        <v>9</v>
      </c>
      <c r="D1475" s="20">
        <v>44088</v>
      </c>
      <c r="E1475">
        <v>357.5</v>
      </c>
      <c r="F1475">
        <v>1019.25</v>
      </c>
      <c r="G1475">
        <v>316.2</v>
      </c>
      <c r="H1475">
        <v>548.5</v>
      </c>
      <c r="I1475">
        <v>34.28</v>
      </c>
      <c r="J1475">
        <v>5.2706</v>
      </c>
    </row>
    <row r="1476" spans="2:10" x14ac:dyDescent="0.3">
      <c r="B1476" s="10">
        <f t="shared" si="44"/>
        <v>2020</v>
      </c>
      <c r="C1476" s="10">
        <f t="shared" si="45"/>
        <v>9</v>
      </c>
      <c r="D1476" s="20">
        <v>44085</v>
      </c>
      <c r="E1476">
        <v>365</v>
      </c>
      <c r="F1476">
        <v>1005.5</v>
      </c>
      <c r="G1476">
        <v>318.39999999999998</v>
      </c>
      <c r="H1476">
        <v>533.75</v>
      </c>
      <c r="I1476">
        <v>33.74</v>
      </c>
      <c r="J1476">
        <v>5.3189000000000002</v>
      </c>
    </row>
    <row r="1477" spans="2:10" x14ac:dyDescent="0.3">
      <c r="B1477" s="10">
        <f t="shared" si="44"/>
        <v>2020</v>
      </c>
      <c r="C1477" s="10">
        <f t="shared" si="45"/>
        <v>9</v>
      </c>
      <c r="D1477" s="20">
        <v>44084</v>
      </c>
      <c r="E1477">
        <v>357.25</v>
      </c>
      <c r="F1477">
        <v>985</v>
      </c>
      <c r="G1477">
        <v>311.10000000000002</v>
      </c>
      <c r="H1477">
        <v>540</v>
      </c>
      <c r="I1477">
        <v>33.130000000000003</v>
      </c>
      <c r="J1477">
        <v>5.3209999999999997</v>
      </c>
    </row>
    <row r="1478" spans="2:10" x14ac:dyDescent="0.3">
      <c r="B1478" s="10">
        <f t="shared" ref="B1478:B1541" si="46">YEAR(D1478)</f>
        <v>2020</v>
      </c>
      <c r="C1478" s="10">
        <f t="shared" ref="C1478:C1541" si="47">MONTH(D1478)</f>
        <v>9</v>
      </c>
      <c r="D1478" s="20">
        <v>44083</v>
      </c>
      <c r="E1478">
        <v>350</v>
      </c>
      <c r="F1478">
        <v>979.75</v>
      </c>
      <c r="G1478">
        <v>310.89999999999998</v>
      </c>
      <c r="H1478">
        <v>534</v>
      </c>
      <c r="I1478">
        <v>33.21</v>
      </c>
      <c r="J1478">
        <v>5.3078000000000003</v>
      </c>
    </row>
    <row r="1479" spans="2:10" x14ac:dyDescent="0.3">
      <c r="B1479" s="10">
        <f t="shared" si="46"/>
        <v>2020</v>
      </c>
      <c r="C1479" s="10">
        <f t="shared" si="47"/>
        <v>9</v>
      </c>
      <c r="D1479" s="20">
        <v>44082</v>
      </c>
      <c r="E1479">
        <v>351</v>
      </c>
      <c r="F1479">
        <v>973</v>
      </c>
      <c r="G1479">
        <v>307.2</v>
      </c>
      <c r="H1479">
        <v>533.25</v>
      </c>
      <c r="I1479">
        <v>33.57</v>
      </c>
      <c r="J1479">
        <v>5.3638000000000003</v>
      </c>
    </row>
    <row r="1480" spans="2:10" x14ac:dyDescent="0.3">
      <c r="B1480" s="10">
        <f t="shared" si="46"/>
        <v>2020</v>
      </c>
      <c r="C1480" s="10">
        <f t="shared" si="47"/>
        <v>9</v>
      </c>
      <c r="D1480" s="20">
        <v>44081</v>
      </c>
      <c r="J1480">
        <v>5.2995000000000001</v>
      </c>
    </row>
    <row r="1481" spans="2:10" x14ac:dyDescent="0.3">
      <c r="B1481" s="10">
        <f t="shared" si="46"/>
        <v>2020</v>
      </c>
      <c r="C1481" s="10">
        <f t="shared" si="47"/>
        <v>9</v>
      </c>
      <c r="D1481" s="20">
        <v>44078</v>
      </c>
      <c r="E1481">
        <v>347.25</v>
      </c>
      <c r="F1481">
        <v>969.5</v>
      </c>
      <c r="G1481">
        <v>309.8</v>
      </c>
      <c r="H1481">
        <v>539.75</v>
      </c>
      <c r="I1481">
        <v>33.08</v>
      </c>
      <c r="J1481">
        <v>5.3011999999999997</v>
      </c>
    </row>
    <row r="1482" spans="2:10" x14ac:dyDescent="0.3">
      <c r="B1482" s="10">
        <f t="shared" si="46"/>
        <v>2020</v>
      </c>
      <c r="C1482" s="10">
        <f t="shared" si="47"/>
        <v>9</v>
      </c>
      <c r="D1482" s="20">
        <v>44077</v>
      </c>
      <c r="E1482">
        <v>344.5</v>
      </c>
      <c r="F1482">
        <v>968.75</v>
      </c>
      <c r="G1482">
        <v>305.2</v>
      </c>
      <c r="H1482">
        <v>543.25</v>
      </c>
      <c r="I1482">
        <v>33.47</v>
      </c>
      <c r="J1482">
        <v>5.2914000000000003</v>
      </c>
    </row>
    <row r="1483" spans="2:10" x14ac:dyDescent="0.3">
      <c r="B1483" s="10">
        <f t="shared" si="46"/>
        <v>2020</v>
      </c>
      <c r="C1483" s="10">
        <f t="shared" si="47"/>
        <v>9</v>
      </c>
      <c r="D1483" s="20">
        <v>44076</v>
      </c>
      <c r="E1483">
        <v>349.75</v>
      </c>
      <c r="F1483">
        <v>962.5</v>
      </c>
      <c r="G1483">
        <v>302.3</v>
      </c>
      <c r="H1483">
        <v>547.75</v>
      </c>
      <c r="I1483">
        <v>33.67</v>
      </c>
      <c r="J1483">
        <v>5.3403</v>
      </c>
    </row>
    <row r="1484" spans="2:10" x14ac:dyDescent="0.3">
      <c r="B1484" s="10">
        <f t="shared" si="46"/>
        <v>2020</v>
      </c>
      <c r="C1484" s="10">
        <f t="shared" si="47"/>
        <v>9</v>
      </c>
      <c r="D1484" s="20">
        <v>44075</v>
      </c>
      <c r="E1484">
        <v>349.5</v>
      </c>
      <c r="F1484">
        <v>955</v>
      </c>
      <c r="G1484">
        <v>302.8</v>
      </c>
      <c r="H1484">
        <v>555.75</v>
      </c>
      <c r="I1484">
        <v>33.119999999999997</v>
      </c>
      <c r="J1484">
        <v>5.3959999999999999</v>
      </c>
    </row>
    <row r="1485" spans="2:10" x14ac:dyDescent="0.3">
      <c r="B1485" s="10">
        <f t="shared" si="46"/>
        <v>2020</v>
      </c>
      <c r="C1485" s="10">
        <f t="shared" si="47"/>
        <v>8</v>
      </c>
      <c r="D1485" s="20">
        <v>44074</v>
      </c>
      <c r="E1485">
        <v>348.5</v>
      </c>
      <c r="F1485">
        <v>951.25</v>
      </c>
      <c r="G1485">
        <v>304.60000000000002</v>
      </c>
      <c r="H1485">
        <v>544.25</v>
      </c>
      <c r="I1485">
        <v>32.96</v>
      </c>
      <c r="J1485">
        <v>5.4913999999999996</v>
      </c>
    </row>
    <row r="1486" spans="2:10" x14ac:dyDescent="0.3">
      <c r="B1486" s="10">
        <f t="shared" si="46"/>
        <v>2020</v>
      </c>
      <c r="C1486" s="10">
        <f t="shared" si="47"/>
        <v>8</v>
      </c>
      <c r="D1486" s="20">
        <v>44071</v>
      </c>
      <c r="E1486">
        <v>346</v>
      </c>
      <c r="F1486">
        <v>950.5</v>
      </c>
      <c r="G1486">
        <v>301.60000000000002</v>
      </c>
      <c r="H1486">
        <v>539.25</v>
      </c>
      <c r="I1486">
        <v>33.39</v>
      </c>
      <c r="J1486">
        <v>5.3880999999999997</v>
      </c>
    </row>
    <row r="1487" spans="2:10" x14ac:dyDescent="0.3">
      <c r="B1487" s="10">
        <f t="shared" si="46"/>
        <v>2020</v>
      </c>
      <c r="C1487" s="10">
        <f t="shared" si="47"/>
        <v>8</v>
      </c>
      <c r="D1487" s="20">
        <v>44070</v>
      </c>
      <c r="E1487">
        <v>344.25</v>
      </c>
      <c r="F1487">
        <v>937.25</v>
      </c>
      <c r="G1487">
        <v>294.89999999999998</v>
      </c>
      <c r="H1487">
        <v>542.5</v>
      </c>
      <c r="I1487">
        <v>33.31</v>
      </c>
      <c r="J1487">
        <v>5.5690999999999997</v>
      </c>
    </row>
    <row r="1488" spans="2:10" x14ac:dyDescent="0.3">
      <c r="B1488" s="10">
        <f t="shared" si="46"/>
        <v>2020</v>
      </c>
      <c r="C1488" s="10">
        <f t="shared" si="47"/>
        <v>8</v>
      </c>
      <c r="D1488" s="20">
        <v>44069</v>
      </c>
      <c r="E1488">
        <v>340.5</v>
      </c>
      <c r="F1488">
        <v>919.5</v>
      </c>
      <c r="G1488">
        <v>291.5</v>
      </c>
      <c r="H1488">
        <v>532</v>
      </c>
      <c r="I1488">
        <v>32.24</v>
      </c>
      <c r="J1488">
        <v>5.6054000000000004</v>
      </c>
    </row>
    <row r="1489" spans="2:10" x14ac:dyDescent="0.3">
      <c r="B1489" s="10">
        <f t="shared" si="46"/>
        <v>2020</v>
      </c>
      <c r="C1489" s="10">
        <f t="shared" si="47"/>
        <v>8</v>
      </c>
      <c r="D1489" s="20">
        <v>44068</v>
      </c>
      <c r="E1489">
        <v>340.75</v>
      </c>
      <c r="F1489">
        <v>913.75</v>
      </c>
      <c r="G1489">
        <v>291.60000000000002</v>
      </c>
      <c r="H1489">
        <v>527.25</v>
      </c>
      <c r="I1489">
        <v>31.98</v>
      </c>
      <c r="J1489">
        <v>5.5075000000000003</v>
      </c>
    </row>
    <row r="1490" spans="2:10" x14ac:dyDescent="0.3">
      <c r="B1490" s="10">
        <f t="shared" si="46"/>
        <v>2020</v>
      </c>
      <c r="C1490" s="10">
        <f t="shared" si="47"/>
        <v>8</v>
      </c>
      <c r="D1490" s="20">
        <v>44067</v>
      </c>
      <c r="E1490">
        <v>331.75</v>
      </c>
      <c r="F1490">
        <v>899.75</v>
      </c>
      <c r="G1490">
        <v>289.10000000000002</v>
      </c>
      <c r="H1490">
        <v>520.75</v>
      </c>
      <c r="I1490">
        <v>31.66</v>
      </c>
      <c r="J1490">
        <v>5.61</v>
      </c>
    </row>
    <row r="1491" spans="2:10" x14ac:dyDescent="0.3">
      <c r="B1491" s="10">
        <f t="shared" si="46"/>
        <v>2020</v>
      </c>
      <c r="C1491" s="10">
        <f t="shared" si="47"/>
        <v>8</v>
      </c>
      <c r="D1491" s="20">
        <v>44064</v>
      </c>
      <c r="E1491">
        <v>327</v>
      </c>
      <c r="F1491">
        <v>900.75</v>
      </c>
      <c r="G1491">
        <v>290.2</v>
      </c>
      <c r="H1491">
        <v>527.25</v>
      </c>
      <c r="I1491">
        <v>31.41</v>
      </c>
      <c r="J1491">
        <v>5.6192000000000002</v>
      </c>
    </row>
    <row r="1492" spans="2:10" x14ac:dyDescent="0.3">
      <c r="B1492" s="10">
        <f t="shared" si="46"/>
        <v>2020</v>
      </c>
      <c r="C1492" s="10">
        <f t="shared" si="47"/>
        <v>8</v>
      </c>
      <c r="D1492" s="20">
        <v>44063</v>
      </c>
      <c r="E1492">
        <v>324.5</v>
      </c>
      <c r="F1492">
        <v>903</v>
      </c>
      <c r="G1492">
        <v>293.8</v>
      </c>
      <c r="H1492">
        <v>519.5</v>
      </c>
      <c r="I1492">
        <v>31.3</v>
      </c>
      <c r="J1492">
        <v>5.5568</v>
      </c>
    </row>
    <row r="1493" spans="2:10" x14ac:dyDescent="0.3">
      <c r="B1493" s="10">
        <f t="shared" si="46"/>
        <v>2020</v>
      </c>
      <c r="C1493" s="10">
        <f t="shared" si="47"/>
        <v>8</v>
      </c>
      <c r="D1493" s="20">
        <v>44062</v>
      </c>
      <c r="E1493">
        <v>325</v>
      </c>
      <c r="F1493">
        <v>912.5</v>
      </c>
      <c r="G1493">
        <v>295.7</v>
      </c>
      <c r="H1493">
        <v>512</v>
      </c>
      <c r="I1493">
        <v>31.67</v>
      </c>
      <c r="J1493">
        <v>5.5575000000000001</v>
      </c>
    </row>
    <row r="1494" spans="2:10" x14ac:dyDescent="0.3">
      <c r="B1494" s="10">
        <f t="shared" si="46"/>
        <v>2020</v>
      </c>
      <c r="C1494" s="10">
        <f t="shared" si="47"/>
        <v>8</v>
      </c>
      <c r="D1494" s="20">
        <v>44061</v>
      </c>
      <c r="E1494">
        <v>327</v>
      </c>
      <c r="F1494">
        <v>912</v>
      </c>
      <c r="G1494">
        <v>296.2</v>
      </c>
      <c r="H1494">
        <v>507.5</v>
      </c>
      <c r="I1494">
        <v>31.58</v>
      </c>
      <c r="J1494">
        <v>5.4665999999999997</v>
      </c>
    </row>
    <row r="1495" spans="2:10" x14ac:dyDescent="0.3">
      <c r="B1495" s="10">
        <f t="shared" si="46"/>
        <v>2020</v>
      </c>
      <c r="C1495" s="10">
        <f t="shared" si="47"/>
        <v>8</v>
      </c>
      <c r="D1495" s="20">
        <v>44060</v>
      </c>
      <c r="E1495">
        <v>331</v>
      </c>
      <c r="F1495">
        <v>912.5</v>
      </c>
      <c r="G1495">
        <v>298.3</v>
      </c>
      <c r="H1495">
        <v>516.5</v>
      </c>
      <c r="I1495">
        <v>31.3</v>
      </c>
      <c r="J1495">
        <v>5.5090000000000003</v>
      </c>
    </row>
    <row r="1496" spans="2:10" x14ac:dyDescent="0.3">
      <c r="B1496" s="10">
        <f t="shared" si="46"/>
        <v>2020</v>
      </c>
      <c r="C1496" s="10">
        <f t="shared" si="47"/>
        <v>8</v>
      </c>
      <c r="D1496" s="20">
        <v>44057</v>
      </c>
      <c r="E1496">
        <v>324.5</v>
      </c>
      <c r="F1496">
        <v>903.5</v>
      </c>
      <c r="H1496">
        <v>500</v>
      </c>
      <c r="J1496">
        <v>5.4203999999999999</v>
      </c>
    </row>
    <row r="1497" spans="2:10" x14ac:dyDescent="0.3">
      <c r="B1497" s="10">
        <f t="shared" si="46"/>
        <v>2020</v>
      </c>
      <c r="C1497" s="10">
        <f t="shared" si="47"/>
        <v>8</v>
      </c>
      <c r="D1497" s="20">
        <v>44056</v>
      </c>
      <c r="E1497">
        <v>325.25</v>
      </c>
      <c r="F1497">
        <v>907.25</v>
      </c>
      <c r="G1497">
        <v>290.10000000000002</v>
      </c>
      <c r="H1497">
        <v>496.75</v>
      </c>
      <c r="I1497">
        <v>31.6</v>
      </c>
      <c r="J1497">
        <v>5.3689999999999998</v>
      </c>
    </row>
    <row r="1498" spans="2:10" x14ac:dyDescent="0.3">
      <c r="B1498" s="10">
        <f t="shared" si="46"/>
        <v>2020</v>
      </c>
      <c r="C1498" s="10">
        <f t="shared" si="47"/>
        <v>8</v>
      </c>
      <c r="D1498" s="20">
        <v>44055</v>
      </c>
      <c r="E1498">
        <v>314.5</v>
      </c>
      <c r="F1498">
        <v>890.5</v>
      </c>
      <c r="G1498">
        <v>282.2</v>
      </c>
      <c r="H1498">
        <v>491.25</v>
      </c>
      <c r="I1498">
        <v>32</v>
      </c>
      <c r="J1498">
        <v>5.4333</v>
      </c>
    </row>
    <row r="1499" spans="2:10" x14ac:dyDescent="0.3">
      <c r="B1499" s="10">
        <f t="shared" si="46"/>
        <v>2020</v>
      </c>
      <c r="C1499" s="10">
        <f t="shared" si="47"/>
        <v>8</v>
      </c>
      <c r="D1499" s="20">
        <v>44054</v>
      </c>
      <c r="E1499">
        <v>311.5</v>
      </c>
      <c r="F1499">
        <v>878</v>
      </c>
      <c r="G1499">
        <v>282</v>
      </c>
      <c r="H1499">
        <v>495</v>
      </c>
      <c r="I1499">
        <v>31.06</v>
      </c>
      <c r="J1499">
        <v>5.38</v>
      </c>
    </row>
    <row r="1500" spans="2:10" x14ac:dyDescent="0.3">
      <c r="B1500" s="10">
        <f t="shared" si="46"/>
        <v>2020</v>
      </c>
      <c r="C1500" s="10">
        <f t="shared" si="47"/>
        <v>8</v>
      </c>
      <c r="D1500" s="20">
        <v>44053</v>
      </c>
      <c r="E1500">
        <v>310.5</v>
      </c>
      <c r="F1500">
        <v>876.5</v>
      </c>
      <c r="G1500">
        <v>282.2</v>
      </c>
      <c r="H1500">
        <v>491</v>
      </c>
      <c r="I1500">
        <v>31.19</v>
      </c>
      <c r="J1500">
        <v>5.4812000000000003</v>
      </c>
    </row>
    <row r="1501" spans="2:10" x14ac:dyDescent="0.3">
      <c r="B1501" s="10">
        <f t="shared" si="46"/>
        <v>2020</v>
      </c>
      <c r="C1501" s="10">
        <f t="shared" si="47"/>
        <v>8</v>
      </c>
      <c r="D1501" s="20">
        <v>44050</v>
      </c>
      <c r="E1501">
        <v>307.75</v>
      </c>
      <c r="F1501">
        <v>870.25</v>
      </c>
      <c r="G1501">
        <v>280</v>
      </c>
      <c r="H1501">
        <v>495.5</v>
      </c>
      <c r="I1501">
        <v>31.35</v>
      </c>
      <c r="J1501">
        <v>5.4382999999999999</v>
      </c>
    </row>
    <row r="1502" spans="2:10" x14ac:dyDescent="0.3">
      <c r="B1502" s="10">
        <f t="shared" si="46"/>
        <v>2020</v>
      </c>
      <c r="C1502" s="10">
        <f t="shared" si="47"/>
        <v>8</v>
      </c>
      <c r="D1502" s="20">
        <v>44049</v>
      </c>
      <c r="E1502">
        <v>311.25</v>
      </c>
      <c r="F1502">
        <v>880.75</v>
      </c>
      <c r="G1502">
        <v>280.7</v>
      </c>
      <c r="H1502">
        <v>501.25</v>
      </c>
      <c r="I1502">
        <v>31.52</v>
      </c>
      <c r="J1502">
        <v>5.3315000000000001</v>
      </c>
    </row>
    <row r="1503" spans="2:10" x14ac:dyDescent="0.3">
      <c r="B1503" s="10">
        <f t="shared" si="46"/>
        <v>2020</v>
      </c>
      <c r="C1503" s="10">
        <f t="shared" si="47"/>
        <v>8</v>
      </c>
      <c r="D1503" s="20">
        <v>44048</v>
      </c>
      <c r="E1503">
        <v>311</v>
      </c>
      <c r="F1503">
        <v>882</v>
      </c>
      <c r="G1503">
        <v>282.3</v>
      </c>
      <c r="H1503">
        <v>510.75</v>
      </c>
      <c r="I1503">
        <v>31.7</v>
      </c>
      <c r="J1503">
        <v>5.2901999999999996</v>
      </c>
    </row>
    <row r="1504" spans="2:10" x14ac:dyDescent="0.3">
      <c r="B1504" s="10">
        <f t="shared" si="46"/>
        <v>2020</v>
      </c>
      <c r="C1504" s="10">
        <f t="shared" si="47"/>
        <v>8</v>
      </c>
      <c r="D1504" s="20">
        <v>44047</v>
      </c>
      <c r="E1504">
        <v>308.25</v>
      </c>
      <c r="F1504">
        <v>883.75</v>
      </c>
      <c r="G1504">
        <v>283.7</v>
      </c>
      <c r="H1504">
        <v>508.25</v>
      </c>
      <c r="I1504">
        <v>31.53</v>
      </c>
      <c r="J1504">
        <v>5.29</v>
      </c>
    </row>
    <row r="1505" spans="2:10" x14ac:dyDescent="0.3">
      <c r="B1505" s="10">
        <f t="shared" si="46"/>
        <v>2020</v>
      </c>
      <c r="C1505" s="10">
        <f t="shared" si="47"/>
        <v>8</v>
      </c>
      <c r="D1505" s="20">
        <v>44046</v>
      </c>
      <c r="E1505">
        <v>317.5</v>
      </c>
      <c r="F1505">
        <v>897.5</v>
      </c>
      <c r="G1505">
        <v>287.10000000000002</v>
      </c>
      <c r="H1505">
        <v>521</v>
      </c>
      <c r="I1505">
        <v>31.67</v>
      </c>
      <c r="J1505">
        <v>5.3212999999999999</v>
      </c>
    </row>
    <row r="1506" spans="2:10" x14ac:dyDescent="0.3">
      <c r="B1506" s="10">
        <f t="shared" si="46"/>
        <v>2020</v>
      </c>
      <c r="C1506" s="10">
        <f t="shared" si="47"/>
        <v>7</v>
      </c>
      <c r="D1506" s="20">
        <v>44043</v>
      </c>
      <c r="E1506">
        <v>316</v>
      </c>
      <c r="F1506">
        <v>897.5</v>
      </c>
      <c r="G1506">
        <v>289.3</v>
      </c>
      <c r="H1506">
        <v>531.25</v>
      </c>
      <c r="I1506">
        <v>30.91</v>
      </c>
      <c r="J1506">
        <v>5.2240000000000002</v>
      </c>
    </row>
    <row r="1507" spans="2:10" x14ac:dyDescent="0.3">
      <c r="B1507" s="10">
        <f t="shared" si="46"/>
        <v>2020</v>
      </c>
      <c r="C1507" s="10">
        <f t="shared" si="47"/>
        <v>7</v>
      </c>
      <c r="D1507" s="20">
        <v>44042</v>
      </c>
      <c r="E1507">
        <v>315.75</v>
      </c>
      <c r="F1507">
        <v>891.75</v>
      </c>
      <c r="G1507">
        <v>289.8</v>
      </c>
      <c r="H1507">
        <v>529.5</v>
      </c>
      <c r="I1507">
        <v>29.98</v>
      </c>
      <c r="J1507">
        <v>5.1534000000000004</v>
      </c>
    </row>
    <row r="1508" spans="2:10" x14ac:dyDescent="0.3">
      <c r="B1508" s="10">
        <f t="shared" si="46"/>
        <v>2020</v>
      </c>
      <c r="C1508" s="10">
        <f t="shared" si="47"/>
        <v>7</v>
      </c>
      <c r="D1508" s="20">
        <v>44041</v>
      </c>
      <c r="E1508">
        <v>315.5</v>
      </c>
      <c r="F1508">
        <v>891.5</v>
      </c>
      <c r="G1508">
        <v>286.89999999999998</v>
      </c>
      <c r="H1508">
        <v>532.75</v>
      </c>
      <c r="I1508">
        <v>29.67</v>
      </c>
      <c r="J1508">
        <v>5.1692</v>
      </c>
    </row>
    <row r="1509" spans="2:10" x14ac:dyDescent="0.3">
      <c r="B1509" s="10">
        <f t="shared" si="46"/>
        <v>2020</v>
      </c>
      <c r="C1509" s="10">
        <f t="shared" si="47"/>
        <v>7</v>
      </c>
      <c r="D1509" s="20">
        <v>44040</v>
      </c>
      <c r="E1509">
        <v>320</v>
      </c>
      <c r="F1509">
        <v>896.75</v>
      </c>
      <c r="G1509">
        <v>288.89999999999998</v>
      </c>
      <c r="H1509">
        <v>523.5</v>
      </c>
      <c r="I1509">
        <v>29.42</v>
      </c>
      <c r="J1509">
        <v>5.1532999999999998</v>
      </c>
    </row>
    <row r="1510" spans="2:10" x14ac:dyDescent="0.3">
      <c r="B1510" s="10">
        <f t="shared" si="46"/>
        <v>2020</v>
      </c>
      <c r="C1510" s="10">
        <f t="shared" si="47"/>
        <v>7</v>
      </c>
      <c r="D1510" s="20">
        <v>44039</v>
      </c>
      <c r="E1510">
        <v>325</v>
      </c>
      <c r="F1510">
        <v>906.5</v>
      </c>
      <c r="G1510">
        <v>292.5</v>
      </c>
      <c r="H1510">
        <v>527.75</v>
      </c>
      <c r="I1510">
        <v>29.6</v>
      </c>
      <c r="J1510">
        <v>5.1447000000000003</v>
      </c>
    </row>
    <row r="1511" spans="2:10" x14ac:dyDescent="0.3">
      <c r="B1511" s="10">
        <f t="shared" si="46"/>
        <v>2020</v>
      </c>
      <c r="C1511" s="10">
        <f t="shared" si="47"/>
        <v>7</v>
      </c>
      <c r="D1511" s="20">
        <v>44036</v>
      </c>
      <c r="E1511">
        <v>326.25</v>
      </c>
      <c r="F1511">
        <v>904.75</v>
      </c>
      <c r="G1511">
        <v>290.8</v>
      </c>
      <c r="H1511">
        <v>539.5</v>
      </c>
      <c r="I1511">
        <v>29.8</v>
      </c>
      <c r="J1511">
        <v>5.2328999999999999</v>
      </c>
    </row>
    <row r="1512" spans="2:10" x14ac:dyDescent="0.3">
      <c r="B1512" s="10">
        <f t="shared" si="46"/>
        <v>2020</v>
      </c>
      <c r="C1512" s="10">
        <f t="shared" si="47"/>
        <v>7</v>
      </c>
      <c r="D1512" s="20">
        <v>44035</v>
      </c>
      <c r="E1512">
        <v>328</v>
      </c>
      <c r="F1512">
        <v>906.25</v>
      </c>
      <c r="G1512">
        <v>290.39999999999998</v>
      </c>
      <c r="H1512">
        <v>529.5</v>
      </c>
      <c r="I1512">
        <v>29.79</v>
      </c>
      <c r="J1512">
        <v>5.2111999999999998</v>
      </c>
    </row>
    <row r="1513" spans="2:10" x14ac:dyDescent="0.3">
      <c r="B1513" s="10">
        <f t="shared" si="46"/>
        <v>2020</v>
      </c>
      <c r="C1513" s="10">
        <f t="shared" si="47"/>
        <v>7</v>
      </c>
      <c r="D1513" s="20">
        <v>44034</v>
      </c>
      <c r="E1513">
        <v>327.5</v>
      </c>
      <c r="F1513">
        <v>899.25</v>
      </c>
      <c r="G1513">
        <v>286.60000000000002</v>
      </c>
      <c r="H1513">
        <v>534.5</v>
      </c>
      <c r="I1513">
        <v>29.93</v>
      </c>
      <c r="J1513">
        <v>5.1166</v>
      </c>
    </row>
    <row r="1514" spans="2:10" x14ac:dyDescent="0.3">
      <c r="B1514" s="10">
        <f t="shared" si="46"/>
        <v>2020</v>
      </c>
      <c r="C1514" s="10">
        <f t="shared" si="47"/>
        <v>7</v>
      </c>
      <c r="D1514" s="20">
        <v>44033</v>
      </c>
      <c r="E1514">
        <v>322.75</v>
      </c>
      <c r="F1514">
        <v>896.5</v>
      </c>
      <c r="G1514">
        <v>285.60000000000002</v>
      </c>
      <c r="H1514">
        <v>527.75</v>
      </c>
      <c r="I1514">
        <v>30.07</v>
      </c>
      <c r="J1514">
        <v>5.1712999999999996</v>
      </c>
    </row>
    <row r="1515" spans="2:10" x14ac:dyDescent="0.3">
      <c r="B1515" s="10">
        <f t="shared" si="46"/>
        <v>2020</v>
      </c>
      <c r="C1515" s="10">
        <f t="shared" si="47"/>
        <v>7</v>
      </c>
      <c r="D1515" s="20">
        <v>44032</v>
      </c>
      <c r="E1515">
        <v>328.25</v>
      </c>
      <c r="F1515">
        <v>903</v>
      </c>
      <c r="G1515">
        <v>288.60000000000002</v>
      </c>
      <c r="H1515">
        <v>522</v>
      </c>
      <c r="I1515">
        <v>29.93</v>
      </c>
      <c r="J1515">
        <v>5.3282999999999996</v>
      </c>
    </row>
    <row r="1516" spans="2:10" x14ac:dyDescent="0.3">
      <c r="B1516" s="10">
        <f t="shared" si="46"/>
        <v>2020</v>
      </c>
      <c r="C1516" s="10">
        <f t="shared" si="47"/>
        <v>7</v>
      </c>
      <c r="D1516" s="20">
        <v>44029</v>
      </c>
      <c r="E1516">
        <v>333</v>
      </c>
      <c r="F1516">
        <v>898</v>
      </c>
      <c r="G1516">
        <v>286.5</v>
      </c>
      <c r="H1516">
        <v>534.75</v>
      </c>
      <c r="I1516">
        <v>29.92</v>
      </c>
      <c r="J1516">
        <v>5.3849</v>
      </c>
    </row>
    <row r="1517" spans="2:10" x14ac:dyDescent="0.3">
      <c r="B1517" s="10">
        <f t="shared" si="46"/>
        <v>2020</v>
      </c>
      <c r="C1517" s="10">
        <f t="shared" si="47"/>
        <v>7</v>
      </c>
      <c r="D1517" s="20">
        <v>44028</v>
      </c>
      <c r="E1517">
        <v>330.25</v>
      </c>
      <c r="F1517">
        <v>893.5</v>
      </c>
      <c r="G1517">
        <v>287</v>
      </c>
      <c r="H1517">
        <v>535.25</v>
      </c>
      <c r="I1517">
        <v>29.27</v>
      </c>
      <c r="J1517">
        <v>5.3311000000000002</v>
      </c>
    </row>
    <row r="1518" spans="2:10" x14ac:dyDescent="0.3">
      <c r="B1518" s="10">
        <f t="shared" si="46"/>
        <v>2020</v>
      </c>
      <c r="C1518" s="10">
        <f t="shared" si="47"/>
        <v>7</v>
      </c>
      <c r="D1518" s="20">
        <v>44027</v>
      </c>
      <c r="E1518">
        <v>326.25</v>
      </c>
      <c r="F1518">
        <v>886.25</v>
      </c>
      <c r="G1518">
        <v>285.8</v>
      </c>
      <c r="H1518">
        <v>550.75</v>
      </c>
      <c r="I1518">
        <v>28.8</v>
      </c>
      <c r="J1518">
        <v>5.3697999999999997</v>
      </c>
    </row>
    <row r="1519" spans="2:10" x14ac:dyDescent="0.3">
      <c r="B1519" s="10">
        <f t="shared" si="46"/>
        <v>2020</v>
      </c>
      <c r="C1519" s="10">
        <f t="shared" si="47"/>
        <v>7</v>
      </c>
      <c r="D1519" s="20">
        <v>44026</v>
      </c>
      <c r="E1519">
        <v>334.75</v>
      </c>
      <c r="F1519">
        <v>882.25</v>
      </c>
      <c r="G1519">
        <v>283.7</v>
      </c>
      <c r="H1519">
        <v>524.75</v>
      </c>
      <c r="I1519">
        <v>28.48</v>
      </c>
      <c r="J1519">
        <v>5.3673999999999999</v>
      </c>
    </row>
    <row r="1520" spans="2:10" x14ac:dyDescent="0.3">
      <c r="B1520" s="10">
        <f t="shared" si="46"/>
        <v>2020</v>
      </c>
      <c r="C1520" s="10">
        <f t="shared" si="47"/>
        <v>7</v>
      </c>
      <c r="D1520" s="20">
        <v>44025</v>
      </c>
      <c r="E1520">
        <v>334</v>
      </c>
      <c r="F1520">
        <v>876.5</v>
      </c>
      <c r="G1520">
        <v>283.10000000000002</v>
      </c>
      <c r="H1520">
        <v>524.75</v>
      </c>
      <c r="I1520">
        <v>27.97</v>
      </c>
      <c r="J1520">
        <v>5.4039999999999999</v>
      </c>
    </row>
    <row r="1521" spans="2:10" x14ac:dyDescent="0.3">
      <c r="B1521" s="10">
        <f t="shared" si="46"/>
        <v>2020</v>
      </c>
      <c r="C1521" s="10">
        <f t="shared" si="47"/>
        <v>7</v>
      </c>
      <c r="D1521" s="20">
        <v>44022</v>
      </c>
      <c r="E1521">
        <v>340.5</v>
      </c>
      <c r="F1521">
        <v>891.5</v>
      </c>
      <c r="G1521">
        <v>290.8</v>
      </c>
      <c r="H1521">
        <v>535.75</v>
      </c>
      <c r="I1521">
        <v>28.11</v>
      </c>
      <c r="J1521">
        <v>5.3238000000000003</v>
      </c>
    </row>
    <row r="1522" spans="2:10" x14ac:dyDescent="0.3">
      <c r="B1522" s="10">
        <f t="shared" si="46"/>
        <v>2020</v>
      </c>
      <c r="C1522" s="10">
        <f t="shared" si="47"/>
        <v>7</v>
      </c>
      <c r="D1522" s="20">
        <v>44021</v>
      </c>
      <c r="E1522">
        <v>351.25</v>
      </c>
      <c r="F1522">
        <v>898.25</v>
      </c>
      <c r="G1522">
        <v>295.10000000000002</v>
      </c>
      <c r="H1522">
        <v>526.25</v>
      </c>
      <c r="I1522">
        <v>28.19</v>
      </c>
      <c r="J1522">
        <v>5.3413000000000004</v>
      </c>
    </row>
    <row r="1523" spans="2:10" x14ac:dyDescent="0.3">
      <c r="B1523" s="10">
        <f t="shared" si="46"/>
        <v>2020</v>
      </c>
      <c r="C1523" s="10">
        <f t="shared" si="47"/>
        <v>7</v>
      </c>
      <c r="D1523" s="20">
        <v>44020</v>
      </c>
      <c r="E1523">
        <v>348.25</v>
      </c>
      <c r="F1523">
        <v>894.75</v>
      </c>
      <c r="G1523">
        <v>291.60000000000002</v>
      </c>
      <c r="H1523">
        <v>517.5</v>
      </c>
      <c r="I1523">
        <v>28.46</v>
      </c>
      <c r="J1523">
        <v>5.3422000000000001</v>
      </c>
    </row>
    <row r="1524" spans="2:10" x14ac:dyDescent="0.3">
      <c r="B1524" s="10">
        <f t="shared" si="46"/>
        <v>2020</v>
      </c>
      <c r="C1524" s="10">
        <f t="shared" si="47"/>
        <v>7</v>
      </c>
      <c r="D1524" s="20">
        <v>44019</v>
      </c>
      <c r="E1524">
        <v>345</v>
      </c>
      <c r="F1524">
        <v>895.25</v>
      </c>
      <c r="G1524">
        <v>293.3</v>
      </c>
      <c r="H1524">
        <v>492.25</v>
      </c>
      <c r="I1524">
        <v>28.76</v>
      </c>
      <c r="J1524">
        <v>5.3789999999999996</v>
      </c>
    </row>
    <row r="1525" spans="2:10" x14ac:dyDescent="0.3">
      <c r="B1525" s="10">
        <f t="shared" si="46"/>
        <v>2020</v>
      </c>
      <c r="C1525" s="10">
        <f t="shared" si="47"/>
        <v>7</v>
      </c>
      <c r="D1525" s="20">
        <v>44018</v>
      </c>
      <c r="E1525">
        <v>346.5</v>
      </c>
      <c r="F1525">
        <v>898.5</v>
      </c>
      <c r="G1525">
        <v>295.39999999999998</v>
      </c>
      <c r="H1525">
        <v>489.5</v>
      </c>
      <c r="I1525">
        <v>28.42</v>
      </c>
      <c r="J1525">
        <v>5.3562000000000003</v>
      </c>
    </row>
    <row r="1526" spans="2:10" x14ac:dyDescent="0.3">
      <c r="B1526" s="10">
        <f t="shared" si="46"/>
        <v>2020</v>
      </c>
      <c r="C1526" s="10">
        <f t="shared" si="47"/>
        <v>7</v>
      </c>
      <c r="D1526" s="20">
        <v>44015</v>
      </c>
      <c r="J1526">
        <v>5.3158000000000003</v>
      </c>
    </row>
    <row r="1527" spans="2:10" x14ac:dyDescent="0.3">
      <c r="B1527" s="10">
        <f t="shared" si="46"/>
        <v>2020</v>
      </c>
      <c r="C1527" s="10">
        <f t="shared" si="47"/>
        <v>7</v>
      </c>
      <c r="D1527" s="20">
        <v>44014</v>
      </c>
      <c r="E1527">
        <v>342.5</v>
      </c>
      <c r="F1527">
        <v>892.5</v>
      </c>
      <c r="G1527">
        <v>293.5</v>
      </c>
      <c r="H1527">
        <v>490</v>
      </c>
      <c r="I1527">
        <v>27.96</v>
      </c>
      <c r="J1527">
        <v>5.3596000000000004</v>
      </c>
    </row>
    <row r="1528" spans="2:10" x14ac:dyDescent="0.3">
      <c r="B1528" s="10">
        <f t="shared" si="46"/>
        <v>2020</v>
      </c>
      <c r="C1528" s="10">
        <f t="shared" si="47"/>
        <v>7</v>
      </c>
      <c r="D1528" s="20">
        <v>44013</v>
      </c>
      <c r="E1528">
        <v>348.25</v>
      </c>
      <c r="F1528">
        <v>893.75</v>
      </c>
      <c r="G1528">
        <v>292.7</v>
      </c>
      <c r="H1528">
        <v>498.75</v>
      </c>
      <c r="I1528">
        <v>28.21</v>
      </c>
      <c r="J1528">
        <v>5.3174000000000001</v>
      </c>
    </row>
    <row r="1529" spans="2:10" x14ac:dyDescent="0.3">
      <c r="B1529" s="10">
        <f t="shared" si="46"/>
        <v>2020</v>
      </c>
      <c r="C1529" s="10">
        <f t="shared" si="47"/>
        <v>6</v>
      </c>
      <c r="D1529" s="20">
        <v>44012</v>
      </c>
      <c r="E1529">
        <v>338.5</v>
      </c>
      <c r="F1529">
        <v>884.25</v>
      </c>
      <c r="G1529">
        <v>286.3</v>
      </c>
      <c r="H1529">
        <v>490</v>
      </c>
      <c r="I1529">
        <v>27.98</v>
      </c>
      <c r="J1529">
        <v>5.4661</v>
      </c>
    </row>
    <row r="1530" spans="2:10" x14ac:dyDescent="0.3">
      <c r="B1530" s="10">
        <f t="shared" si="46"/>
        <v>2020</v>
      </c>
      <c r="C1530" s="10">
        <f t="shared" si="47"/>
        <v>6</v>
      </c>
      <c r="D1530" s="20">
        <v>44011</v>
      </c>
      <c r="E1530">
        <v>326.25</v>
      </c>
      <c r="F1530">
        <v>866.5</v>
      </c>
      <c r="G1530">
        <v>280.5</v>
      </c>
      <c r="H1530">
        <v>485.5</v>
      </c>
      <c r="I1530">
        <v>27.62</v>
      </c>
      <c r="J1530">
        <v>5.4034000000000004</v>
      </c>
    </row>
    <row r="1531" spans="2:10" x14ac:dyDescent="0.3">
      <c r="B1531" s="10">
        <f t="shared" si="46"/>
        <v>2020</v>
      </c>
      <c r="C1531" s="10">
        <f t="shared" si="47"/>
        <v>6</v>
      </c>
      <c r="D1531" s="20">
        <v>44008</v>
      </c>
      <c r="E1531">
        <v>317</v>
      </c>
      <c r="F1531">
        <v>865</v>
      </c>
      <c r="G1531">
        <v>282.10000000000002</v>
      </c>
      <c r="H1531">
        <v>474</v>
      </c>
      <c r="I1531">
        <v>27.2</v>
      </c>
      <c r="J1531">
        <v>5.484</v>
      </c>
    </row>
    <row r="1532" spans="2:10" x14ac:dyDescent="0.3">
      <c r="B1532" s="10">
        <f t="shared" si="46"/>
        <v>2020</v>
      </c>
      <c r="C1532" s="10">
        <f t="shared" si="47"/>
        <v>6</v>
      </c>
      <c r="D1532" s="20">
        <v>44007</v>
      </c>
      <c r="E1532">
        <v>317.25</v>
      </c>
      <c r="F1532">
        <v>869.25</v>
      </c>
      <c r="G1532">
        <v>285.5</v>
      </c>
      <c r="H1532">
        <v>486.75</v>
      </c>
      <c r="I1532">
        <v>27.54</v>
      </c>
      <c r="J1532">
        <v>5.3560999999999996</v>
      </c>
    </row>
    <row r="1533" spans="2:10" x14ac:dyDescent="0.3">
      <c r="B1533" s="10">
        <f t="shared" si="46"/>
        <v>2020</v>
      </c>
      <c r="C1533" s="10">
        <f t="shared" si="47"/>
        <v>6</v>
      </c>
      <c r="D1533" s="20">
        <v>44006</v>
      </c>
      <c r="E1533">
        <v>324.25</v>
      </c>
      <c r="F1533">
        <v>870.75</v>
      </c>
      <c r="G1533">
        <v>286.7</v>
      </c>
      <c r="H1533">
        <v>481.25</v>
      </c>
      <c r="I1533">
        <v>27.65</v>
      </c>
      <c r="J1533">
        <v>5.3467000000000002</v>
      </c>
    </row>
    <row r="1534" spans="2:10" x14ac:dyDescent="0.3">
      <c r="B1534" s="10">
        <f t="shared" si="46"/>
        <v>2020</v>
      </c>
      <c r="C1534" s="10">
        <f t="shared" si="47"/>
        <v>6</v>
      </c>
      <c r="D1534" s="20">
        <v>44005</v>
      </c>
      <c r="E1534">
        <v>325</v>
      </c>
      <c r="F1534">
        <v>875</v>
      </c>
      <c r="G1534">
        <v>286.3</v>
      </c>
      <c r="H1534">
        <v>486</v>
      </c>
      <c r="I1534">
        <v>28.17</v>
      </c>
      <c r="J1534">
        <v>5.1542000000000003</v>
      </c>
    </row>
    <row r="1535" spans="2:10" x14ac:dyDescent="0.3">
      <c r="B1535" s="10">
        <f t="shared" si="46"/>
        <v>2020</v>
      </c>
      <c r="C1535" s="10">
        <f t="shared" si="47"/>
        <v>6</v>
      </c>
      <c r="D1535" s="20">
        <v>44004</v>
      </c>
      <c r="E1535">
        <v>328.25</v>
      </c>
      <c r="F1535">
        <v>876.25</v>
      </c>
      <c r="G1535">
        <v>286.5</v>
      </c>
      <c r="H1535">
        <v>485</v>
      </c>
      <c r="I1535">
        <v>28.35</v>
      </c>
      <c r="J1535">
        <v>5.2523999999999997</v>
      </c>
    </row>
    <row r="1536" spans="2:10" x14ac:dyDescent="0.3">
      <c r="B1536" s="10">
        <f t="shared" si="46"/>
        <v>2020</v>
      </c>
      <c r="C1536" s="10">
        <f t="shared" si="47"/>
        <v>6</v>
      </c>
      <c r="D1536" s="20">
        <v>44001</v>
      </c>
      <c r="E1536">
        <v>332.5</v>
      </c>
      <c r="F1536">
        <v>876.5</v>
      </c>
      <c r="G1536">
        <v>287</v>
      </c>
      <c r="H1536">
        <v>481.25</v>
      </c>
      <c r="I1536">
        <v>28.52</v>
      </c>
      <c r="J1536">
        <v>5.3105000000000002</v>
      </c>
    </row>
    <row r="1537" spans="2:10" x14ac:dyDescent="0.3">
      <c r="B1537" s="10">
        <f t="shared" si="46"/>
        <v>2020</v>
      </c>
      <c r="C1537" s="10">
        <f t="shared" si="47"/>
        <v>6</v>
      </c>
      <c r="D1537" s="20">
        <v>44000</v>
      </c>
      <c r="E1537">
        <v>331</v>
      </c>
      <c r="F1537">
        <v>873</v>
      </c>
      <c r="G1537">
        <v>288.8</v>
      </c>
      <c r="H1537">
        <v>483.5</v>
      </c>
      <c r="I1537">
        <v>28.06</v>
      </c>
      <c r="J1537">
        <v>5.3776000000000002</v>
      </c>
    </row>
    <row r="1538" spans="2:10" x14ac:dyDescent="0.3">
      <c r="B1538" s="10">
        <f t="shared" si="46"/>
        <v>2020</v>
      </c>
      <c r="C1538" s="10">
        <f t="shared" si="47"/>
        <v>6</v>
      </c>
      <c r="D1538" s="20">
        <v>43999</v>
      </c>
      <c r="E1538">
        <v>330.25</v>
      </c>
      <c r="F1538">
        <v>871.25</v>
      </c>
      <c r="G1538">
        <v>287.8</v>
      </c>
      <c r="H1538">
        <v>488.75</v>
      </c>
      <c r="I1538">
        <v>28.1</v>
      </c>
      <c r="J1538">
        <v>5.2286000000000001</v>
      </c>
    </row>
    <row r="1539" spans="2:10" x14ac:dyDescent="0.3">
      <c r="B1539" s="10">
        <f t="shared" si="46"/>
        <v>2020</v>
      </c>
      <c r="C1539" s="10">
        <f t="shared" si="47"/>
        <v>6</v>
      </c>
      <c r="D1539" s="20">
        <v>43998</v>
      </c>
      <c r="E1539">
        <v>329</v>
      </c>
      <c r="F1539">
        <v>867</v>
      </c>
      <c r="G1539">
        <v>287.89999999999998</v>
      </c>
      <c r="H1539">
        <v>496</v>
      </c>
      <c r="I1539">
        <v>27.99</v>
      </c>
      <c r="J1539">
        <v>5.2430000000000003</v>
      </c>
    </row>
    <row r="1540" spans="2:10" x14ac:dyDescent="0.3">
      <c r="B1540" s="10">
        <f t="shared" si="46"/>
        <v>2020</v>
      </c>
      <c r="C1540" s="10">
        <f t="shared" si="47"/>
        <v>6</v>
      </c>
      <c r="D1540" s="20">
        <v>43997</v>
      </c>
      <c r="E1540">
        <v>329.25</v>
      </c>
      <c r="F1540">
        <v>869</v>
      </c>
      <c r="G1540">
        <v>288.39999999999998</v>
      </c>
      <c r="H1540">
        <v>504.75</v>
      </c>
      <c r="I1540">
        <v>27.74</v>
      </c>
      <c r="J1540">
        <v>5.1557000000000004</v>
      </c>
    </row>
    <row r="1541" spans="2:10" x14ac:dyDescent="0.3">
      <c r="B1541" s="10">
        <f t="shared" si="46"/>
        <v>2020</v>
      </c>
      <c r="C1541" s="10">
        <f t="shared" si="47"/>
        <v>6</v>
      </c>
      <c r="D1541" s="20">
        <v>43994</v>
      </c>
      <c r="E1541">
        <v>330</v>
      </c>
      <c r="F1541">
        <v>871.25</v>
      </c>
      <c r="G1541">
        <v>289</v>
      </c>
      <c r="H1541">
        <v>502</v>
      </c>
      <c r="I1541">
        <v>27.5</v>
      </c>
      <c r="J1541">
        <v>5.0505000000000004</v>
      </c>
    </row>
    <row r="1542" spans="2:10" x14ac:dyDescent="0.3">
      <c r="B1542" s="10">
        <f t="shared" ref="B1542:B1605" si="48">YEAR(D1542)</f>
        <v>2020</v>
      </c>
      <c r="C1542" s="10">
        <f t="shared" ref="C1542:C1605" si="49">MONTH(D1542)</f>
        <v>6</v>
      </c>
      <c r="D1542" s="20">
        <v>43993</v>
      </c>
      <c r="E1542">
        <v>329.75</v>
      </c>
      <c r="F1542">
        <v>866</v>
      </c>
      <c r="G1542">
        <v>289.7</v>
      </c>
      <c r="H1542">
        <v>499.25</v>
      </c>
      <c r="I1542">
        <v>27.5</v>
      </c>
      <c r="J1542">
        <v>4.976</v>
      </c>
    </row>
    <row r="1543" spans="2:10" x14ac:dyDescent="0.3">
      <c r="B1543" s="10">
        <f t="shared" si="48"/>
        <v>2020</v>
      </c>
      <c r="C1543" s="10">
        <f t="shared" si="49"/>
        <v>6</v>
      </c>
      <c r="D1543" s="20">
        <v>43992</v>
      </c>
      <c r="E1543">
        <v>326.25</v>
      </c>
      <c r="F1543">
        <v>865.5</v>
      </c>
      <c r="G1543">
        <v>288.8</v>
      </c>
      <c r="H1543">
        <v>506.25</v>
      </c>
      <c r="I1543">
        <v>28</v>
      </c>
      <c r="J1543">
        <v>4.9732000000000003</v>
      </c>
    </row>
    <row r="1544" spans="2:10" x14ac:dyDescent="0.3">
      <c r="B1544" s="10">
        <f t="shared" si="48"/>
        <v>2020</v>
      </c>
      <c r="C1544" s="10">
        <f t="shared" si="49"/>
        <v>6</v>
      </c>
      <c r="D1544" s="20">
        <v>43991</v>
      </c>
      <c r="E1544">
        <v>327.5</v>
      </c>
      <c r="F1544">
        <v>863.25</v>
      </c>
      <c r="G1544">
        <v>287.10000000000002</v>
      </c>
      <c r="H1544">
        <v>504.5</v>
      </c>
      <c r="I1544">
        <v>28.23</v>
      </c>
      <c r="J1544">
        <v>4.8992000000000004</v>
      </c>
    </row>
    <row r="1545" spans="2:10" x14ac:dyDescent="0.3">
      <c r="B1545" s="10">
        <f t="shared" si="48"/>
        <v>2020</v>
      </c>
      <c r="C1545" s="10">
        <f t="shared" si="49"/>
        <v>6</v>
      </c>
      <c r="D1545" s="20">
        <v>43990</v>
      </c>
      <c r="E1545">
        <v>333.75</v>
      </c>
      <c r="F1545">
        <v>864.75</v>
      </c>
      <c r="G1545">
        <v>288.39999999999998</v>
      </c>
      <c r="H1545">
        <v>511.5</v>
      </c>
      <c r="I1545">
        <v>28.1</v>
      </c>
      <c r="J1545">
        <v>4.8230000000000004</v>
      </c>
    </row>
    <row r="1546" spans="2:10" x14ac:dyDescent="0.3">
      <c r="B1546" s="10">
        <f t="shared" si="48"/>
        <v>2020</v>
      </c>
      <c r="C1546" s="10">
        <f t="shared" si="49"/>
        <v>6</v>
      </c>
      <c r="D1546" s="20">
        <v>43987</v>
      </c>
      <c r="E1546">
        <v>331.25</v>
      </c>
      <c r="F1546">
        <v>867.75</v>
      </c>
      <c r="G1546">
        <v>289.10000000000002</v>
      </c>
      <c r="H1546">
        <v>515.25</v>
      </c>
      <c r="I1546">
        <v>28.14</v>
      </c>
      <c r="J1546">
        <v>4.9584999999999999</v>
      </c>
    </row>
    <row r="1547" spans="2:10" x14ac:dyDescent="0.3">
      <c r="B1547" s="10">
        <f t="shared" si="48"/>
        <v>2020</v>
      </c>
      <c r="C1547" s="10">
        <f t="shared" si="49"/>
        <v>6</v>
      </c>
      <c r="D1547" s="20">
        <v>43986</v>
      </c>
      <c r="E1547">
        <v>329</v>
      </c>
      <c r="F1547">
        <v>867.75</v>
      </c>
      <c r="G1547">
        <v>289.8</v>
      </c>
      <c r="H1547">
        <v>523.75</v>
      </c>
      <c r="I1547">
        <v>27.82</v>
      </c>
      <c r="J1547">
        <v>5.1189999999999998</v>
      </c>
    </row>
    <row r="1548" spans="2:10" x14ac:dyDescent="0.3">
      <c r="B1548" s="10">
        <f t="shared" si="48"/>
        <v>2020</v>
      </c>
      <c r="C1548" s="10">
        <f t="shared" si="49"/>
        <v>6</v>
      </c>
      <c r="D1548" s="20">
        <v>43985</v>
      </c>
      <c r="E1548">
        <v>324</v>
      </c>
      <c r="F1548">
        <v>857.5</v>
      </c>
      <c r="G1548">
        <v>286.3</v>
      </c>
      <c r="H1548">
        <v>512</v>
      </c>
      <c r="I1548">
        <v>27.86</v>
      </c>
      <c r="J1548">
        <v>5.0621999999999998</v>
      </c>
    </row>
    <row r="1549" spans="2:10" x14ac:dyDescent="0.3">
      <c r="B1549" s="10">
        <f t="shared" si="48"/>
        <v>2020</v>
      </c>
      <c r="C1549" s="10">
        <f t="shared" si="49"/>
        <v>6</v>
      </c>
      <c r="D1549" s="20">
        <v>43984</v>
      </c>
      <c r="E1549">
        <v>324.25</v>
      </c>
      <c r="F1549">
        <v>850.5</v>
      </c>
      <c r="G1549">
        <v>283.7</v>
      </c>
      <c r="H1549">
        <v>508</v>
      </c>
      <c r="I1549">
        <v>27.94</v>
      </c>
      <c r="J1549">
        <v>5.2013999999999996</v>
      </c>
    </row>
    <row r="1550" spans="2:10" x14ac:dyDescent="0.3">
      <c r="B1550" s="10">
        <f t="shared" si="48"/>
        <v>2020</v>
      </c>
      <c r="C1550" s="10">
        <f t="shared" si="49"/>
        <v>6</v>
      </c>
      <c r="D1550" s="20">
        <v>43983</v>
      </c>
      <c r="E1550">
        <v>323.25</v>
      </c>
      <c r="F1550">
        <v>840.5</v>
      </c>
      <c r="G1550">
        <v>283.10000000000002</v>
      </c>
      <c r="H1550">
        <v>515.25</v>
      </c>
      <c r="I1550">
        <v>27.6</v>
      </c>
      <c r="J1550">
        <v>5.3632999999999997</v>
      </c>
    </row>
    <row r="1551" spans="2:10" x14ac:dyDescent="0.3">
      <c r="B1551" s="10">
        <f t="shared" si="48"/>
        <v>2020</v>
      </c>
      <c r="C1551" s="10">
        <f t="shared" si="49"/>
        <v>5</v>
      </c>
      <c r="D1551" s="20">
        <v>43980</v>
      </c>
      <c r="E1551">
        <v>325.75</v>
      </c>
      <c r="F1551">
        <v>840.75</v>
      </c>
      <c r="G1551">
        <v>283.2</v>
      </c>
      <c r="H1551">
        <v>520.75</v>
      </c>
      <c r="I1551">
        <v>27.38</v>
      </c>
      <c r="J1551">
        <v>5.3361000000000001</v>
      </c>
    </row>
    <row r="1552" spans="2:10" x14ac:dyDescent="0.3">
      <c r="B1552" s="10">
        <f t="shared" si="48"/>
        <v>2020</v>
      </c>
      <c r="C1552" s="10">
        <f t="shared" si="49"/>
        <v>5</v>
      </c>
      <c r="D1552" s="20">
        <v>43979</v>
      </c>
      <c r="E1552">
        <v>327.5</v>
      </c>
      <c r="F1552">
        <v>847</v>
      </c>
      <c r="G1552">
        <v>284.3</v>
      </c>
      <c r="H1552">
        <v>514.5</v>
      </c>
      <c r="I1552">
        <v>27.39</v>
      </c>
      <c r="J1552">
        <v>5.4044999999999996</v>
      </c>
    </row>
    <row r="1553" spans="2:10" x14ac:dyDescent="0.3">
      <c r="B1553" s="10">
        <f t="shared" si="48"/>
        <v>2020</v>
      </c>
      <c r="C1553" s="10">
        <f t="shared" si="49"/>
        <v>5</v>
      </c>
      <c r="D1553" s="20">
        <v>43978</v>
      </c>
      <c r="E1553">
        <v>320.5</v>
      </c>
      <c r="F1553">
        <v>848.5</v>
      </c>
      <c r="G1553">
        <v>282</v>
      </c>
      <c r="H1553">
        <v>504.5</v>
      </c>
      <c r="I1553">
        <v>27.6</v>
      </c>
      <c r="J1553">
        <v>5.2732999999999999</v>
      </c>
    </row>
    <row r="1554" spans="2:10" x14ac:dyDescent="0.3">
      <c r="B1554" s="10">
        <f t="shared" si="48"/>
        <v>2020</v>
      </c>
      <c r="C1554" s="10">
        <f t="shared" si="49"/>
        <v>5</v>
      </c>
      <c r="D1554" s="20">
        <v>43977</v>
      </c>
      <c r="E1554">
        <v>319</v>
      </c>
      <c r="F1554">
        <v>847</v>
      </c>
      <c r="G1554">
        <v>283.89999999999998</v>
      </c>
      <c r="H1554">
        <v>506.75</v>
      </c>
      <c r="I1554">
        <v>27.27</v>
      </c>
      <c r="J1554">
        <v>5.3449999999999998</v>
      </c>
    </row>
    <row r="1555" spans="2:10" x14ac:dyDescent="0.3">
      <c r="B1555" s="10">
        <f t="shared" si="48"/>
        <v>2020</v>
      </c>
      <c r="C1555" s="10">
        <f t="shared" si="49"/>
        <v>5</v>
      </c>
      <c r="D1555" s="20">
        <v>43976</v>
      </c>
      <c r="J1555">
        <v>5.4461000000000004</v>
      </c>
    </row>
    <row r="1556" spans="2:10" x14ac:dyDescent="0.3">
      <c r="B1556" s="10">
        <f t="shared" si="48"/>
        <v>2020</v>
      </c>
      <c r="C1556" s="10">
        <f t="shared" si="49"/>
        <v>5</v>
      </c>
      <c r="D1556" s="20">
        <v>43973</v>
      </c>
      <c r="E1556">
        <v>318</v>
      </c>
      <c r="F1556">
        <v>833.25</v>
      </c>
      <c r="G1556">
        <v>284.10000000000002</v>
      </c>
      <c r="H1556">
        <v>508.75</v>
      </c>
      <c r="I1556">
        <v>26.64</v>
      </c>
      <c r="J1556">
        <v>5.5338000000000003</v>
      </c>
    </row>
    <row r="1557" spans="2:10" x14ac:dyDescent="0.3">
      <c r="B1557" s="10">
        <f t="shared" si="48"/>
        <v>2020</v>
      </c>
      <c r="C1557" s="10">
        <f t="shared" si="49"/>
        <v>5</v>
      </c>
      <c r="D1557" s="20">
        <v>43972</v>
      </c>
      <c r="E1557">
        <v>317.75</v>
      </c>
      <c r="F1557">
        <v>835</v>
      </c>
      <c r="G1557">
        <v>282.5</v>
      </c>
      <c r="H1557">
        <v>516</v>
      </c>
      <c r="I1557">
        <v>27.11</v>
      </c>
      <c r="J1557">
        <v>5.5507</v>
      </c>
    </row>
    <row r="1558" spans="2:10" x14ac:dyDescent="0.3">
      <c r="B1558" s="10">
        <f t="shared" si="48"/>
        <v>2020</v>
      </c>
      <c r="C1558" s="10">
        <f t="shared" si="49"/>
        <v>5</v>
      </c>
      <c r="D1558" s="20">
        <v>43971</v>
      </c>
      <c r="E1558">
        <v>319.5</v>
      </c>
      <c r="F1558">
        <v>846.75</v>
      </c>
      <c r="G1558">
        <v>285.5</v>
      </c>
      <c r="H1558">
        <v>513.75</v>
      </c>
      <c r="I1558">
        <v>27.36</v>
      </c>
      <c r="J1558">
        <v>5.6924999999999999</v>
      </c>
    </row>
    <row r="1559" spans="2:10" x14ac:dyDescent="0.3">
      <c r="B1559" s="10">
        <f t="shared" si="48"/>
        <v>2020</v>
      </c>
      <c r="C1559" s="10">
        <f t="shared" si="49"/>
        <v>5</v>
      </c>
      <c r="D1559" s="20">
        <v>43970</v>
      </c>
      <c r="E1559">
        <v>321.25</v>
      </c>
      <c r="F1559">
        <v>842.5</v>
      </c>
      <c r="G1559">
        <v>284.60000000000002</v>
      </c>
      <c r="H1559">
        <v>498.75</v>
      </c>
      <c r="I1559">
        <v>27.09</v>
      </c>
      <c r="J1559">
        <v>5.7539999999999996</v>
      </c>
    </row>
    <row r="1560" spans="2:10" x14ac:dyDescent="0.3">
      <c r="B1560" s="10">
        <f t="shared" si="48"/>
        <v>2020</v>
      </c>
      <c r="C1560" s="10">
        <f t="shared" si="49"/>
        <v>5</v>
      </c>
      <c r="D1560" s="20">
        <v>43969</v>
      </c>
      <c r="E1560">
        <v>320.75</v>
      </c>
      <c r="F1560">
        <v>845</v>
      </c>
      <c r="G1560">
        <v>285.10000000000002</v>
      </c>
      <c r="H1560">
        <v>497</v>
      </c>
      <c r="I1560">
        <v>27.32</v>
      </c>
      <c r="J1560">
        <v>5.7190000000000003</v>
      </c>
    </row>
    <row r="1561" spans="2:10" x14ac:dyDescent="0.3">
      <c r="B1561" s="10">
        <f t="shared" si="48"/>
        <v>2020</v>
      </c>
      <c r="C1561" s="10">
        <f t="shared" si="49"/>
        <v>5</v>
      </c>
      <c r="D1561" s="20">
        <v>43966</v>
      </c>
      <c r="E1561">
        <v>319.25</v>
      </c>
      <c r="F1561">
        <v>838.5</v>
      </c>
      <c r="G1561">
        <v>287.5</v>
      </c>
      <c r="H1561">
        <v>500.25</v>
      </c>
      <c r="I1561">
        <v>26.58</v>
      </c>
      <c r="J1561">
        <v>5.8554000000000004</v>
      </c>
    </row>
    <row r="1562" spans="2:10" x14ac:dyDescent="0.3">
      <c r="B1562" s="10">
        <f t="shared" si="48"/>
        <v>2020</v>
      </c>
      <c r="C1562" s="10">
        <f t="shared" si="49"/>
        <v>5</v>
      </c>
      <c r="D1562" s="20">
        <v>43965</v>
      </c>
      <c r="E1562">
        <v>320.25</v>
      </c>
      <c r="F1562">
        <v>835.25</v>
      </c>
      <c r="G1562">
        <v>285.2</v>
      </c>
      <c r="H1562">
        <v>510.5</v>
      </c>
      <c r="I1562">
        <v>25.92</v>
      </c>
      <c r="J1562">
        <v>5.8114999999999997</v>
      </c>
    </row>
    <row r="1563" spans="2:10" x14ac:dyDescent="0.3">
      <c r="B1563" s="10">
        <f t="shared" si="48"/>
        <v>2020</v>
      </c>
      <c r="C1563" s="10">
        <f t="shared" si="49"/>
        <v>5</v>
      </c>
      <c r="D1563" s="20">
        <v>43964</v>
      </c>
      <c r="E1563">
        <v>320.25</v>
      </c>
      <c r="F1563">
        <v>836</v>
      </c>
      <c r="G1563">
        <v>285.2</v>
      </c>
      <c r="H1563">
        <v>510.5</v>
      </c>
      <c r="I1563">
        <v>25.63</v>
      </c>
      <c r="J1563">
        <v>5.8852000000000002</v>
      </c>
    </row>
    <row r="1564" spans="2:10" x14ac:dyDescent="0.3">
      <c r="B1564" s="10">
        <f t="shared" si="48"/>
        <v>2020</v>
      </c>
      <c r="C1564" s="10">
        <f t="shared" si="49"/>
        <v>5</v>
      </c>
      <c r="D1564" s="20">
        <v>43963</v>
      </c>
      <c r="E1564">
        <v>323.75</v>
      </c>
      <c r="F1564">
        <v>849.25</v>
      </c>
      <c r="G1564">
        <v>288.60000000000002</v>
      </c>
      <c r="H1564">
        <v>521.75</v>
      </c>
      <c r="I1564">
        <v>25.98</v>
      </c>
      <c r="J1564">
        <v>5.8856000000000002</v>
      </c>
    </row>
    <row r="1565" spans="2:10" x14ac:dyDescent="0.3">
      <c r="B1565" s="10">
        <f t="shared" si="48"/>
        <v>2020</v>
      </c>
      <c r="C1565" s="10">
        <f t="shared" si="49"/>
        <v>5</v>
      </c>
      <c r="D1565" s="20">
        <v>43962</v>
      </c>
      <c r="E1565">
        <v>318.5</v>
      </c>
      <c r="F1565">
        <v>852.25</v>
      </c>
      <c r="G1565">
        <v>286.3</v>
      </c>
      <c r="H1565">
        <v>524.75</v>
      </c>
      <c r="I1565">
        <v>26.19</v>
      </c>
      <c r="J1565">
        <v>5.8179999999999996</v>
      </c>
    </row>
    <row r="1566" spans="2:10" x14ac:dyDescent="0.3">
      <c r="B1566" s="10">
        <f t="shared" si="48"/>
        <v>2020</v>
      </c>
      <c r="C1566" s="10">
        <f t="shared" si="49"/>
        <v>5</v>
      </c>
      <c r="D1566" s="20">
        <v>43959</v>
      </c>
      <c r="E1566">
        <v>319</v>
      </c>
      <c r="F1566">
        <v>848.75</v>
      </c>
      <c r="G1566">
        <v>286.7</v>
      </c>
      <c r="H1566">
        <v>529.5</v>
      </c>
      <c r="I1566">
        <v>26.23</v>
      </c>
      <c r="J1566">
        <v>5.7319000000000004</v>
      </c>
    </row>
    <row r="1567" spans="2:10" x14ac:dyDescent="0.3">
      <c r="B1567" s="10">
        <f t="shared" si="48"/>
        <v>2020</v>
      </c>
      <c r="C1567" s="10">
        <f t="shared" si="49"/>
        <v>5</v>
      </c>
      <c r="D1567" s="20">
        <v>43958</v>
      </c>
      <c r="E1567">
        <v>316</v>
      </c>
      <c r="F1567">
        <v>841.5</v>
      </c>
      <c r="G1567">
        <v>283.60000000000002</v>
      </c>
      <c r="H1567">
        <v>529</v>
      </c>
      <c r="I1567">
        <v>25.94</v>
      </c>
      <c r="J1567">
        <v>5.8307000000000002</v>
      </c>
    </row>
    <row r="1568" spans="2:10" x14ac:dyDescent="0.3">
      <c r="B1568" s="10">
        <f t="shared" si="48"/>
        <v>2020</v>
      </c>
      <c r="C1568" s="10">
        <f t="shared" si="49"/>
        <v>5</v>
      </c>
      <c r="D1568" s="20">
        <v>43957</v>
      </c>
      <c r="E1568">
        <v>311.75</v>
      </c>
      <c r="F1568">
        <v>830.5</v>
      </c>
      <c r="G1568">
        <v>283.10000000000002</v>
      </c>
      <c r="H1568">
        <v>524.75</v>
      </c>
      <c r="I1568">
        <v>25.52</v>
      </c>
      <c r="J1568">
        <v>5.7140000000000004</v>
      </c>
    </row>
    <row r="1569" spans="2:10" x14ac:dyDescent="0.3">
      <c r="B1569" s="10">
        <f t="shared" si="48"/>
        <v>2020</v>
      </c>
      <c r="C1569" s="10">
        <f t="shared" si="49"/>
        <v>5</v>
      </c>
      <c r="D1569" s="20">
        <v>43956</v>
      </c>
      <c r="E1569">
        <v>313</v>
      </c>
      <c r="F1569">
        <v>838.25</v>
      </c>
      <c r="G1569">
        <v>284.8</v>
      </c>
      <c r="H1569">
        <v>525.5</v>
      </c>
      <c r="I1569">
        <v>25.97</v>
      </c>
      <c r="J1569">
        <v>5.5782999999999996</v>
      </c>
    </row>
    <row r="1570" spans="2:10" x14ac:dyDescent="0.3">
      <c r="B1570" s="10">
        <f t="shared" si="48"/>
        <v>2020</v>
      </c>
      <c r="C1570" s="10">
        <f t="shared" si="49"/>
        <v>5</v>
      </c>
      <c r="D1570" s="20">
        <v>43955</v>
      </c>
      <c r="E1570">
        <v>310.75</v>
      </c>
      <c r="F1570">
        <v>834</v>
      </c>
      <c r="G1570">
        <v>283.3</v>
      </c>
      <c r="H1570">
        <v>524.25</v>
      </c>
      <c r="I1570">
        <v>25.8</v>
      </c>
      <c r="J1570">
        <v>5.5449999999999999</v>
      </c>
    </row>
    <row r="1571" spans="2:10" x14ac:dyDescent="0.3">
      <c r="B1571" s="10">
        <f t="shared" si="48"/>
        <v>2020</v>
      </c>
      <c r="C1571" s="10">
        <f t="shared" si="49"/>
        <v>5</v>
      </c>
      <c r="D1571" s="20">
        <v>43952</v>
      </c>
      <c r="E1571">
        <v>311.5</v>
      </c>
      <c r="F1571">
        <v>847.25</v>
      </c>
      <c r="G1571">
        <v>287.39999999999998</v>
      </c>
      <c r="H1571">
        <v>521.5</v>
      </c>
      <c r="I1571">
        <v>26.14</v>
      </c>
      <c r="J1571">
        <v>5.4855999999999998</v>
      </c>
    </row>
    <row r="1572" spans="2:10" x14ac:dyDescent="0.3">
      <c r="B1572" s="10">
        <f t="shared" si="48"/>
        <v>2020</v>
      </c>
      <c r="C1572" s="10">
        <f t="shared" si="49"/>
        <v>4</v>
      </c>
      <c r="D1572" s="20">
        <v>43951</v>
      </c>
      <c r="E1572">
        <v>311.5</v>
      </c>
      <c r="F1572">
        <v>850.25</v>
      </c>
      <c r="G1572">
        <v>289.60000000000002</v>
      </c>
      <c r="H1572">
        <v>529.75</v>
      </c>
      <c r="I1572">
        <v>26.23</v>
      </c>
      <c r="J1572">
        <v>5.4858000000000002</v>
      </c>
    </row>
    <row r="1573" spans="2:10" x14ac:dyDescent="0.3">
      <c r="B1573" s="10">
        <f t="shared" si="48"/>
        <v>2020</v>
      </c>
      <c r="C1573" s="10">
        <f t="shared" si="49"/>
        <v>4</v>
      </c>
      <c r="D1573" s="20">
        <v>43950</v>
      </c>
      <c r="E1573">
        <v>304.5</v>
      </c>
      <c r="F1573">
        <v>831.75</v>
      </c>
      <c r="G1573">
        <v>283.2</v>
      </c>
      <c r="H1573">
        <v>519.5</v>
      </c>
      <c r="I1573">
        <v>25.78</v>
      </c>
      <c r="J1573">
        <v>5.3348000000000004</v>
      </c>
    </row>
    <row r="1574" spans="2:10" x14ac:dyDescent="0.3">
      <c r="B1574" s="10">
        <f t="shared" si="48"/>
        <v>2020</v>
      </c>
      <c r="C1574" s="10">
        <f t="shared" si="49"/>
        <v>4</v>
      </c>
      <c r="D1574" s="20">
        <v>43949</v>
      </c>
      <c r="E1574">
        <v>302.75</v>
      </c>
      <c r="F1574">
        <v>826</v>
      </c>
      <c r="G1574">
        <v>281.8</v>
      </c>
      <c r="H1574">
        <v>526.75</v>
      </c>
      <c r="I1574">
        <v>25.3</v>
      </c>
      <c r="J1574">
        <v>5.4999000000000002</v>
      </c>
    </row>
    <row r="1575" spans="2:10" x14ac:dyDescent="0.3">
      <c r="B1575" s="10">
        <f t="shared" si="48"/>
        <v>2020</v>
      </c>
      <c r="C1575" s="10">
        <f t="shared" si="49"/>
        <v>4</v>
      </c>
      <c r="D1575" s="20">
        <v>43948</v>
      </c>
      <c r="E1575">
        <v>305.5</v>
      </c>
      <c r="F1575">
        <v>829</v>
      </c>
      <c r="G1575">
        <v>285.3</v>
      </c>
      <c r="H1575">
        <v>521</v>
      </c>
      <c r="I1575">
        <v>24.99</v>
      </c>
      <c r="J1575">
        <v>5.6525999999999996</v>
      </c>
    </row>
    <row r="1576" spans="2:10" x14ac:dyDescent="0.3">
      <c r="B1576" s="10">
        <f t="shared" si="48"/>
        <v>2020</v>
      </c>
      <c r="C1576" s="10">
        <f t="shared" si="49"/>
        <v>4</v>
      </c>
      <c r="D1576" s="20">
        <v>43945</v>
      </c>
      <c r="E1576">
        <v>315.75</v>
      </c>
      <c r="F1576">
        <v>832.25</v>
      </c>
      <c r="G1576">
        <v>287.7</v>
      </c>
      <c r="H1576">
        <v>526.75</v>
      </c>
      <c r="I1576">
        <v>25.05</v>
      </c>
      <c r="J1576">
        <v>5.5907</v>
      </c>
    </row>
    <row r="1577" spans="2:10" x14ac:dyDescent="0.3">
      <c r="B1577" s="10">
        <f t="shared" si="48"/>
        <v>2020</v>
      </c>
      <c r="C1577" s="10">
        <f t="shared" si="49"/>
        <v>4</v>
      </c>
      <c r="D1577" s="20">
        <v>43944</v>
      </c>
      <c r="E1577">
        <v>319.25</v>
      </c>
      <c r="F1577">
        <v>839.25</v>
      </c>
      <c r="G1577">
        <v>288.7</v>
      </c>
      <c r="H1577">
        <v>547</v>
      </c>
      <c r="I1577">
        <v>25.61</v>
      </c>
      <c r="J1577">
        <v>5.5335000000000001</v>
      </c>
    </row>
    <row r="1578" spans="2:10" x14ac:dyDescent="0.3">
      <c r="B1578" s="10">
        <f t="shared" si="48"/>
        <v>2020</v>
      </c>
      <c r="C1578" s="10">
        <f t="shared" si="49"/>
        <v>4</v>
      </c>
      <c r="D1578" s="20">
        <v>43943</v>
      </c>
      <c r="E1578">
        <v>317.5</v>
      </c>
      <c r="F1578">
        <v>834.75</v>
      </c>
      <c r="G1578">
        <v>288.3</v>
      </c>
      <c r="H1578">
        <v>543</v>
      </c>
      <c r="I1578">
        <v>25.57</v>
      </c>
      <c r="J1578">
        <v>5.4580000000000002</v>
      </c>
    </row>
    <row r="1579" spans="2:10" x14ac:dyDescent="0.3">
      <c r="B1579" s="10">
        <f t="shared" si="48"/>
        <v>2020</v>
      </c>
      <c r="C1579" s="10">
        <f t="shared" si="49"/>
        <v>4</v>
      </c>
      <c r="D1579" s="20">
        <v>43942</v>
      </c>
      <c r="E1579">
        <v>309.25</v>
      </c>
      <c r="F1579">
        <v>830.75</v>
      </c>
      <c r="G1579">
        <v>289.10000000000002</v>
      </c>
      <c r="H1579">
        <v>546.75</v>
      </c>
      <c r="I1579">
        <v>25.35</v>
      </c>
      <c r="J1579">
        <v>5.3163</v>
      </c>
    </row>
    <row r="1580" spans="2:10" x14ac:dyDescent="0.3">
      <c r="B1580" s="10">
        <f t="shared" si="48"/>
        <v>2020</v>
      </c>
      <c r="C1580" s="10">
        <f t="shared" si="49"/>
        <v>4</v>
      </c>
      <c r="D1580" s="20">
        <v>43941</v>
      </c>
      <c r="E1580">
        <v>314.25</v>
      </c>
      <c r="F1580">
        <v>826.5</v>
      </c>
      <c r="G1580">
        <v>285.60000000000002</v>
      </c>
      <c r="H1580">
        <v>548.75</v>
      </c>
      <c r="I1580">
        <v>25.98</v>
      </c>
      <c r="J1580">
        <v>5.3167999999999997</v>
      </c>
    </row>
    <row r="1581" spans="2:10" x14ac:dyDescent="0.3">
      <c r="B1581" s="10">
        <f t="shared" si="48"/>
        <v>2020</v>
      </c>
      <c r="C1581" s="10">
        <f t="shared" si="49"/>
        <v>4</v>
      </c>
      <c r="D1581" s="20">
        <v>43938</v>
      </c>
      <c r="E1581">
        <v>322.25</v>
      </c>
      <c r="F1581">
        <v>832.5</v>
      </c>
      <c r="G1581">
        <v>288.2</v>
      </c>
      <c r="H1581">
        <v>533.5</v>
      </c>
      <c r="I1581">
        <v>26.29</v>
      </c>
      <c r="J1581">
        <v>5.2363</v>
      </c>
    </row>
    <row r="1582" spans="2:10" x14ac:dyDescent="0.3">
      <c r="B1582" s="10">
        <f t="shared" si="48"/>
        <v>2020</v>
      </c>
      <c r="C1582" s="10">
        <f t="shared" si="49"/>
        <v>4</v>
      </c>
      <c r="D1582" s="20">
        <v>43937</v>
      </c>
      <c r="E1582">
        <v>319.75</v>
      </c>
      <c r="F1582">
        <v>836.75</v>
      </c>
      <c r="G1582">
        <v>291.8</v>
      </c>
      <c r="H1582">
        <v>529.75</v>
      </c>
      <c r="I1582">
        <v>26.3</v>
      </c>
      <c r="J1582">
        <v>5.2332999999999998</v>
      </c>
    </row>
    <row r="1583" spans="2:10" x14ac:dyDescent="0.3">
      <c r="B1583" s="10">
        <f t="shared" si="48"/>
        <v>2020</v>
      </c>
      <c r="C1583" s="10">
        <f t="shared" si="49"/>
        <v>4</v>
      </c>
      <c r="D1583" s="20">
        <v>43936</v>
      </c>
      <c r="E1583">
        <v>319.25</v>
      </c>
      <c r="F1583">
        <v>842</v>
      </c>
      <c r="G1583">
        <v>292.2</v>
      </c>
      <c r="H1583">
        <v>540.25</v>
      </c>
      <c r="I1583">
        <v>26.55</v>
      </c>
      <c r="J1583">
        <v>5.2366999999999999</v>
      </c>
    </row>
    <row r="1584" spans="2:10" x14ac:dyDescent="0.3">
      <c r="B1584" s="10">
        <f t="shared" si="48"/>
        <v>2020</v>
      </c>
      <c r="C1584" s="10">
        <f t="shared" si="49"/>
        <v>4</v>
      </c>
      <c r="D1584" s="20">
        <v>43935</v>
      </c>
      <c r="E1584">
        <v>326</v>
      </c>
      <c r="F1584">
        <v>847</v>
      </c>
      <c r="G1584">
        <v>287.5</v>
      </c>
      <c r="H1584">
        <v>548.75</v>
      </c>
      <c r="I1584">
        <v>26.74</v>
      </c>
      <c r="J1584">
        <v>5.1620999999999997</v>
      </c>
    </row>
    <row r="1585" spans="2:10" x14ac:dyDescent="0.3">
      <c r="B1585" s="10">
        <f t="shared" si="48"/>
        <v>2020</v>
      </c>
      <c r="C1585" s="10">
        <f t="shared" si="49"/>
        <v>4</v>
      </c>
      <c r="D1585" s="20">
        <v>43934</v>
      </c>
      <c r="E1585">
        <v>331.5</v>
      </c>
      <c r="F1585">
        <v>854.25</v>
      </c>
      <c r="G1585">
        <v>288.60000000000002</v>
      </c>
      <c r="H1585">
        <v>555</v>
      </c>
      <c r="I1585">
        <v>26.9</v>
      </c>
      <c r="J1585">
        <v>5.1993999999999998</v>
      </c>
    </row>
    <row r="1586" spans="2:10" x14ac:dyDescent="0.3">
      <c r="B1586" s="10">
        <f t="shared" si="48"/>
        <v>2020</v>
      </c>
      <c r="C1586" s="10">
        <f t="shared" si="49"/>
        <v>4</v>
      </c>
      <c r="D1586" s="20">
        <v>43931</v>
      </c>
      <c r="J1586">
        <v>5.1063000000000001</v>
      </c>
    </row>
    <row r="1587" spans="2:10" x14ac:dyDescent="0.3">
      <c r="B1587" s="10">
        <f t="shared" si="48"/>
        <v>2020</v>
      </c>
      <c r="C1587" s="10">
        <f t="shared" si="49"/>
        <v>4</v>
      </c>
      <c r="D1587" s="20">
        <v>43930</v>
      </c>
      <c r="E1587">
        <v>331.75</v>
      </c>
      <c r="F1587">
        <v>863.5</v>
      </c>
      <c r="G1587">
        <v>292.5</v>
      </c>
      <c r="H1587">
        <v>556.5</v>
      </c>
      <c r="I1587">
        <v>27.41</v>
      </c>
      <c r="J1587">
        <v>5.1070000000000002</v>
      </c>
    </row>
    <row r="1588" spans="2:10" x14ac:dyDescent="0.3">
      <c r="B1588" s="10">
        <f t="shared" si="48"/>
        <v>2020</v>
      </c>
      <c r="C1588" s="10">
        <f t="shared" si="49"/>
        <v>4</v>
      </c>
      <c r="D1588" s="20">
        <v>43929</v>
      </c>
      <c r="E1588">
        <v>330</v>
      </c>
      <c r="F1588">
        <v>854.5</v>
      </c>
      <c r="G1588">
        <v>292.8</v>
      </c>
      <c r="H1588">
        <v>548.25</v>
      </c>
      <c r="I1588">
        <v>27.18</v>
      </c>
      <c r="J1588">
        <v>5.1233000000000004</v>
      </c>
    </row>
    <row r="1589" spans="2:10" x14ac:dyDescent="0.3">
      <c r="B1589" s="10">
        <f t="shared" si="48"/>
        <v>2020</v>
      </c>
      <c r="C1589" s="10">
        <f t="shared" si="49"/>
        <v>4</v>
      </c>
      <c r="D1589" s="20">
        <v>43928</v>
      </c>
      <c r="E1589">
        <v>331.5</v>
      </c>
      <c r="F1589">
        <v>854.75</v>
      </c>
      <c r="G1589">
        <v>293.8</v>
      </c>
      <c r="H1589">
        <v>549.25</v>
      </c>
      <c r="I1589">
        <v>27.48</v>
      </c>
      <c r="J1589">
        <v>5.2214</v>
      </c>
    </row>
    <row r="1590" spans="2:10" x14ac:dyDescent="0.3">
      <c r="B1590" s="10">
        <f t="shared" si="48"/>
        <v>2020</v>
      </c>
      <c r="C1590" s="10">
        <f t="shared" si="49"/>
        <v>4</v>
      </c>
      <c r="D1590" s="20">
        <v>43927</v>
      </c>
      <c r="E1590">
        <v>327.75</v>
      </c>
      <c r="F1590">
        <v>855.5</v>
      </c>
      <c r="G1590">
        <v>297</v>
      </c>
      <c r="H1590">
        <v>555.75</v>
      </c>
      <c r="I1590">
        <v>26.83</v>
      </c>
      <c r="J1590">
        <v>5.2862999999999998</v>
      </c>
    </row>
    <row r="1591" spans="2:10" x14ac:dyDescent="0.3">
      <c r="B1591" s="10">
        <f t="shared" si="48"/>
        <v>2020</v>
      </c>
      <c r="C1591" s="10">
        <f t="shared" si="49"/>
        <v>4</v>
      </c>
      <c r="D1591" s="20">
        <v>43924</v>
      </c>
      <c r="E1591">
        <v>330.75</v>
      </c>
      <c r="F1591">
        <v>854.25</v>
      </c>
      <c r="G1591">
        <v>303.2</v>
      </c>
      <c r="H1591">
        <v>549.25</v>
      </c>
      <c r="I1591">
        <v>26.43</v>
      </c>
      <c r="J1591">
        <v>5.3506</v>
      </c>
    </row>
    <row r="1592" spans="2:10" x14ac:dyDescent="0.3">
      <c r="B1592" s="10">
        <f t="shared" si="48"/>
        <v>2020</v>
      </c>
      <c r="C1592" s="10">
        <f t="shared" si="49"/>
        <v>4</v>
      </c>
      <c r="D1592" s="20">
        <v>43923</v>
      </c>
      <c r="E1592">
        <v>333.5</v>
      </c>
      <c r="F1592">
        <v>858.75</v>
      </c>
      <c r="G1592">
        <v>309.10000000000002</v>
      </c>
      <c r="H1592">
        <v>541.75</v>
      </c>
      <c r="I1592">
        <v>26.24</v>
      </c>
      <c r="J1592">
        <v>5.2533000000000003</v>
      </c>
    </row>
    <row r="1593" spans="2:10" x14ac:dyDescent="0.3">
      <c r="B1593" s="10">
        <f t="shared" si="48"/>
        <v>2020</v>
      </c>
      <c r="C1593" s="10">
        <f t="shared" si="49"/>
        <v>4</v>
      </c>
      <c r="D1593" s="20">
        <v>43922</v>
      </c>
      <c r="E1593">
        <v>334.75</v>
      </c>
      <c r="F1593">
        <v>862.75</v>
      </c>
      <c r="G1593">
        <v>314.89999999999998</v>
      </c>
      <c r="H1593">
        <v>550.25</v>
      </c>
      <c r="I1593">
        <v>26.05</v>
      </c>
      <c r="J1593">
        <v>5.2492999999999999</v>
      </c>
    </row>
    <row r="1594" spans="2:10" x14ac:dyDescent="0.3">
      <c r="B1594" s="10">
        <f t="shared" si="48"/>
        <v>2020</v>
      </c>
      <c r="C1594" s="10">
        <f t="shared" si="49"/>
        <v>3</v>
      </c>
      <c r="D1594" s="20">
        <v>43921</v>
      </c>
      <c r="E1594">
        <v>340.75</v>
      </c>
      <c r="F1594">
        <v>886</v>
      </c>
      <c r="G1594">
        <v>321.5</v>
      </c>
      <c r="H1594">
        <v>568.75</v>
      </c>
      <c r="I1594">
        <v>27.01</v>
      </c>
      <c r="J1594">
        <v>5.2046000000000001</v>
      </c>
    </row>
    <row r="1595" spans="2:10" x14ac:dyDescent="0.3">
      <c r="B1595" s="10">
        <f t="shared" si="48"/>
        <v>2020</v>
      </c>
      <c r="C1595" s="10">
        <f t="shared" si="49"/>
        <v>3</v>
      </c>
      <c r="D1595" s="20">
        <v>43920</v>
      </c>
      <c r="E1595">
        <v>341.25</v>
      </c>
      <c r="F1595">
        <v>882.25</v>
      </c>
      <c r="G1595">
        <v>325.5</v>
      </c>
      <c r="H1595">
        <v>569.5</v>
      </c>
      <c r="I1595">
        <v>26.87</v>
      </c>
      <c r="J1595">
        <v>5.1936</v>
      </c>
    </row>
    <row r="1596" spans="2:10" x14ac:dyDescent="0.3">
      <c r="B1596" s="10">
        <f t="shared" si="48"/>
        <v>2020</v>
      </c>
      <c r="C1596" s="10">
        <f t="shared" si="49"/>
        <v>3</v>
      </c>
      <c r="D1596" s="20">
        <v>43917</v>
      </c>
      <c r="E1596">
        <v>346</v>
      </c>
      <c r="F1596">
        <v>881.5</v>
      </c>
      <c r="G1596">
        <v>323.10000000000002</v>
      </c>
      <c r="H1596">
        <v>571.25</v>
      </c>
      <c r="I1596">
        <v>26.85</v>
      </c>
      <c r="J1596">
        <v>5.0997000000000003</v>
      </c>
    </row>
    <row r="1597" spans="2:10" x14ac:dyDescent="0.3">
      <c r="B1597" s="10">
        <f t="shared" si="48"/>
        <v>2020</v>
      </c>
      <c r="C1597" s="10">
        <f t="shared" si="49"/>
        <v>3</v>
      </c>
      <c r="D1597" s="20">
        <v>43916</v>
      </c>
      <c r="E1597">
        <v>348.75</v>
      </c>
      <c r="F1597">
        <v>880.25</v>
      </c>
      <c r="G1597">
        <v>322.89999999999998</v>
      </c>
      <c r="H1597">
        <v>569</v>
      </c>
      <c r="I1597">
        <v>26.5</v>
      </c>
      <c r="J1597">
        <v>5.0212000000000003</v>
      </c>
    </row>
    <row r="1598" spans="2:10" x14ac:dyDescent="0.3">
      <c r="B1598" s="10">
        <f t="shared" si="48"/>
        <v>2020</v>
      </c>
      <c r="C1598" s="10">
        <f t="shared" si="49"/>
        <v>3</v>
      </c>
      <c r="D1598" s="20">
        <v>43915</v>
      </c>
      <c r="E1598">
        <v>348.5</v>
      </c>
      <c r="F1598">
        <v>881.5</v>
      </c>
      <c r="G1598">
        <v>321.7</v>
      </c>
      <c r="H1598">
        <v>580</v>
      </c>
      <c r="I1598">
        <v>26.64</v>
      </c>
      <c r="J1598">
        <v>5.0353000000000003</v>
      </c>
    </row>
    <row r="1599" spans="2:10" x14ac:dyDescent="0.3">
      <c r="B1599" s="10">
        <f t="shared" si="48"/>
        <v>2020</v>
      </c>
      <c r="C1599" s="10">
        <f t="shared" si="49"/>
        <v>3</v>
      </c>
      <c r="D1599" s="20">
        <v>43914</v>
      </c>
      <c r="E1599">
        <v>347.25</v>
      </c>
      <c r="F1599">
        <v>886.75</v>
      </c>
      <c r="G1599">
        <v>332.1</v>
      </c>
      <c r="H1599">
        <v>561.5</v>
      </c>
      <c r="I1599">
        <v>26.55</v>
      </c>
      <c r="J1599">
        <v>5.0983000000000001</v>
      </c>
    </row>
    <row r="1600" spans="2:10" x14ac:dyDescent="0.3">
      <c r="B1600" s="10">
        <f t="shared" si="48"/>
        <v>2020</v>
      </c>
      <c r="C1600" s="10">
        <f t="shared" si="49"/>
        <v>3</v>
      </c>
      <c r="D1600" s="20">
        <v>43913</v>
      </c>
      <c r="E1600">
        <v>343.5</v>
      </c>
      <c r="F1600">
        <v>884</v>
      </c>
      <c r="G1600">
        <v>333.6</v>
      </c>
      <c r="H1600">
        <v>562.5</v>
      </c>
      <c r="I1600">
        <v>26.14</v>
      </c>
      <c r="J1600">
        <v>5.1444000000000001</v>
      </c>
    </row>
    <row r="1601" spans="2:10" x14ac:dyDescent="0.3">
      <c r="B1601" s="10">
        <f t="shared" si="48"/>
        <v>2020</v>
      </c>
      <c r="C1601" s="10">
        <f t="shared" si="49"/>
        <v>3</v>
      </c>
      <c r="D1601" s="20">
        <v>43910</v>
      </c>
      <c r="E1601">
        <v>343.75</v>
      </c>
      <c r="F1601">
        <v>862.5</v>
      </c>
      <c r="G1601">
        <v>325.2</v>
      </c>
      <c r="H1601">
        <v>539.25</v>
      </c>
      <c r="I1601">
        <v>25.64</v>
      </c>
      <c r="J1601">
        <v>5.0627000000000004</v>
      </c>
    </row>
    <row r="1602" spans="2:10" x14ac:dyDescent="0.3">
      <c r="B1602" s="10">
        <f t="shared" si="48"/>
        <v>2020</v>
      </c>
      <c r="C1602" s="10">
        <f t="shared" si="49"/>
        <v>3</v>
      </c>
      <c r="D1602" s="20">
        <v>43909</v>
      </c>
      <c r="E1602">
        <v>345.5</v>
      </c>
      <c r="F1602">
        <v>843.25</v>
      </c>
      <c r="G1602">
        <v>314.8</v>
      </c>
      <c r="H1602">
        <v>535</v>
      </c>
      <c r="I1602">
        <v>25.48</v>
      </c>
      <c r="J1602">
        <v>5.0956999999999999</v>
      </c>
    </row>
    <row r="1603" spans="2:10" x14ac:dyDescent="0.3">
      <c r="B1603" s="10">
        <f t="shared" si="48"/>
        <v>2020</v>
      </c>
      <c r="C1603" s="10">
        <f t="shared" si="49"/>
        <v>3</v>
      </c>
      <c r="D1603" s="20">
        <v>43908</v>
      </c>
      <c r="E1603">
        <v>335.25</v>
      </c>
      <c r="F1603">
        <v>825.5</v>
      </c>
      <c r="G1603">
        <v>304</v>
      </c>
      <c r="H1603">
        <v>508.25</v>
      </c>
      <c r="I1603">
        <v>25.04</v>
      </c>
      <c r="J1603">
        <v>5.1063999999999998</v>
      </c>
    </row>
    <row r="1604" spans="2:10" x14ac:dyDescent="0.3">
      <c r="B1604" s="10">
        <f t="shared" si="48"/>
        <v>2020</v>
      </c>
      <c r="C1604" s="10">
        <f t="shared" si="49"/>
        <v>3</v>
      </c>
      <c r="D1604" s="20">
        <v>43907</v>
      </c>
      <c r="E1604">
        <v>344</v>
      </c>
      <c r="F1604">
        <v>824.25</v>
      </c>
      <c r="G1604">
        <v>298.3</v>
      </c>
      <c r="H1604">
        <v>499.25</v>
      </c>
      <c r="I1604">
        <v>25.24</v>
      </c>
      <c r="J1604">
        <v>5.0084</v>
      </c>
    </row>
    <row r="1605" spans="2:10" x14ac:dyDescent="0.3">
      <c r="B1605" s="10">
        <f t="shared" si="48"/>
        <v>2020</v>
      </c>
      <c r="C1605" s="10">
        <f t="shared" si="49"/>
        <v>3</v>
      </c>
      <c r="D1605" s="20">
        <v>43906</v>
      </c>
      <c r="E1605">
        <v>354.75</v>
      </c>
      <c r="F1605">
        <v>821.75</v>
      </c>
      <c r="G1605">
        <v>296.3</v>
      </c>
      <c r="H1605">
        <v>498</v>
      </c>
      <c r="I1605">
        <v>24.99</v>
      </c>
      <c r="J1605">
        <v>5.0002000000000004</v>
      </c>
    </row>
    <row r="1606" spans="2:10" x14ac:dyDescent="0.3">
      <c r="B1606" s="10">
        <f t="shared" ref="B1606:B1663" si="50">YEAR(D1606)</f>
        <v>2020</v>
      </c>
      <c r="C1606" s="10">
        <f t="shared" ref="C1606:C1663" si="51">MONTH(D1606)</f>
        <v>3</v>
      </c>
      <c r="D1606" s="20">
        <v>43903</v>
      </c>
      <c r="E1606">
        <v>370.75</v>
      </c>
      <c r="F1606">
        <v>846.75</v>
      </c>
      <c r="G1606">
        <v>295.89999999999998</v>
      </c>
      <c r="H1606">
        <v>514.75</v>
      </c>
      <c r="I1606">
        <v>26.11</v>
      </c>
      <c r="J1606">
        <v>4.8579999999999997</v>
      </c>
    </row>
    <row r="1607" spans="2:10" x14ac:dyDescent="0.3">
      <c r="B1607" s="10">
        <f t="shared" si="50"/>
        <v>2020</v>
      </c>
      <c r="C1607" s="10">
        <f t="shared" si="51"/>
        <v>3</v>
      </c>
      <c r="D1607" s="20">
        <v>43902</v>
      </c>
      <c r="E1607">
        <v>369.75</v>
      </c>
      <c r="F1607">
        <v>855</v>
      </c>
      <c r="G1607">
        <v>298.60000000000002</v>
      </c>
      <c r="H1607">
        <v>508.25</v>
      </c>
      <c r="I1607">
        <v>26.15</v>
      </c>
      <c r="J1607">
        <v>4.7910000000000004</v>
      </c>
    </row>
    <row r="1608" spans="2:10" x14ac:dyDescent="0.3">
      <c r="B1608" s="10">
        <f t="shared" si="50"/>
        <v>2020</v>
      </c>
      <c r="C1608" s="10">
        <f t="shared" si="51"/>
        <v>3</v>
      </c>
      <c r="D1608" s="20">
        <v>43901</v>
      </c>
      <c r="E1608">
        <v>379.25</v>
      </c>
      <c r="F1608">
        <v>867.75</v>
      </c>
      <c r="G1608">
        <v>295.89999999999998</v>
      </c>
      <c r="H1608">
        <v>517.25</v>
      </c>
      <c r="I1608">
        <v>27.3</v>
      </c>
      <c r="J1608">
        <v>4.8136000000000001</v>
      </c>
    </row>
    <row r="1609" spans="2:10" x14ac:dyDescent="0.3">
      <c r="B1609" s="10">
        <f t="shared" si="50"/>
        <v>2020</v>
      </c>
      <c r="C1609" s="10">
        <f t="shared" si="51"/>
        <v>3</v>
      </c>
      <c r="D1609" s="20">
        <v>43900</v>
      </c>
      <c r="E1609">
        <v>380</v>
      </c>
      <c r="F1609">
        <v>873</v>
      </c>
      <c r="G1609">
        <v>295.89999999999998</v>
      </c>
      <c r="H1609">
        <v>526.75</v>
      </c>
      <c r="I1609">
        <v>27.44</v>
      </c>
      <c r="J1609">
        <v>4.6425000000000001</v>
      </c>
    </row>
    <row r="1610" spans="2:10" x14ac:dyDescent="0.3">
      <c r="B1610" s="10">
        <f t="shared" si="50"/>
        <v>2020</v>
      </c>
      <c r="C1610" s="10">
        <f t="shared" si="51"/>
        <v>3</v>
      </c>
      <c r="D1610" s="20">
        <v>43899</v>
      </c>
      <c r="E1610">
        <v>374.25</v>
      </c>
      <c r="F1610">
        <v>863.5</v>
      </c>
      <c r="G1610">
        <v>296.60000000000002</v>
      </c>
      <c r="H1610">
        <v>522.25</v>
      </c>
      <c r="I1610">
        <v>27.31</v>
      </c>
      <c r="J1610">
        <v>4.7230999999999996</v>
      </c>
    </row>
    <row r="1611" spans="2:10" x14ac:dyDescent="0.3">
      <c r="B1611" s="10">
        <f t="shared" si="50"/>
        <v>2020</v>
      </c>
      <c r="C1611" s="10">
        <f t="shared" si="51"/>
        <v>3</v>
      </c>
      <c r="D1611" s="20">
        <v>43896</v>
      </c>
      <c r="E1611">
        <v>377.25</v>
      </c>
      <c r="F1611">
        <v>883.25</v>
      </c>
      <c r="G1611">
        <v>301.3</v>
      </c>
      <c r="H1611">
        <v>521.25</v>
      </c>
      <c r="I1611">
        <v>28.48</v>
      </c>
      <c r="J1611">
        <v>4.6269</v>
      </c>
    </row>
    <row r="1612" spans="2:10" x14ac:dyDescent="0.3">
      <c r="B1612" s="10">
        <f t="shared" si="50"/>
        <v>2020</v>
      </c>
      <c r="C1612" s="10">
        <f t="shared" si="51"/>
        <v>3</v>
      </c>
      <c r="D1612" s="20">
        <v>43895</v>
      </c>
      <c r="E1612">
        <v>384.5</v>
      </c>
      <c r="F1612">
        <v>889</v>
      </c>
      <c r="G1612">
        <v>300.39999999999998</v>
      </c>
      <c r="H1612">
        <v>524.25</v>
      </c>
      <c r="I1612">
        <v>29.1</v>
      </c>
      <c r="J1612">
        <v>4.6073000000000004</v>
      </c>
    </row>
    <row r="1613" spans="2:10" x14ac:dyDescent="0.3">
      <c r="B1613" s="10">
        <f t="shared" si="50"/>
        <v>2020</v>
      </c>
      <c r="C1613" s="10">
        <f t="shared" si="51"/>
        <v>3</v>
      </c>
      <c r="D1613" s="20">
        <v>43894</v>
      </c>
      <c r="E1613">
        <v>387</v>
      </c>
      <c r="F1613">
        <v>898.75</v>
      </c>
      <c r="G1613">
        <v>305.2</v>
      </c>
      <c r="H1613">
        <v>521.5</v>
      </c>
      <c r="I1613">
        <v>29.44</v>
      </c>
      <c r="J1613">
        <v>4.5846999999999998</v>
      </c>
    </row>
    <row r="1614" spans="2:10" x14ac:dyDescent="0.3">
      <c r="B1614" s="10">
        <f t="shared" si="50"/>
        <v>2020</v>
      </c>
      <c r="C1614" s="10">
        <f t="shared" si="51"/>
        <v>3</v>
      </c>
      <c r="D1614" s="20">
        <v>43893</v>
      </c>
      <c r="E1614">
        <v>381.75</v>
      </c>
      <c r="F1614">
        <v>893</v>
      </c>
      <c r="G1614">
        <v>303.8</v>
      </c>
      <c r="H1614">
        <v>528.75</v>
      </c>
      <c r="I1614">
        <v>28.84</v>
      </c>
      <c r="J1614">
        <v>4.5144000000000002</v>
      </c>
    </row>
    <row r="1615" spans="2:10" x14ac:dyDescent="0.3">
      <c r="B1615" s="10">
        <f t="shared" si="50"/>
        <v>2020</v>
      </c>
      <c r="C1615" s="10">
        <f t="shared" si="51"/>
        <v>3</v>
      </c>
      <c r="D1615" s="20">
        <v>43892</v>
      </c>
      <c r="E1615">
        <v>374.75</v>
      </c>
      <c r="F1615">
        <v>890.5</v>
      </c>
      <c r="G1615">
        <v>302.2</v>
      </c>
      <c r="H1615">
        <v>526.25</v>
      </c>
      <c r="I1615">
        <v>28.57</v>
      </c>
      <c r="J1615">
        <v>4.4740000000000002</v>
      </c>
    </row>
    <row r="1616" spans="2:10" x14ac:dyDescent="0.3">
      <c r="B1616" s="10">
        <f t="shared" si="50"/>
        <v>2020</v>
      </c>
      <c r="C1616" s="10">
        <f t="shared" si="51"/>
        <v>2</v>
      </c>
      <c r="D1616" s="20">
        <v>43889</v>
      </c>
      <c r="E1616">
        <v>366.5</v>
      </c>
      <c r="F1616">
        <v>883.5</v>
      </c>
      <c r="G1616">
        <v>298.60000000000002</v>
      </c>
      <c r="H1616">
        <v>529</v>
      </c>
      <c r="I1616">
        <v>28.31</v>
      </c>
      <c r="J1616">
        <v>4.4733000000000001</v>
      </c>
    </row>
    <row r="1617" spans="2:10" x14ac:dyDescent="0.3">
      <c r="B1617" s="10">
        <f t="shared" si="50"/>
        <v>2020</v>
      </c>
      <c r="C1617" s="10">
        <f t="shared" si="51"/>
        <v>2</v>
      </c>
      <c r="D1617" s="20">
        <v>43888</v>
      </c>
      <c r="E1617">
        <v>364.5</v>
      </c>
      <c r="F1617">
        <v>886.25</v>
      </c>
      <c r="G1617">
        <v>296.89999999999998</v>
      </c>
      <c r="H1617">
        <v>529.25</v>
      </c>
      <c r="I1617">
        <v>28.83</v>
      </c>
      <c r="J1617">
        <v>4.4861000000000004</v>
      </c>
    </row>
    <row r="1618" spans="2:10" x14ac:dyDescent="0.3">
      <c r="B1618" s="10">
        <f t="shared" si="50"/>
        <v>2020</v>
      </c>
      <c r="C1618" s="10">
        <f t="shared" si="51"/>
        <v>2</v>
      </c>
      <c r="D1618" s="20">
        <v>43887</v>
      </c>
      <c r="E1618">
        <v>370.5</v>
      </c>
      <c r="F1618">
        <v>881</v>
      </c>
      <c r="G1618">
        <v>291.3</v>
      </c>
      <c r="H1618">
        <v>540.25</v>
      </c>
      <c r="I1618">
        <v>29.07</v>
      </c>
      <c r="J1618">
        <v>4.4501999999999997</v>
      </c>
    </row>
    <row r="1619" spans="2:10" x14ac:dyDescent="0.3">
      <c r="B1619" s="10">
        <f t="shared" si="50"/>
        <v>2020</v>
      </c>
      <c r="C1619" s="10">
        <f t="shared" si="51"/>
        <v>2</v>
      </c>
      <c r="D1619" s="20">
        <v>43886</v>
      </c>
      <c r="E1619">
        <v>372.5</v>
      </c>
      <c r="F1619">
        <v>879</v>
      </c>
      <c r="G1619">
        <v>286.5</v>
      </c>
      <c r="H1619">
        <v>539</v>
      </c>
      <c r="I1619">
        <v>29.23</v>
      </c>
      <c r="J1619">
        <v>4.3878000000000004</v>
      </c>
    </row>
    <row r="1620" spans="2:10" x14ac:dyDescent="0.3">
      <c r="B1620" s="10">
        <f t="shared" si="50"/>
        <v>2020</v>
      </c>
      <c r="C1620" s="10">
        <f t="shared" si="51"/>
        <v>2</v>
      </c>
      <c r="D1620" s="20">
        <v>43885</v>
      </c>
      <c r="E1620">
        <v>372.25</v>
      </c>
      <c r="F1620">
        <v>874.25</v>
      </c>
      <c r="G1620">
        <v>286.10000000000002</v>
      </c>
      <c r="H1620">
        <v>536.25</v>
      </c>
      <c r="I1620">
        <v>29.49</v>
      </c>
      <c r="J1620">
        <v>4.3878000000000004</v>
      </c>
    </row>
    <row r="1621" spans="2:10" x14ac:dyDescent="0.3">
      <c r="B1621" s="10">
        <f t="shared" si="50"/>
        <v>2020</v>
      </c>
      <c r="C1621" s="10">
        <f t="shared" si="51"/>
        <v>2</v>
      </c>
      <c r="D1621" s="20">
        <v>43882</v>
      </c>
      <c r="E1621">
        <v>377</v>
      </c>
      <c r="F1621">
        <v>890.5</v>
      </c>
      <c r="G1621">
        <v>289.2</v>
      </c>
      <c r="H1621">
        <v>551</v>
      </c>
      <c r="I1621">
        <v>30.64</v>
      </c>
      <c r="J1621">
        <v>4.3895</v>
      </c>
    </row>
    <row r="1622" spans="2:10" x14ac:dyDescent="0.3">
      <c r="B1622" s="10">
        <f t="shared" si="50"/>
        <v>2020</v>
      </c>
      <c r="C1622" s="10">
        <f t="shared" si="51"/>
        <v>2</v>
      </c>
      <c r="D1622" s="20">
        <v>43881</v>
      </c>
      <c r="E1622">
        <v>378.5</v>
      </c>
      <c r="F1622">
        <v>892.75</v>
      </c>
      <c r="G1622">
        <v>292.89999999999998</v>
      </c>
      <c r="H1622">
        <v>560</v>
      </c>
      <c r="I1622">
        <v>30.12</v>
      </c>
      <c r="J1622">
        <v>4.3933</v>
      </c>
    </row>
    <row r="1623" spans="2:10" x14ac:dyDescent="0.3">
      <c r="B1623" s="10">
        <f t="shared" si="50"/>
        <v>2020</v>
      </c>
      <c r="C1623" s="10">
        <f t="shared" si="51"/>
        <v>2</v>
      </c>
      <c r="D1623" s="20">
        <v>43880</v>
      </c>
      <c r="E1623">
        <v>380.5</v>
      </c>
      <c r="F1623">
        <v>897.25</v>
      </c>
      <c r="G1623">
        <v>293</v>
      </c>
      <c r="H1623">
        <v>565.25</v>
      </c>
      <c r="I1623">
        <v>30.34</v>
      </c>
      <c r="J1623">
        <v>4.3648999999999996</v>
      </c>
    </row>
    <row r="1624" spans="2:10" x14ac:dyDescent="0.3">
      <c r="B1624" s="10">
        <f t="shared" si="50"/>
        <v>2020</v>
      </c>
      <c r="C1624" s="10">
        <f t="shared" si="51"/>
        <v>2</v>
      </c>
      <c r="D1624" s="20">
        <v>43879</v>
      </c>
      <c r="E1624">
        <v>383</v>
      </c>
      <c r="F1624">
        <v>892.25</v>
      </c>
      <c r="G1624">
        <v>292.2</v>
      </c>
      <c r="H1624">
        <v>566.75</v>
      </c>
      <c r="I1624">
        <v>30.48</v>
      </c>
      <c r="J1624">
        <v>4.3556999999999997</v>
      </c>
    </row>
    <row r="1625" spans="2:10" x14ac:dyDescent="0.3">
      <c r="B1625" s="10">
        <f t="shared" si="50"/>
        <v>2020</v>
      </c>
      <c r="C1625" s="10">
        <f t="shared" si="51"/>
        <v>2</v>
      </c>
      <c r="D1625" s="20">
        <v>43878</v>
      </c>
      <c r="J1625">
        <v>4.327</v>
      </c>
    </row>
    <row r="1626" spans="2:10" x14ac:dyDescent="0.3">
      <c r="B1626" s="10">
        <f t="shared" si="50"/>
        <v>2020</v>
      </c>
      <c r="C1626" s="10">
        <f t="shared" si="51"/>
        <v>2</v>
      </c>
      <c r="D1626" s="20">
        <v>43875</v>
      </c>
      <c r="E1626">
        <v>377.75</v>
      </c>
      <c r="F1626">
        <v>893.75</v>
      </c>
      <c r="G1626">
        <v>291.10000000000002</v>
      </c>
      <c r="H1626">
        <v>542.75</v>
      </c>
      <c r="I1626">
        <v>30.57</v>
      </c>
      <c r="J1626">
        <v>4.2973999999999997</v>
      </c>
    </row>
    <row r="1627" spans="2:10" x14ac:dyDescent="0.3">
      <c r="B1627" s="10">
        <f t="shared" si="50"/>
        <v>2020</v>
      </c>
      <c r="C1627" s="10">
        <f t="shared" si="51"/>
        <v>2</v>
      </c>
      <c r="D1627" s="20">
        <v>43874</v>
      </c>
      <c r="E1627">
        <v>379.5</v>
      </c>
      <c r="F1627">
        <v>896.25</v>
      </c>
      <c r="G1627">
        <v>291.89999999999998</v>
      </c>
      <c r="H1627">
        <v>544.25</v>
      </c>
      <c r="I1627">
        <v>30.72</v>
      </c>
      <c r="J1627">
        <v>4.3498000000000001</v>
      </c>
    </row>
    <row r="1628" spans="2:10" x14ac:dyDescent="0.3">
      <c r="B1628" s="10">
        <f t="shared" si="50"/>
        <v>2020</v>
      </c>
      <c r="C1628" s="10">
        <f t="shared" si="51"/>
        <v>2</v>
      </c>
      <c r="D1628" s="20">
        <v>43873</v>
      </c>
      <c r="E1628">
        <v>383</v>
      </c>
      <c r="F1628">
        <v>892.5</v>
      </c>
      <c r="G1628">
        <v>291.7</v>
      </c>
      <c r="H1628">
        <v>547.5</v>
      </c>
      <c r="I1628">
        <v>31.03</v>
      </c>
      <c r="J1628">
        <v>4.3548</v>
      </c>
    </row>
    <row r="1629" spans="2:10" x14ac:dyDescent="0.3">
      <c r="B1629" s="10">
        <f t="shared" si="50"/>
        <v>2020</v>
      </c>
      <c r="C1629" s="10">
        <f t="shared" si="51"/>
        <v>2</v>
      </c>
      <c r="D1629" s="20">
        <v>43872</v>
      </c>
      <c r="E1629">
        <v>379.75</v>
      </c>
      <c r="F1629">
        <v>884.75</v>
      </c>
      <c r="G1629">
        <v>290.8</v>
      </c>
      <c r="H1629">
        <v>542</v>
      </c>
      <c r="I1629">
        <v>30.72</v>
      </c>
      <c r="J1629">
        <v>4.3315999999999999</v>
      </c>
    </row>
    <row r="1630" spans="2:10" x14ac:dyDescent="0.3">
      <c r="B1630" s="10">
        <f t="shared" si="50"/>
        <v>2020</v>
      </c>
      <c r="C1630" s="10">
        <f t="shared" si="51"/>
        <v>2</v>
      </c>
      <c r="D1630" s="20">
        <v>43871</v>
      </c>
      <c r="E1630">
        <v>381.75</v>
      </c>
      <c r="F1630">
        <v>884.25</v>
      </c>
      <c r="G1630">
        <v>291.39999999999998</v>
      </c>
      <c r="H1630">
        <v>552</v>
      </c>
      <c r="I1630">
        <v>30.62</v>
      </c>
      <c r="J1630">
        <v>4.3247999999999998</v>
      </c>
    </row>
    <row r="1631" spans="2:10" x14ac:dyDescent="0.3">
      <c r="B1631" s="10">
        <f t="shared" si="50"/>
        <v>2020</v>
      </c>
      <c r="C1631" s="10">
        <f t="shared" si="51"/>
        <v>2</v>
      </c>
      <c r="D1631" s="20">
        <v>43868</v>
      </c>
      <c r="E1631">
        <v>383.5</v>
      </c>
      <c r="F1631">
        <v>882</v>
      </c>
      <c r="G1631">
        <v>289.3</v>
      </c>
      <c r="H1631">
        <v>558.75</v>
      </c>
      <c r="I1631">
        <v>30.97</v>
      </c>
      <c r="J1631">
        <v>4.3202999999999996</v>
      </c>
    </row>
    <row r="1632" spans="2:10" x14ac:dyDescent="0.3">
      <c r="B1632" s="10">
        <f t="shared" si="50"/>
        <v>2020</v>
      </c>
      <c r="C1632" s="10">
        <f t="shared" si="51"/>
        <v>2</v>
      </c>
      <c r="D1632" s="20">
        <v>43867</v>
      </c>
      <c r="E1632">
        <v>379.25</v>
      </c>
      <c r="F1632">
        <v>881</v>
      </c>
      <c r="G1632">
        <v>288.2</v>
      </c>
      <c r="H1632">
        <v>556.25</v>
      </c>
      <c r="I1632">
        <v>31.24</v>
      </c>
      <c r="J1632">
        <v>4.2821999999999996</v>
      </c>
    </row>
    <row r="1633" spans="2:10" x14ac:dyDescent="0.3">
      <c r="B1633" s="10">
        <f t="shared" si="50"/>
        <v>2020</v>
      </c>
      <c r="C1633" s="10">
        <f t="shared" si="51"/>
        <v>2</v>
      </c>
      <c r="D1633" s="20">
        <v>43866</v>
      </c>
      <c r="E1633">
        <v>380.75</v>
      </c>
      <c r="F1633">
        <v>880</v>
      </c>
      <c r="G1633">
        <v>287.39999999999998</v>
      </c>
      <c r="H1633">
        <v>562</v>
      </c>
      <c r="I1633">
        <v>31.32</v>
      </c>
      <c r="J1633">
        <v>4.2352999999999996</v>
      </c>
    </row>
    <row r="1634" spans="2:10" x14ac:dyDescent="0.3">
      <c r="B1634" s="10">
        <f t="shared" si="50"/>
        <v>2020</v>
      </c>
      <c r="C1634" s="10">
        <f t="shared" si="51"/>
        <v>2</v>
      </c>
      <c r="D1634" s="20">
        <v>43865</v>
      </c>
      <c r="E1634">
        <v>382.25</v>
      </c>
      <c r="F1634">
        <v>879.5</v>
      </c>
      <c r="G1634">
        <v>288.5</v>
      </c>
      <c r="H1634">
        <v>557.25</v>
      </c>
      <c r="I1634">
        <v>30.73</v>
      </c>
      <c r="J1634">
        <v>4.2545000000000002</v>
      </c>
    </row>
    <row r="1635" spans="2:10" x14ac:dyDescent="0.3">
      <c r="B1635" s="10">
        <f t="shared" si="50"/>
        <v>2020</v>
      </c>
      <c r="C1635" s="10">
        <f t="shared" si="51"/>
        <v>2</v>
      </c>
      <c r="D1635" s="20">
        <v>43864</v>
      </c>
      <c r="E1635">
        <v>378.75</v>
      </c>
      <c r="F1635">
        <v>877</v>
      </c>
      <c r="G1635">
        <v>289.8</v>
      </c>
      <c r="H1635">
        <v>555.5</v>
      </c>
      <c r="I1635">
        <v>30.29</v>
      </c>
      <c r="J1635">
        <v>4.2476000000000003</v>
      </c>
    </row>
    <row r="1636" spans="2:10" x14ac:dyDescent="0.3">
      <c r="B1636" s="10">
        <f t="shared" si="50"/>
        <v>2020</v>
      </c>
      <c r="C1636" s="10">
        <f t="shared" si="51"/>
        <v>1</v>
      </c>
      <c r="D1636" s="20">
        <v>43861</v>
      </c>
      <c r="E1636">
        <v>381.25</v>
      </c>
      <c r="F1636">
        <v>872.5</v>
      </c>
      <c r="G1636">
        <v>291</v>
      </c>
      <c r="H1636">
        <v>553.75</v>
      </c>
      <c r="I1636">
        <v>29.94</v>
      </c>
      <c r="J1636">
        <v>4.282</v>
      </c>
    </row>
    <row r="1637" spans="2:10" x14ac:dyDescent="0.3">
      <c r="B1637" s="10">
        <f t="shared" si="50"/>
        <v>2020</v>
      </c>
      <c r="C1637" s="10">
        <f t="shared" si="51"/>
        <v>1</v>
      </c>
      <c r="D1637" s="20">
        <v>43860</v>
      </c>
      <c r="E1637">
        <v>379.5</v>
      </c>
      <c r="F1637">
        <v>876.25</v>
      </c>
      <c r="G1637">
        <v>291.5</v>
      </c>
      <c r="H1637">
        <v>560.5</v>
      </c>
      <c r="I1637">
        <v>30.63</v>
      </c>
      <c r="J1637">
        <v>4.2430000000000003</v>
      </c>
    </row>
    <row r="1638" spans="2:10" x14ac:dyDescent="0.3">
      <c r="B1638" s="10">
        <f t="shared" si="50"/>
        <v>2020</v>
      </c>
      <c r="C1638" s="10">
        <f t="shared" si="51"/>
        <v>1</v>
      </c>
      <c r="D1638" s="20">
        <v>43859</v>
      </c>
      <c r="E1638">
        <v>384.25</v>
      </c>
      <c r="F1638">
        <v>893</v>
      </c>
      <c r="G1638">
        <v>296.10000000000002</v>
      </c>
      <c r="H1638">
        <v>562.25</v>
      </c>
      <c r="I1638">
        <v>31.52</v>
      </c>
      <c r="J1638">
        <v>4.2302999999999997</v>
      </c>
    </row>
    <row r="1639" spans="2:10" x14ac:dyDescent="0.3">
      <c r="B1639" s="10">
        <f t="shared" si="50"/>
        <v>2020</v>
      </c>
      <c r="C1639" s="10">
        <f t="shared" si="51"/>
        <v>1</v>
      </c>
      <c r="D1639" s="20">
        <v>43858</v>
      </c>
      <c r="E1639">
        <v>386.5</v>
      </c>
      <c r="F1639">
        <v>895</v>
      </c>
      <c r="G1639">
        <v>297.60000000000002</v>
      </c>
      <c r="H1639">
        <v>569.75</v>
      </c>
      <c r="I1639">
        <v>31.46</v>
      </c>
      <c r="J1639">
        <v>4.1943000000000001</v>
      </c>
    </row>
    <row r="1640" spans="2:10" x14ac:dyDescent="0.3">
      <c r="B1640" s="10">
        <f t="shared" si="50"/>
        <v>2020</v>
      </c>
      <c r="C1640" s="10">
        <f t="shared" si="51"/>
        <v>1</v>
      </c>
      <c r="D1640" s="20">
        <v>43857</v>
      </c>
      <c r="E1640">
        <v>380.5</v>
      </c>
      <c r="F1640">
        <v>897.25</v>
      </c>
      <c r="G1640">
        <v>297.8</v>
      </c>
      <c r="H1640">
        <v>572.25</v>
      </c>
      <c r="I1640">
        <v>31.52</v>
      </c>
      <c r="J1640">
        <v>4.2073999999999998</v>
      </c>
    </row>
    <row r="1641" spans="2:10" x14ac:dyDescent="0.3">
      <c r="B1641" s="10">
        <f t="shared" si="50"/>
        <v>2020</v>
      </c>
      <c r="C1641" s="10">
        <f t="shared" si="51"/>
        <v>1</v>
      </c>
      <c r="D1641" s="20">
        <v>43854</v>
      </c>
      <c r="E1641">
        <v>387.25</v>
      </c>
      <c r="F1641">
        <v>902</v>
      </c>
      <c r="G1641">
        <v>298.3</v>
      </c>
      <c r="H1641">
        <v>573.5</v>
      </c>
      <c r="I1641">
        <v>32.020000000000003</v>
      </c>
      <c r="J1641">
        <v>4.1814</v>
      </c>
    </row>
    <row r="1642" spans="2:10" x14ac:dyDescent="0.3">
      <c r="B1642" s="10">
        <f t="shared" si="50"/>
        <v>2020</v>
      </c>
      <c r="C1642" s="10">
        <f t="shared" si="51"/>
        <v>1</v>
      </c>
      <c r="D1642" s="20">
        <v>43853</v>
      </c>
      <c r="E1642">
        <v>393.75</v>
      </c>
      <c r="F1642">
        <v>909.5</v>
      </c>
      <c r="G1642">
        <v>298.89999999999998</v>
      </c>
      <c r="H1642">
        <v>580.5</v>
      </c>
      <c r="I1642">
        <v>32.479999999999997</v>
      </c>
      <c r="J1642">
        <v>4.1703000000000001</v>
      </c>
    </row>
    <row r="1643" spans="2:10" x14ac:dyDescent="0.3">
      <c r="B1643" s="10">
        <f t="shared" si="50"/>
        <v>2020</v>
      </c>
      <c r="C1643" s="10">
        <f t="shared" si="51"/>
        <v>1</v>
      </c>
      <c r="D1643" s="20">
        <v>43852</v>
      </c>
      <c r="E1643">
        <v>388.75</v>
      </c>
      <c r="F1643">
        <v>913.75</v>
      </c>
      <c r="G1643">
        <v>297.89999999999998</v>
      </c>
      <c r="H1643">
        <v>577.75</v>
      </c>
      <c r="I1643">
        <v>33.020000000000003</v>
      </c>
      <c r="J1643">
        <v>4.1825999999999999</v>
      </c>
    </row>
    <row r="1644" spans="2:10" x14ac:dyDescent="0.3">
      <c r="B1644" s="10">
        <f t="shared" si="50"/>
        <v>2020</v>
      </c>
      <c r="C1644" s="10">
        <f t="shared" si="51"/>
        <v>1</v>
      </c>
      <c r="D1644" s="20">
        <v>43851</v>
      </c>
      <c r="E1644">
        <v>387.5</v>
      </c>
      <c r="F1644">
        <v>916</v>
      </c>
      <c r="G1644">
        <v>299.10000000000002</v>
      </c>
      <c r="H1644">
        <v>581.5</v>
      </c>
      <c r="I1644">
        <v>32.75</v>
      </c>
      <c r="J1644">
        <v>4.2122999999999999</v>
      </c>
    </row>
    <row r="1645" spans="2:10" x14ac:dyDescent="0.3">
      <c r="B1645" s="10">
        <f t="shared" si="50"/>
        <v>2020</v>
      </c>
      <c r="C1645" s="10">
        <f t="shared" si="51"/>
        <v>1</v>
      </c>
      <c r="D1645" s="20">
        <v>43850</v>
      </c>
      <c r="J1645">
        <v>4.1898</v>
      </c>
    </row>
    <row r="1646" spans="2:10" x14ac:dyDescent="0.3">
      <c r="B1646" s="10">
        <f t="shared" si="50"/>
        <v>2020</v>
      </c>
      <c r="C1646" s="10">
        <f t="shared" si="51"/>
        <v>1</v>
      </c>
      <c r="D1646" s="20">
        <v>43847</v>
      </c>
      <c r="E1646">
        <v>389.25</v>
      </c>
      <c r="F1646">
        <v>929.75</v>
      </c>
      <c r="G1646">
        <v>300.60000000000002</v>
      </c>
      <c r="H1646">
        <v>570.5</v>
      </c>
      <c r="I1646">
        <v>33.35</v>
      </c>
      <c r="J1646">
        <v>4.1616</v>
      </c>
    </row>
    <row r="1647" spans="2:10" x14ac:dyDescent="0.3">
      <c r="B1647" s="10">
        <f t="shared" si="50"/>
        <v>2020</v>
      </c>
      <c r="C1647" s="10">
        <f t="shared" si="51"/>
        <v>1</v>
      </c>
      <c r="D1647" s="20">
        <v>43846</v>
      </c>
      <c r="E1647">
        <v>375.5</v>
      </c>
      <c r="F1647">
        <v>924</v>
      </c>
      <c r="G1647">
        <v>300.60000000000002</v>
      </c>
      <c r="H1647">
        <v>565.25</v>
      </c>
      <c r="I1647">
        <v>33.03</v>
      </c>
      <c r="J1647">
        <v>4.1847000000000003</v>
      </c>
    </row>
    <row r="1648" spans="2:10" x14ac:dyDescent="0.3">
      <c r="B1648" s="10">
        <f t="shared" si="50"/>
        <v>2020</v>
      </c>
      <c r="C1648" s="10">
        <f t="shared" si="51"/>
        <v>1</v>
      </c>
      <c r="D1648" s="20">
        <v>43845</v>
      </c>
      <c r="E1648">
        <v>387.5</v>
      </c>
      <c r="F1648">
        <v>928.75</v>
      </c>
      <c r="G1648">
        <v>300.10000000000002</v>
      </c>
      <c r="H1648">
        <v>573.25</v>
      </c>
      <c r="I1648">
        <v>33.299999999999997</v>
      </c>
      <c r="J1648">
        <v>4.1753</v>
      </c>
    </row>
    <row r="1649" spans="2:10" x14ac:dyDescent="0.3">
      <c r="B1649" s="10">
        <f t="shared" si="50"/>
        <v>2020</v>
      </c>
      <c r="C1649" s="10">
        <f t="shared" si="51"/>
        <v>1</v>
      </c>
      <c r="D1649" s="20">
        <v>43844</v>
      </c>
      <c r="E1649">
        <v>389</v>
      </c>
      <c r="F1649">
        <v>928.5</v>
      </c>
      <c r="G1649">
        <v>297.2</v>
      </c>
      <c r="H1649">
        <v>568.5</v>
      </c>
      <c r="I1649">
        <v>33.65</v>
      </c>
      <c r="J1649">
        <v>4.1326000000000001</v>
      </c>
    </row>
    <row r="1650" spans="2:10" x14ac:dyDescent="0.3">
      <c r="B1650" s="10">
        <f t="shared" si="50"/>
        <v>2020</v>
      </c>
      <c r="C1650" s="10">
        <f t="shared" si="51"/>
        <v>1</v>
      </c>
      <c r="D1650" s="20">
        <v>43843</v>
      </c>
      <c r="E1650">
        <v>389.5</v>
      </c>
      <c r="F1650">
        <v>929.25</v>
      </c>
      <c r="G1650">
        <v>299</v>
      </c>
      <c r="H1650">
        <v>562.25</v>
      </c>
      <c r="I1650">
        <v>33.64</v>
      </c>
      <c r="J1650">
        <v>4.1466000000000003</v>
      </c>
    </row>
    <row r="1651" spans="2:10" x14ac:dyDescent="0.3">
      <c r="B1651" s="10">
        <f t="shared" si="50"/>
        <v>2020</v>
      </c>
      <c r="C1651" s="10">
        <f t="shared" si="51"/>
        <v>1</v>
      </c>
      <c r="D1651" s="20">
        <v>43840</v>
      </c>
      <c r="E1651">
        <v>385.75</v>
      </c>
      <c r="F1651">
        <v>935</v>
      </c>
      <c r="G1651">
        <v>298.7</v>
      </c>
      <c r="H1651">
        <v>564.5</v>
      </c>
      <c r="I1651">
        <v>34.07</v>
      </c>
      <c r="J1651">
        <v>4.0960000000000001</v>
      </c>
    </row>
    <row r="1652" spans="2:10" x14ac:dyDescent="0.3">
      <c r="B1652" s="10">
        <f t="shared" si="50"/>
        <v>2020</v>
      </c>
      <c r="C1652" s="10">
        <f t="shared" si="51"/>
        <v>1</v>
      </c>
      <c r="D1652" s="20">
        <v>43839</v>
      </c>
      <c r="E1652">
        <v>383.25</v>
      </c>
      <c r="F1652">
        <v>933.75</v>
      </c>
      <c r="G1652">
        <v>296.2</v>
      </c>
      <c r="H1652">
        <v>562.25</v>
      </c>
      <c r="I1652">
        <v>34.35</v>
      </c>
      <c r="J1652">
        <v>4.0925000000000002</v>
      </c>
    </row>
    <row r="1653" spans="2:10" x14ac:dyDescent="0.3">
      <c r="B1653" s="10">
        <f t="shared" si="50"/>
        <v>2020</v>
      </c>
      <c r="C1653" s="10">
        <f t="shared" si="51"/>
        <v>1</v>
      </c>
      <c r="D1653" s="20">
        <v>43838</v>
      </c>
      <c r="E1653">
        <v>384.25</v>
      </c>
      <c r="F1653">
        <v>938.25</v>
      </c>
      <c r="G1653">
        <v>296.89999999999998</v>
      </c>
      <c r="H1653">
        <v>552.75</v>
      </c>
      <c r="I1653">
        <v>34.270000000000003</v>
      </c>
      <c r="J1653">
        <v>4.0647000000000002</v>
      </c>
    </row>
    <row r="1654" spans="2:10" x14ac:dyDescent="0.3">
      <c r="B1654" s="10">
        <f t="shared" si="50"/>
        <v>2020</v>
      </c>
      <c r="C1654" s="10">
        <f t="shared" si="51"/>
        <v>1</v>
      </c>
      <c r="D1654" s="20">
        <v>43837</v>
      </c>
      <c r="E1654">
        <v>384.5</v>
      </c>
      <c r="F1654">
        <v>935</v>
      </c>
      <c r="G1654">
        <v>296.39999999999998</v>
      </c>
      <c r="H1654">
        <v>550.25</v>
      </c>
      <c r="I1654">
        <v>34.46</v>
      </c>
      <c r="J1654">
        <v>4.0675999999999997</v>
      </c>
    </row>
    <row r="1655" spans="2:10" x14ac:dyDescent="0.3">
      <c r="B1655" s="10">
        <f t="shared" si="50"/>
        <v>2020</v>
      </c>
      <c r="C1655" s="10">
        <f t="shared" si="51"/>
        <v>1</v>
      </c>
      <c r="D1655" s="20">
        <v>43836</v>
      </c>
      <c r="E1655">
        <v>384.75</v>
      </c>
      <c r="F1655">
        <v>932.75</v>
      </c>
      <c r="G1655">
        <v>297.7</v>
      </c>
      <c r="H1655">
        <v>550</v>
      </c>
      <c r="I1655">
        <v>34.24</v>
      </c>
      <c r="J1655">
        <v>4.0616000000000003</v>
      </c>
    </row>
    <row r="1656" spans="2:10" x14ac:dyDescent="0.3">
      <c r="B1656" s="10">
        <f t="shared" si="50"/>
        <v>2020</v>
      </c>
      <c r="C1656" s="10">
        <f t="shared" si="51"/>
        <v>1</v>
      </c>
      <c r="D1656" s="20">
        <v>43833</v>
      </c>
      <c r="E1656">
        <v>386.5</v>
      </c>
      <c r="F1656">
        <v>930.5</v>
      </c>
      <c r="G1656">
        <v>296.10000000000002</v>
      </c>
      <c r="H1656">
        <v>554.5</v>
      </c>
      <c r="I1656">
        <v>34.81</v>
      </c>
      <c r="J1656">
        <v>4.0669000000000004</v>
      </c>
    </row>
    <row r="1657" spans="2:10" x14ac:dyDescent="0.3">
      <c r="B1657" s="10">
        <f t="shared" si="50"/>
        <v>2020</v>
      </c>
      <c r="C1657" s="10">
        <f t="shared" si="51"/>
        <v>1</v>
      </c>
      <c r="D1657" s="20">
        <v>43832</v>
      </c>
      <c r="E1657">
        <v>391.5</v>
      </c>
      <c r="F1657">
        <v>944.25</v>
      </c>
      <c r="G1657">
        <v>300.60000000000002</v>
      </c>
      <c r="H1657">
        <v>560.25</v>
      </c>
      <c r="I1657">
        <v>34.97</v>
      </c>
      <c r="J1657">
        <v>4.0259999999999998</v>
      </c>
    </row>
    <row r="1658" spans="2:10" x14ac:dyDescent="0.3">
      <c r="B1658" s="10">
        <f t="shared" si="50"/>
        <v>2020</v>
      </c>
      <c r="C1658" s="10">
        <f t="shared" si="51"/>
        <v>1</v>
      </c>
      <c r="D1658" s="20">
        <v>43831</v>
      </c>
      <c r="J1658">
        <v>4.0190000000000001</v>
      </c>
    </row>
    <row r="1659" spans="2:10" x14ac:dyDescent="0.3">
      <c r="B1659" s="10">
        <f t="shared" si="50"/>
        <v>2019</v>
      </c>
      <c r="C1659" s="10">
        <f t="shared" si="51"/>
        <v>12</v>
      </c>
      <c r="D1659" s="20">
        <v>43830</v>
      </c>
      <c r="E1659">
        <v>387.75</v>
      </c>
      <c r="F1659">
        <v>943</v>
      </c>
      <c r="G1659">
        <v>299.89999999999998</v>
      </c>
      <c r="H1659">
        <v>558.75</v>
      </c>
      <c r="I1659">
        <v>34.49</v>
      </c>
      <c r="J1659">
        <v>4.0190000000000001</v>
      </c>
    </row>
    <row r="1660" spans="2:10" x14ac:dyDescent="0.3">
      <c r="B1660" s="10">
        <f t="shared" si="50"/>
        <v>2019</v>
      </c>
      <c r="C1660" s="10">
        <f t="shared" si="51"/>
        <v>12</v>
      </c>
      <c r="D1660" s="20">
        <v>43829</v>
      </c>
      <c r="E1660">
        <v>388.25</v>
      </c>
      <c r="F1660">
        <v>939.5</v>
      </c>
      <c r="G1660">
        <v>297.5</v>
      </c>
      <c r="H1660">
        <v>556</v>
      </c>
      <c r="I1660">
        <v>35.17</v>
      </c>
      <c r="J1660">
        <v>4.0190999999999999</v>
      </c>
    </row>
    <row r="1661" spans="2:10" x14ac:dyDescent="0.3">
      <c r="B1661" s="10">
        <f t="shared" si="50"/>
        <v>2019</v>
      </c>
      <c r="C1661" s="10">
        <f t="shared" si="51"/>
        <v>12</v>
      </c>
      <c r="D1661" s="20">
        <v>43826</v>
      </c>
      <c r="E1661">
        <v>390</v>
      </c>
      <c r="F1661">
        <v>929.5</v>
      </c>
      <c r="G1661">
        <v>295.39999999999998</v>
      </c>
      <c r="H1661">
        <v>556.25</v>
      </c>
      <c r="I1661">
        <v>34.729999999999997</v>
      </c>
      <c r="J1661">
        <v>4.0456000000000003</v>
      </c>
    </row>
    <row r="1662" spans="2:10" x14ac:dyDescent="0.3">
      <c r="B1662" s="10">
        <f t="shared" si="50"/>
        <v>2019</v>
      </c>
      <c r="C1662" s="10">
        <f t="shared" si="51"/>
        <v>12</v>
      </c>
      <c r="D1662" s="20">
        <v>43825</v>
      </c>
      <c r="E1662">
        <v>388.5</v>
      </c>
      <c r="F1662">
        <v>937.75</v>
      </c>
      <c r="G1662">
        <v>299.5</v>
      </c>
      <c r="H1662">
        <v>549</v>
      </c>
      <c r="I1662">
        <v>34.380000000000003</v>
      </c>
      <c r="J1662">
        <v>4.0556999999999999</v>
      </c>
    </row>
    <row r="1663" spans="2:10" x14ac:dyDescent="0.3">
      <c r="B1663" s="10">
        <f t="shared" si="50"/>
        <v>2019</v>
      </c>
      <c r="C1663" s="10">
        <f t="shared" si="51"/>
        <v>12</v>
      </c>
      <c r="D1663" s="20">
        <v>43824</v>
      </c>
      <c r="J1663">
        <v>4.0833000000000004</v>
      </c>
    </row>
    <row r="1664" spans="2:10" x14ac:dyDescent="0.3">
      <c r="B1664" s="10">
        <f t="shared" ref="B1664:B1727" si="52">YEAR(D1664)</f>
        <v>2019</v>
      </c>
      <c r="C1664" s="10">
        <f t="shared" ref="C1664:C1727" si="53">MONTH(D1664)</f>
        <v>12</v>
      </c>
      <c r="D1664" s="20">
        <v>43823</v>
      </c>
      <c r="E1664">
        <v>387.5</v>
      </c>
      <c r="F1664">
        <v>936.5</v>
      </c>
      <c r="G1664">
        <v>301.8</v>
      </c>
      <c r="H1664">
        <v>541</v>
      </c>
      <c r="I1664">
        <v>33.880000000000003</v>
      </c>
      <c r="J1664">
        <v>4.0833000000000004</v>
      </c>
    </row>
    <row r="1665" spans="2:10" x14ac:dyDescent="0.3">
      <c r="B1665" s="10">
        <f t="shared" si="52"/>
        <v>2019</v>
      </c>
      <c r="C1665" s="10">
        <f t="shared" si="53"/>
        <v>12</v>
      </c>
      <c r="D1665" s="20">
        <v>43822</v>
      </c>
      <c r="E1665">
        <v>388.75</v>
      </c>
      <c r="F1665">
        <v>934</v>
      </c>
      <c r="G1665">
        <v>301.39999999999998</v>
      </c>
      <c r="H1665">
        <v>539.5</v>
      </c>
      <c r="I1665">
        <v>33.78</v>
      </c>
      <c r="J1665">
        <v>4.0833000000000004</v>
      </c>
    </row>
    <row r="1666" spans="2:10" x14ac:dyDescent="0.3">
      <c r="B1666" s="10">
        <f t="shared" si="52"/>
        <v>2019</v>
      </c>
      <c r="C1666" s="10">
        <f t="shared" si="53"/>
        <v>12</v>
      </c>
      <c r="D1666" s="20">
        <v>43819</v>
      </c>
      <c r="E1666">
        <v>387.75</v>
      </c>
      <c r="F1666">
        <v>928.25</v>
      </c>
      <c r="G1666">
        <v>297.89999999999998</v>
      </c>
      <c r="H1666">
        <v>542.25</v>
      </c>
      <c r="I1666">
        <v>33.79</v>
      </c>
      <c r="J1666">
        <v>4.1021999999999998</v>
      </c>
    </row>
    <row r="1667" spans="2:10" x14ac:dyDescent="0.3">
      <c r="B1667" s="10">
        <f t="shared" si="52"/>
        <v>2019</v>
      </c>
      <c r="C1667" s="10">
        <f t="shared" si="53"/>
        <v>12</v>
      </c>
      <c r="D1667" s="20">
        <v>43818</v>
      </c>
      <c r="E1667">
        <v>386.5</v>
      </c>
      <c r="F1667">
        <v>924.5</v>
      </c>
      <c r="G1667">
        <v>298.39999999999998</v>
      </c>
      <c r="H1667">
        <v>545.25</v>
      </c>
      <c r="I1667">
        <v>33.79</v>
      </c>
      <c r="J1667">
        <v>4.0693999999999999</v>
      </c>
    </row>
    <row r="1668" spans="2:10" x14ac:dyDescent="0.3">
      <c r="B1668" s="10">
        <f t="shared" si="52"/>
        <v>2019</v>
      </c>
      <c r="C1668" s="10">
        <f t="shared" si="53"/>
        <v>12</v>
      </c>
      <c r="D1668" s="20">
        <v>43817</v>
      </c>
      <c r="E1668">
        <v>387</v>
      </c>
      <c r="F1668">
        <v>928.5</v>
      </c>
      <c r="G1668">
        <v>302.89999999999998</v>
      </c>
      <c r="H1668">
        <v>548.25</v>
      </c>
      <c r="I1668">
        <v>33.43</v>
      </c>
      <c r="J1668">
        <v>4.0629999999999997</v>
      </c>
    </row>
    <row r="1669" spans="2:10" x14ac:dyDescent="0.3">
      <c r="B1669" s="10">
        <f t="shared" si="52"/>
        <v>2019</v>
      </c>
      <c r="C1669" s="10">
        <f t="shared" si="53"/>
        <v>12</v>
      </c>
      <c r="D1669" s="20">
        <v>43816</v>
      </c>
      <c r="E1669">
        <v>390</v>
      </c>
      <c r="F1669">
        <v>928.75</v>
      </c>
      <c r="G1669">
        <v>302.3</v>
      </c>
      <c r="H1669">
        <v>556.25</v>
      </c>
      <c r="I1669">
        <v>33.82</v>
      </c>
      <c r="J1669">
        <v>4.0716000000000001</v>
      </c>
    </row>
    <row r="1670" spans="2:10" x14ac:dyDescent="0.3">
      <c r="B1670" s="10">
        <f t="shared" si="52"/>
        <v>2019</v>
      </c>
      <c r="C1670" s="10">
        <f t="shared" si="53"/>
        <v>12</v>
      </c>
      <c r="D1670" s="20">
        <v>43815</v>
      </c>
      <c r="E1670">
        <v>388</v>
      </c>
      <c r="F1670">
        <v>922</v>
      </c>
      <c r="G1670">
        <v>301.3</v>
      </c>
      <c r="H1670">
        <v>549.75</v>
      </c>
      <c r="I1670">
        <v>33.14</v>
      </c>
      <c r="J1670">
        <v>4.0628000000000002</v>
      </c>
    </row>
    <row r="1671" spans="2:10" x14ac:dyDescent="0.3">
      <c r="B1671" s="10">
        <f t="shared" si="52"/>
        <v>2019</v>
      </c>
      <c r="C1671" s="10">
        <f t="shared" si="53"/>
        <v>12</v>
      </c>
      <c r="D1671" s="20">
        <v>43812</v>
      </c>
      <c r="E1671">
        <v>366.25</v>
      </c>
      <c r="F1671">
        <v>907.5</v>
      </c>
      <c r="G1671">
        <v>295.5</v>
      </c>
      <c r="H1671">
        <v>539.25</v>
      </c>
      <c r="I1671">
        <v>32.270000000000003</v>
      </c>
      <c r="J1671">
        <v>4.1079999999999997</v>
      </c>
    </row>
    <row r="1672" spans="2:10" x14ac:dyDescent="0.3">
      <c r="B1672" s="10">
        <f t="shared" si="52"/>
        <v>2019</v>
      </c>
      <c r="C1672" s="10">
        <f t="shared" si="53"/>
        <v>12</v>
      </c>
      <c r="D1672" s="20">
        <v>43811</v>
      </c>
      <c r="E1672">
        <v>367</v>
      </c>
      <c r="F1672">
        <v>898.25</v>
      </c>
      <c r="G1672">
        <v>292.60000000000002</v>
      </c>
      <c r="H1672">
        <v>539.25</v>
      </c>
      <c r="I1672">
        <v>32.03</v>
      </c>
      <c r="J1672">
        <v>4.0904999999999996</v>
      </c>
    </row>
    <row r="1673" spans="2:10" x14ac:dyDescent="0.3">
      <c r="B1673" s="10">
        <f t="shared" si="52"/>
        <v>2019</v>
      </c>
      <c r="C1673" s="10">
        <f t="shared" si="53"/>
        <v>12</v>
      </c>
      <c r="D1673" s="20">
        <v>43810</v>
      </c>
      <c r="E1673">
        <v>357.75</v>
      </c>
      <c r="F1673">
        <v>893.5</v>
      </c>
      <c r="G1673">
        <v>293.3</v>
      </c>
      <c r="H1673">
        <v>530.75</v>
      </c>
      <c r="I1673">
        <v>31.23</v>
      </c>
      <c r="J1673">
        <v>4.1238000000000001</v>
      </c>
    </row>
    <row r="1674" spans="2:10" x14ac:dyDescent="0.3">
      <c r="B1674" s="10">
        <f t="shared" si="52"/>
        <v>2019</v>
      </c>
      <c r="C1674" s="10">
        <f t="shared" si="53"/>
        <v>12</v>
      </c>
      <c r="D1674" s="20">
        <v>43809</v>
      </c>
      <c r="E1674">
        <v>363.25</v>
      </c>
      <c r="F1674">
        <v>901.25</v>
      </c>
      <c r="G1674">
        <v>296.89999999999998</v>
      </c>
      <c r="H1674">
        <v>534.75</v>
      </c>
      <c r="I1674">
        <v>31.47</v>
      </c>
      <c r="J1674">
        <v>4.1467000000000001</v>
      </c>
    </row>
    <row r="1675" spans="2:10" x14ac:dyDescent="0.3">
      <c r="B1675" s="10">
        <f t="shared" si="52"/>
        <v>2019</v>
      </c>
      <c r="C1675" s="10">
        <f t="shared" si="53"/>
        <v>12</v>
      </c>
      <c r="D1675" s="20">
        <v>43808</v>
      </c>
      <c r="E1675">
        <v>365.75</v>
      </c>
      <c r="F1675">
        <v>897.25</v>
      </c>
      <c r="G1675">
        <v>296.7</v>
      </c>
      <c r="H1675">
        <v>532</v>
      </c>
      <c r="I1675">
        <v>31.36</v>
      </c>
      <c r="J1675">
        <v>4.1421999999999999</v>
      </c>
    </row>
    <row r="1676" spans="2:10" x14ac:dyDescent="0.3">
      <c r="B1676" s="10">
        <f t="shared" si="52"/>
        <v>2019</v>
      </c>
      <c r="C1676" s="10">
        <f t="shared" si="53"/>
        <v>12</v>
      </c>
      <c r="D1676" s="20">
        <v>43805</v>
      </c>
      <c r="E1676">
        <v>366.5</v>
      </c>
      <c r="F1676">
        <v>889.5</v>
      </c>
      <c r="G1676">
        <v>297.39999999999998</v>
      </c>
      <c r="H1676">
        <v>532.5</v>
      </c>
      <c r="I1676">
        <v>31.01</v>
      </c>
      <c r="J1676">
        <v>4.1410999999999998</v>
      </c>
    </row>
    <row r="1677" spans="2:10" x14ac:dyDescent="0.3">
      <c r="B1677" s="10">
        <f t="shared" si="52"/>
        <v>2019</v>
      </c>
      <c r="C1677" s="10">
        <f t="shared" si="53"/>
        <v>12</v>
      </c>
      <c r="D1677" s="20">
        <v>43804</v>
      </c>
      <c r="E1677">
        <v>365.5</v>
      </c>
      <c r="F1677">
        <v>884.25</v>
      </c>
      <c r="G1677">
        <v>299.5</v>
      </c>
      <c r="H1677">
        <v>532</v>
      </c>
      <c r="I1677">
        <v>30.29</v>
      </c>
      <c r="J1677">
        <v>4.1856</v>
      </c>
    </row>
    <row r="1678" spans="2:10" x14ac:dyDescent="0.3">
      <c r="B1678" s="10">
        <f t="shared" si="52"/>
        <v>2019</v>
      </c>
      <c r="C1678" s="10">
        <f t="shared" si="53"/>
        <v>12</v>
      </c>
      <c r="D1678" s="20">
        <v>43803</v>
      </c>
      <c r="E1678">
        <v>368.75</v>
      </c>
      <c r="F1678">
        <v>878</v>
      </c>
      <c r="G1678">
        <v>294.60000000000002</v>
      </c>
      <c r="H1678">
        <v>535</v>
      </c>
      <c r="I1678">
        <v>30.27</v>
      </c>
      <c r="J1678">
        <v>4.2077</v>
      </c>
    </row>
    <row r="1679" spans="2:10" x14ac:dyDescent="0.3">
      <c r="B1679" s="10">
        <f t="shared" si="52"/>
        <v>2019</v>
      </c>
      <c r="C1679" s="10">
        <f t="shared" si="53"/>
        <v>12</v>
      </c>
      <c r="D1679" s="20">
        <v>43802</v>
      </c>
      <c r="E1679">
        <v>372</v>
      </c>
      <c r="F1679">
        <v>871</v>
      </c>
      <c r="G1679">
        <v>292.5</v>
      </c>
      <c r="H1679">
        <v>530.5</v>
      </c>
      <c r="I1679">
        <v>29.99</v>
      </c>
      <c r="J1679">
        <v>4.2062999999999997</v>
      </c>
    </row>
    <row r="1680" spans="2:10" x14ac:dyDescent="0.3">
      <c r="B1680" s="10">
        <f t="shared" si="52"/>
        <v>2019</v>
      </c>
      <c r="C1680" s="10">
        <f t="shared" si="53"/>
        <v>12</v>
      </c>
      <c r="D1680" s="20">
        <v>43801</v>
      </c>
      <c r="E1680">
        <v>373.5</v>
      </c>
      <c r="F1680">
        <v>870.5</v>
      </c>
      <c r="G1680">
        <v>291.3</v>
      </c>
      <c r="H1680">
        <v>543.25</v>
      </c>
      <c r="I1680">
        <v>29.96</v>
      </c>
      <c r="J1680">
        <v>4.2229999999999999</v>
      </c>
    </row>
    <row r="1681" spans="2:10" x14ac:dyDescent="0.3">
      <c r="B1681" s="10">
        <f t="shared" si="52"/>
        <v>2019</v>
      </c>
      <c r="C1681" s="10">
        <f t="shared" si="53"/>
        <v>11</v>
      </c>
      <c r="D1681" s="20">
        <v>43798</v>
      </c>
      <c r="E1681">
        <v>371.25</v>
      </c>
      <c r="F1681">
        <v>876.75</v>
      </c>
      <c r="G1681">
        <v>290.89999999999998</v>
      </c>
      <c r="H1681">
        <v>547.5</v>
      </c>
      <c r="I1681">
        <v>30.42</v>
      </c>
      <c r="J1681">
        <v>4.2363999999999997</v>
      </c>
    </row>
    <row r="1682" spans="2:10" x14ac:dyDescent="0.3">
      <c r="B1682" s="10">
        <f t="shared" si="52"/>
        <v>2019</v>
      </c>
      <c r="C1682" s="10">
        <f t="shared" si="53"/>
        <v>11</v>
      </c>
      <c r="D1682" s="20">
        <v>43797</v>
      </c>
      <c r="J1682">
        <v>4.1900000000000004</v>
      </c>
    </row>
    <row r="1683" spans="2:10" x14ac:dyDescent="0.3">
      <c r="B1683" s="10">
        <f t="shared" si="52"/>
        <v>2019</v>
      </c>
      <c r="C1683" s="10">
        <f t="shared" si="53"/>
        <v>11</v>
      </c>
      <c r="D1683" s="20">
        <v>43796</v>
      </c>
      <c r="E1683">
        <v>362.75</v>
      </c>
      <c r="F1683">
        <v>882</v>
      </c>
      <c r="G1683">
        <v>293.8</v>
      </c>
      <c r="H1683">
        <v>528.5</v>
      </c>
      <c r="I1683">
        <v>30.37</v>
      </c>
      <c r="J1683">
        <v>4.2636000000000003</v>
      </c>
    </row>
    <row r="1684" spans="2:10" x14ac:dyDescent="0.3">
      <c r="B1684" s="10">
        <f t="shared" si="52"/>
        <v>2019</v>
      </c>
      <c r="C1684" s="10">
        <f t="shared" si="53"/>
        <v>11</v>
      </c>
      <c r="D1684" s="20">
        <v>43795</v>
      </c>
      <c r="E1684">
        <v>367.5</v>
      </c>
      <c r="F1684">
        <v>884.25</v>
      </c>
      <c r="G1684">
        <v>294.7</v>
      </c>
      <c r="H1684">
        <v>530.25</v>
      </c>
      <c r="I1684">
        <v>30.22</v>
      </c>
      <c r="J1684">
        <v>4.2329999999999997</v>
      </c>
    </row>
    <row r="1685" spans="2:10" x14ac:dyDescent="0.3">
      <c r="B1685" s="10">
        <f t="shared" si="52"/>
        <v>2019</v>
      </c>
      <c r="C1685" s="10">
        <f t="shared" si="53"/>
        <v>11</v>
      </c>
      <c r="D1685" s="20">
        <v>43794</v>
      </c>
      <c r="E1685">
        <v>370.5</v>
      </c>
      <c r="F1685">
        <v>892.5</v>
      </c>
      <c r="G1685">
        <v>298.3</v>
      </c>
      <c r="H1685">
        <v>531</v>
      </c>
      <c r="I1685">
        <v>30.44</v>
      </c>
      <c r="J1685">
        <v>4.2266000000000004</v>
      </c>
    </row>
    <row r="1686" spans="2:10" x14ac:dyDescent="0.3">
      <c r="B1686" s="10">
        <f t="shared" si="52"/>
        <v>2019</v>
      </c>
      <c r="C1686" s="10">
        <f t="shared" si="53"/>
        <v>11</v>
      </c>
      <c r="D1686" s="20">
        <v>43791</v>
      </c>
      <c r="E1686">
        <v>368.75</v>
      </c>
      <c r="F1686">
        <v>897</v>
      </c>
      <c r="G1686">
        <v>299</v>
      </c>
      <c r="H1686">
        <v>515.25</v>
      </c>
      <c r="I1686">
        <v>30.88</v>
      </c>
      <c r="J1686">
        <v>4.1962000000000002</v>
      </c>
    </row>
    <row r="1687" spans="2:10" x14ac:dyDescent="0.3">
      <c r="B1687" s="10">
        <f t="shared" si="52"/>
        <v>2019</v>
      </c>
      <c r="C1687" s="10">
        <f t="shared" si="53"/>
        <v>11</v>
      </c>
      <c r="D1687" s="20">
        <v>43790</v>
      </c>
      <c r="E1687">
        <v>368.5</v>
      </c>
      <c r="F1687">
        <v>901</v>
      </c>
      <c r="G1687">
        <v>301</v>
      </c>
      <c r="H1687">
        <v>509</v>
      </c>
      <c r="I1687">
        <v>30.69</v>
      </c>
      <c r="J1687">
        <v>4.1929999999999996</v>
      </c>
    </row>
    <row r="1688" spans="2:10" x14ac:dyDescent="0.3">
      <c r="B1688" s="10">
        <f t="shared" si="52"/>
        <v>2019</v>
      </c>
      <c r="C1688" s="10">
        <f t="shared" si="53"/>
        <v>11</v>
      </c>
      <c r="D1688" s="20">
        <v>43789</v>
      </c>
      <c r="E1688">
        <v>366.75</v>
      </c>
      <c r="F1688">
        <v>905</v>
      </c>
      <c r="G1688">
        <v>299.8</v>
      </c>
      <c r="H1688">
        <v>515.5</v>
      </c>
      <c r="I1688">
        <v>31.2</v>
      </c>
      <c r="J1688">
        <v>4.1955</v>
      </c>
    </row>
    <row r="1689" spans="2:10" x14ac:dyDescent="0.3">
      <c r="B1689" s="10">
        <f t="shared" si="52"/>
        <v>2019</v>
      </c>
      <c r="C1689" s="10">
        <f t="shared" si="53"/>
        <v>11</v>
      </c>
      <c r="D1689" s="20">
        <v>43788</v>
      </c>
      <c r="E1689">
        <v>370</v>
      </c>
      <c r="F1689">
        <v>911.5</v>
      </c>
      <c r="G1689">
        <v>302</v>
      </c>
      <c r="H1689">
        <v>512</v>
      </c>
      <c r="I1689">
        <v>30.96</v>
      </c>
      <c r="J1689">
        <v>4.1942000000000004</v>
      </c>
    </row>
    <row r="1690" spans="2:10" x14ac:dyDescent="0.3">
      <c r="B1690" s="10">
        <f t="shared" si="52"/>
        <v>2019</v>
      </c>
      <c r="C1690" s="10">
        <f t="shared" si="53"/>
        <v>11</v>
      </c>
      <c r="D1690" s="20">
        <v>43787</v>
      </c>
      <c r="E1690">
        <v>367.75</v>
      </c>
      <c r="F1690">
        <v>910.25</v>
      </c>
      <c r="G1690">
        <v>301.2</v>
      </c>
      <c r="H1690">
        <v>507.25</v>
      </c>
      <c r="I1690">
        <v>30.64</v>
      </c>
      <c r="J1690">
        <v>4.2176999999999998</v>
      </c>
    </row>
    <row r="1691" spans="2:10" x14ac:dyDescent="0.3">
      <c r="B1691" s="10">
        <f t="shared" si="52"/>
        <v>2019</v>
      </c>
      <c r="C1691" s="10">
        <f t="shared" si="53"/>
        <v>11</v>
      </c>
      <c r="D1691" s="20">
        <v>43784</v>
      </c>
      <c r="E1691">
        <v>371.25</v>
      </c>
      <c r="F1691">
        <v>918.25</v>
      </c>
      <c r="G1691">
        <v>307.10000000000002</v>
      </c>
      <c r="H1691">
        <v>502.75</v>
      </c>
      <c r="I1691">
        <v>30.43</v>
      </c>
      <c r="J1691">
        <v>4.1957000000000004</v>
      </c>
    </row>
    <row r="1692" spans="2:10" x14ac:dyDescent="0.3">
      <c r="B1692" s="10">
        <f t="shared" si="52"/>
        <v>2019</v>
      </c>
      <c r="C1692" s="10">
        <f t="shared" si="53"/>
        <v>11</v>
      </c>
      <c r="D1692" s="20">
        <v>43783</v>
      </c>
      <c r="E1692">
        <v>375.75</v>
      </c>
      <c r="F1692">
        <v>900.25</v>
      </c>
      <c r="G1692">
        <v>303.10000000000002</v>
      </c>
      <c r="H1692">
        <v>507.75</v>
      </c>
      <c r="I1692">
        <v>30.78</v>
      </c>
      <c r="J1692">
        <v>4.1948999999999996</v>
      </c>
    </row>
    <row r="1693" spans="2:10" x14ac:dyDescent="0.3">
      <c r="B1693" s="10">
        <f t="shared" si="52"/>
        <v>2019</v>
      </c>
      <c r="C1693" s="10">
        <f t="shared" si="53"/>
        <v>11</v>
      </c>
      <c r="D1693" s="20">
        <v>43782</v>
      </c>
      <c r="E1693">
        <v>375.25</v>
      </c>
      <c r="F1693">
        <v>902.5</v>
      </c>
      <c r="G1693">
        <v>304.10000000000002</v>
      </c>
      <c r="H1693">
        <v>509</v>
      </c>
      <c r="I1693">
        <v>30.53</v>
      </c>
      <c r="J1693">
        <v>4.1702000000000004</v>
      </c>
    </row>
    <row r="1694" spans="2:10" x14ac:dyDescent="0.3">
      <c r="B1694" s="10">
        <f t="shared" si="52"/>
        <v>2019</v>
      </c>
      <c r="C1694" s="10">
        <f t="shared" si="53"/>
        <v>11</v>
      </c>
      <c r="D1694" s="20">
        <v>43781</v>
      </c>
      <c r="E1694">
        <v>377.75</v>
      </c>
      <c r="F1694">
        <v>905.75</v>
      </c>
      <c r="G1694">
        <v>302.3</v>
      </c>
      <c r="H1694">
        <v>517</v>
      </c>
      <c r="I1694">
        <v>31.03</v>
      </c>
      <c r="J1694">
        <v>4.1675000000000004</v>
      </c>
    </row>
    <row r="1695" spans="2:10" x14ac:dyDescent="0.3">
      <c r="B1695" s="10">
        <f t="shared" si="52"/>
        <v>2019</v>
      </c>
      <c r="C1695" s="10">
        <f t="shared" si="53"/>
        <v>11</v>
      </c>
      <c r="D1695" s="20">
        <v>43780</v>
      </c>
      <c r="E1695">
        <v>373.25</v>
      </c>
      <c r="F1695">
        <v>905</v>
      </c>
      <c r="G1695">
        <v>300.60000000000002</v>
      </c>
      <c r="H1695">
        <v>505.75</v>
      </c>
      <c r="I1695">
        <v>31.42</v>
      </c>
      <c r="J1695">
        <v>4.1516000000000002</v>
      </c>
    </row>
    <row r="1696" spans="2:10" x14ac:dyDescent="0.3">
      <c r="B1696" s="10">
        <f t="shared" si="52"/>
        <v>2019</v>
      </c>
      <c r="C1696" s="10">
        <f t="shared" si="53"/>
        <v>11</v>
      </c>
      <c r="D1696" s="20">
        <v>43777</v>
      </c>
      <c r="E1696">
        <v>377.25</v>
      </c>
      <c r="F1696">
        <v>919.5</v>
      </c>
      <c r="G1696">
        <v>304.89999999999998</v>
      </c>
      <c r="H1696">
        <v>510.25</v>
      </c>
      <c r="I1696">
        <v>31.5</v>
      </c>
      <c r="J1696">
        <v>4.1632999999999996</v>
      </c>
    </row>
    <row r="1697" spans="2:10" x14ac:dyDescent="0.3">
      <c r="B1697" s="10">
        <f t="shared" si="52"/>
        <v>2019</v>
      </c>
      <c r="C1697" s="10">
        <f t="shared" si="53"/>
        <v>11</v>
      </c>
      <c r="D1697" s="20">
        <v>43776</v>
      </c>
      <c r="E1697">
        <v>375.25</v>
      </c>
      <c r="F1697">
        <v>925</v>
      </c>
      <c r="G1697">
        <v>305.60000000000002</v>
      </c>
      <c r="H1697">
        <v>512.5</v>
      </c>
      <c r="I1697">
        <v>31.43</v>
      </c>
      <c r="J1697">
        <v>4.1003999999999996</v>
      </c>
    </row>
    <row r="1698" spans="2:10" x14ac:dyDescent="0.3">
      <c r="B1698" s="10">
        <f t="shared" si="52"/>
        <v>2019</v>
      </c>
      <c r="C1698" s="10">
        <f t="shared" si="53"/>
        <v>11</v>
      </c>
      <c r="D1698" s="20">
        <v>43775</v>
      </c>
      <c r="E1698">
        <v>378.75</v>
      </c>
      <c r="F1698">
        <v>915</v>
      </c>
      <c r="G1698">
        <v>298.89999999999998</v>
      </c>
      <c r="H1698">
        <v>516.75</v>
      </c>
      <c r="I1698">
        <v>31.75</v>
      </c>
      <c r="J1698">
        <v>4.0834000000000001</v>
      </c>
    </row>
    <row r="1699" spans="2:10" x14ac:dyDescent="0.3">
      <c r="B1699" s="10">
        <f t="shared" si="52"/>
        <v>2019</v>
      </c>
      <c r="C1699" s="10">
        <f t="shared" si="53"/>
        <v>11</v>
      </c>
      <c r="D1699" s="20">
        <v>43774</v>
      </c>
      <c r="E1699">
        <v>381.75</v>
      </c>
      <c r="F1699">
        <v>921.75</v>
      </c>
      <c r="G1699">
        <v>302.7</v>
      </c>
      <c r="H1699">
        <v>515.25</v>
      </c>
      <c r="I1699">
        <v>31.57</v>
      </c>
      <c r="J1699">
        <v>3.9935</v>
      </c>
    </row>
    <row r="1700" spans="2:10" x14ac:dyDescent="0.3">
      <c r="B1700" s="10">
        <f t="shared" si="52"/>
        <v>2019</v>
      </c>
      <c r="C1700" s="10">
        <f t="shared" si="53"/>
        <v>11</v>
      </c>
      <c r="D1700" s="20">
        <v>43773</v>
      </c>
      <c r="E1700">
        <v>383.25</v>
      </c>
      <c r="F1700">
        <v>925.75</v>
      </c>
      <c r="G1700">
        <v>302.39999999999998</v>
      </c>
      <c r="H1700">
        <v>509.75</v>
      </c>
      <c r="I1700">
        <v>31.87</v>
      </c>
      <c r="J1700">
        <v>4.0152000000000001</v>
      </c>
    </row>
    <row r="1701" spans="2:10" x14ac:dyDescent="0.3">
      <c r="B1701" s="10">
        <f t="shared" si="52"/>
        <v>2019</v>
      </c>
      <c r="C1701" s="10">
        <f t="shared" si="53"/>
        <v>11</v>
      </c>
      <c r="D1701" s="20">
        <v>43770</v>
      </c>
      <c r="E1701">
        <v>389.25</v>
      </c>
      <c r="F1701">
        <v>924.25</v>
      </c>
      <c r="G1701">
        <v>303.89999999999998</v>
      </c>
      <c r="H1701">
        <v>516</v>
      </c>
      <c r="I1701">
        <v>31.03</v>
      </c>
      <c r="J1701">
        <v>3.9897</v>
      </c>
    </row>
    <row r="1702" spans="2:10" x14ac:dyDescent="0.3">
      <c r="B1702" s="10">
        <f t="shared" si="52"/>
        <v>2019</v>
      </c>
      <c r="C1702" s="10">
        <f t="shared" si="53"/>
        <v>10</v>
      </c>
      <c r="D1702" s="20">
        <v>43769</v>
      </c>
      <c r="E1702">
        <v>390</v>
      </c>
      <c r="F1702">
        <v>916.75</v>
      </c>
      <c r="G1702">
        <v>304.39999999999998</v>
      </c>
      <c r="H1702">
        <v>508.75</v>
      </c>
      <c r="I1702">
        <v>30.75</v>
      </c>
      <c r="J1702">
        <v>4.0174000000000003</v>
      </c>
    </row>
    <row r="1703" spans="2:10" x14ac:dyDescent="0.3">
      <c r="B1703" s="10">
        <f t="shared" si="52"/>
        <v>2019</v>
      </c>
      <c r="C1703" s="10">
        <f t="shared" si="53"/>
        <v>10</v>
      </c>
      <c r="D1703" s="20">
        <v>43768</v>
      </c>
      <c r="E1703">
        <v>390.75</v>
      </c>
      <c r="F1703">
        <v>916</v>
      </c>
      <c r="G1703">
        <v>302.2</v>
      </c>
      <c r="H1703">
        <v>509.25</v>
      </c>
      <c r="I1703">
        <v>30.98</v>
      </c>
      <c r="J1703">
        <v>3.9895</v>
      </c>
    </row>
    <row r="1704" spans="2:10" x14ac:dyDescent="0.3">
      <c r="B1704" s="10">
        <f t="shared" si="52"/>
        <v>2019</v>
      </c>
      <c r="C1704" s="10">
        <f t="shared" si="53"/>
        <v>10</v>
      </c>
      <c r="D1704" s="20">
        <v>43767</v>
      </c>
      <c r="E1704">
        <v>386.25</v>
      </c>
      <c r="F1704">
        <v>918.25</v>
      </c>
      <c r="G1704">
        <v>303</v>
      </c>
      <c r="H1704">
        <v>511.5</v>
      </c>
      <c r="I1704">
        <v>31</v>
      </c>
      <c r="J1704">
        <v>3.9980000000000002</v>
      </c>
    </row>
    <row r="1705" spans="2:10" x14ac:dyDescent="0.3">
      <c r="B1705" s="10">
        <f t="shared" si="52"/>
        <v>2019</v>
      </c>
      <c r="C1705" s="10">
        <f t="shared" si="53"/>
        <v>10</v>
      </c>
      <c r="D1705" s="20">
        <v>43766</v>
      </c>
      <c r="E1705">
        <v>384</v>
      </c>
      <c r="F1705">
        <v>920.75</v>
      </c>
      <c r="G1705">
        <v>304</v>
      </c>
      <c r="H1705">
        <v>511.75</v>
      </c>
      <c r="I1705">
        <v>30.78</v>
      </c>
      <c r="J1705">
        <v>3.9902000000000002</v>
      </c>
    </row>
    <row r="1706" spans="2:10" x14ac:dyDescent="0.3">
      <c r="B1706" s="10">
        <f t="shared" si="52"/>
        <v>2019</v>
      </c>
      <c r="C1706" s="10">
        <f t="shared" si="53"/>
        <v>10</v>
      </c>
      <c r="D1706" s="20">
        <v>43763</v>
      </c>
      <c r="E1706">
        <v>386.75</v>
      </c>
      <c r="F1706">
        <v>920.25</v>
      </c>
      <c r="G1706">
        <v>303.3</v>
      </c>
      <c r="H1706">
        <v>517.75</v>
      </c>
      <c r="I1706">
        <v>30.96</v>
      </c>
      <c r="J1706">
        <v>4.0029000000000003</v>
      </c>
    </row>
    <row r="1707" spans="2:10" x14ac:dyDescent="0.3">
      <c r="B1707" s="10">
        <f t="shared" si="52"/>
        <v>2019</v>
      </c>
      <c r="C1707" s="10">
        <f t="shared" si="53"/>
        <v>10</v>
      </c>
      <c r="D1707" s="20">
        <v>43762</v>
      </c>
      <c r="E1707">
        <v>386.75</v>
      </c>
      <c r="F1707">
        <v>933.25</v>
      </c>
      <c r="G1707">
        <v>305.60000000000002</v>
      </c>
      <c r="H1707">
        <v>516</v>
      </c>
      <c r="I1707">
        <v>31.34</v>
      </c>
      <c r="J1707">
        <v>4.0400999999999998</v>
      </c>
    </row>
    <row r="1708" spans="2:10" x14ac:dyDescent="0.3">
      <c r="B1708" s="10">
        <f t="shared" si="52"/>
        <v>2019</v>
      </c>
      <c r="C1708" s="10">
        <f t="shared" si="53"/>
        <v>10</v>
      </c>
      <c r="D1708" s="20">
        <v>43761</v>
      </c>
      <c r="E1708">
        <v>387.75</v>
      </c>
      <c r="F1708">
        <v>933.75</v>
      </c>
      <c r="G1708">
        <v>308.60000000000002</v>
      </c>
      <c r="H1708">
        <v>520.75</v>
      </c>
      <c r="I1708">
        <v>30.58</v>
      </c>
      <c r="J1708">
        <v>4.0336999999999996</v>
      </c>
    </row>
    <row r="1709" spans="2:10" x14ac:dyDescent="0.3">
      <c r="B1709" s="10">
        <f t="shared" si="52"/>
        <v>2019</v>
      </c>
      <c r="C1709" s="10">
        <f t="shared" si="53"/>
        <v>10</v>
      </c>
      <c r="D1709" s="20">
        <v>43760</v>
      </c>
      <c r="E1709">
        <v>388</v>
      </c>
      <c r="F1709">
        <v>934</v>
      </c>
      <c r="G1709">
        <v>306.89999999999998</v>
      </c>
      <c r="H1709">
        <v>518</v>
      </c>
      <c r="I1709">
        <v>30.85</v>
      </c>
      <c r="J1709">
        <v>4.0816999999999997</v>
      </c>
    </row>
    <row r="1710" spans="2:10" x14ac:dyDescent="0.3">
      <c r="B1710" s="10">
        <f t="shared" si="52"/>
        <v>2019</v>
      </c>
      <c r="C1710" s="10">
        <f t="shared" si="53"/>
        <v>10</v>
      </c>
      <c r="D1710" s="20">
        <v>43759</v>
      </c>
      <c r="E1710">
        <v>387.25</v>
      </c>
      <c r="F1710">
        <v>933.25</v>
      </c>
      <c r="G1710">
        <v>307.7</v>
      </c>
      <c r="H1710">
        <v>523.5</v>
      </c>
      <c r="I1710">
        <v>30.48</v>
      </c>
      <c r="J1710">
        <v>4.1284999999999998</v>
      </c>
    </row>
    <row r="1711" spans="2:10" x14ac:dyDescent="0.3">
      <c r="B1711" s="10">
        <f t="shared" si="52"/>
        <v>2019</v>
      </c>
      <c r="C1711" s="10">
        <f t="shared" si="53"/>
        <v>10</v>
      </c>
      <c r="D1711" s="20">
        <v>43756</v>
      </c>
      <c r="E1711">
        <v>391</v>
      </c>
      <c r="F1711">
        <v>934</v>
      </c>
      <c r="G1711">
        <v>308.5</v>
      </c>
      <c r="H1711">
        <v>532.25</v>
      </c>
      <c r="I1711">
        <v>30.36</v>
      </c>
      <c r="J1711">
        <v>4.1105</v>
      </c>
    </row>
    <row r="1712" spans="2:10" x14ac:dyDescent="0.3">
      <c r="B1712" s="10">
        <f t="shared" si="52"/>
        <v>2019</v>
      </c>
      <c r="C1712" s="10">
        <f t="shared" si="53"/>
        <v>10</v>
      </c>
      <c r="D1712" s="20">
        <v>43755</v>
      </c>
      <c r="E1712">
        <v>394.75</v>
      </c>
      <c r="F1712">
        <v>931.5</v>
      </c>
      <c r="G1712">
        <v>306.8</v>
      </c>
      <c r="H1712">
        <v>525.5</v>
      </c>
      <c r="I1712">
        <v>30.39</v>
      </c>
      <c r="J1712">
        <v>4.1630000000000003</v>
      </c>
    </row>
    <row r="1713" spans="2:10" x14ac:dyDescent="0.3">
      <c r="B1713" s="10">
        <f t="shared" si="52"/>
        <v>2019</v>
      </c>
      <c r="C1713" s="10">
        <f t="shared" si="53"/>
        <v>10</v>
      </c>
      <c r="D1713" s="20">
        <v>43754</v>
      </c>
      <c r="E1713">
        <v>391.75</v>
      </c>
      <c r="F1713">
        <v>928</v>
      </c>
      <c r="G1713">
        <v>304.8</v>
      </c>
      <c r="H1713">
        <v>513.25</v>
      </c>
      <c r="I1713">
        <v>30.4</v>
      </c>
      <c r="J1713">
        <v>4.1505000000000001</v>
      </c>
    </row>
    <row r="1714" spans="2:10" x14ac:dyDescent="0.3">
      <c r="B1714" s="10">
        <f t="shared" si="52"/>
        <v>2019</v>
      </c>
      <c r="C1714" s="10">
        <f t="shared" si="53"/>
        <v>10</v>
      </c>
      <c r="D1714" s="20">
        <v>43753</v>
      </c>
      <c r="E1714">
        <v>393.25</v>
      </c>
      <c r="F1714">
        <v>934</v>
      </c>
      <c r="G1714">
        <v>307.8</v>
      </c>
      <c r="H1714">
        <v>507</v>
      </c>
      <c r="I1714">
        <v>30.39</v>
      </c>
      <c r="J1714">
        <v>4.1805000000000003</v>
      </c>
    </row>
    <row r="1715" spans="2:10" x14ac:dyDescent="0.3">
      <c r="B1715" s="10">
        <f t="shared" si="52"/>
        <v>2019</v>
      </c>
      <c r="C1715" s="10">
        <f t="shared" si="53"/>
        <v>10</v>
      </c>
      <c r="D1715" s="20">
        <v>43752</v>
      </c>
      <c r="E1715">
        <v>397.75</v>
      </c>
      <c r="F1715">
        <v>940.5</v>
      </c>
      <c r="G1715">
        <v>306</v>
      </c>
      <c r="H1715">
        <v>511</v>
      </c>
      <c r="I1715">
        <v>29.9</v>
      </c>
      <c r="J1715">
        <v>4.1254999999999997</v>
      </c>
    </row>
    <row r="1716" spans="2:10" x14ac:dyDescent="0.3">
      <c r="B1716" s="10">
        <f t="shared" si="52"/>
        <v>2019</v>
      </c>
      <c r="C1716" s="10">
        <f t="shared" si="53"/>
        <v>10</v>
      </c>
      <c r="D1716" s="20">
        <v>43749</v>
      </c>
      <c r="E1716">
        <v>397.75</v>
      </c>
      <c r="F1716">
        <v>936</v>
      </c>
      <c r="G1716">
        <v>306.89999999999998</v>
      </c>
      <c r="H1716">
        <v>508</v>
      </c>
      <c r="I1716">
        <v>29.83</v>
      </c>
      <c r="J1716">
        <v>4.1093999999999999</v>
      </c>
    </row>
    <row r="1717" spans="2:10" x14ac:dyDescent="0.3">
      <c r="B1717" s="10">
        <f t="shared" si="52"/>
        <v>2019</v>
      </c>
      <c r="C1717" s="10">
        <f t="shared" si="53"/>
        <v>10</v>
      </c>
      <c r="D1717" s="20">
        <v>43748</v>
      </c>
      <c r="E1717">
        <v>380.25</v>
      </c>
      <c r="F1717">
        <v>923.5</v>
      </c>
      <c r="G1717">
        <v>304.10000000000002</v>
      </c>
      <c r="H1717">
        <v>493</v>
      </c>
      <c r="I1717">
        <v>29.7</v>
      </c>
      <c r="J1717">
        <v>4.1089000000000002</v>
      </c>
    </row>
    <row r="1718" spans="2:10" x14ac:dyDescent="0.3">
      <c r="B1718" s="10">
        <f t="shared" si="52"/>
        <v>2019</v>
      </c>
      <c r="C1718" s="10">
        <f t="shared" si="53"/>
        <v>10</v>
      </c>
      <c r="D1718" s="20">
        <v>43747</v>
      </c>
      <c r="E1718">
        <v>394.25</v>
      </c>
      <c r="F1718">
        <v>923.75</v>
      </c>
      <c r="G1718">
        <v>305.39999999999998</v>
      </c>
      <c r="H1718">
        <v>500.25</v>
      </c>
      <c r="I1718">
        <v>29.63</v>
      </c>
      <c r="J1718">
        <v>4.1089000000000002</v>
      </c>
    </row>
    <row r="1719" spans="2:10" x14ac:dyDescent="0.3">
      <c r="B1719" s="10">
        <f t="shared" si="52"/>
        <v>2019</v>
      </c>
      <c r="C1719" s="10">
        <f t="shared" si="53"/>
        <v>10</v>
      </c>
      <c r="D1719" s="20">
        <v>43746</v>
      </c>
      <c r="E1719">
        <v>395.75</v>
      </c>
      <c r="F1719">
        <v>920.5</v>
      </c>
      <c r="G1719">
        <v>302.3</v>
      </c>
      <c r="H1719">
        <v>500.25</v>
      </c>
      <c r="I1719">
        <v>29.77</v>
      </c>
      <c r="J1719">
        <v>4.0941999999999998</v>
      </c>
    </row>
    <row r="1720" spans="2:10" x14ac:dyDescent="0.3">
      <c r="B1720" s="10">
        <f t="shared" si="52"/>
        <v>2019</v>
      </c>
      <c r="C1720" s="10">
        <f t="shared" si="53"/>
        <v>10</v>
      </c>
      <c r="D1720" s="20">
        <v>43745</v>
      </c>
      <c r="E1720">
        <v>387</v>
      </c>
      <c r="F1720">
        <v>915.25</v>
      </c>
      <c r="G1720">
        <v>297.39999999999998</v>
      </c>
      <c r="H1720">
        <v>489.25</v>
      </c>
      <c r="I1720">
        <v>30.01</v>
      </c>
      <c r="J1720">
        <v>4.1067999999999998</v>
      </c>
    </row>
    <row r="1721" spans="2:10" x14ac:dyDescent="0.3">
      <c r="B1721" s="10">
        <f t="shared" si="52"/>
        <v>2019</v>
      </c>
      <c r="C1721" s="10">
        <f t="shared" si="53"/>
        <v>10</v>
      </c>
      <c r="D1721" s="20">
        <v>43742</v>
      </c>
      <c r="E1721">
        <v>384.75</v>
      </c>
      <c r="F1721">
        <v>916.25</v>
      </c>
      <c r="G1721">
        <v>298.8</v>
      </c>
      <c r="H1721">
        <v>490.5</v>
      </c>
      <c r="I1721">
        <v>29.79</v>
      </c>
      <c r="J1721">
        <v>4.0551000000000004</v>
      </c>
    </row>
    <row r="1722" spans="2:10" x14ac:dyDescent="0.3">
      <c r="B1722" s="10">
        <f t="shared" si="52"/>
        <v>2019</v>
      </c>
      <c r="C1722" s="10">
        <f t="shared" si="53"/>
        <v>10</v>
      </c>
      <c r="D1722" s="20">
        <v>43741</v>
      </c>
      <c r="E1722">
        <v>388.75</v>
      </c>
      <c r="F1722">
        <v>911.75</v>
      </c>
      <c r="G1722">
        <v>298</v>
      </c>
      <c r="H1722">
        <v>488.75</v>
      </c>
      <c r="I1722">
        <v>29.8</v>
      </c>
      <c r="J1722">
        <v>4.0831999999999997</v>
      </c>
    </row>
    <row r="1723" spans="2:10" x14ac:dyDescent="0.3">
      <c r="B1723" s="10">
        <f t="shared" si="52"/>
        <v>2019</v>
      </c>
      <c r="C1723" s="10">
        <f t="shared" si="53"/>
        <v>10</v>
      </c>
      <c r="D1723" s="20">
        <v>43740</v>
      </c>
      <c r="E1723">
        <v>387.75</v>
      </c>
      <c r="F1723">
        <v>913.75</v>
      </c>
      <c r="G1723">
        <v>300.3</v>
      </c>
      <c r="H1723">
        <v>489</v>
      </c>
      <c r="I1723">
        <v>29.06</v>
      </c>
      <c r="J1723">
        <v>4.1287000000000003</v>
      </c>
    </row>
    <row r="1724" spans="2:10" x14ac:dyDescent="0.3">
      <c r="B1724" s="10">
        <f t="shared" si="52"/>
        <v>2019</v>
      </c>
      <c r="C1724" s="10">
        <f t="shared" si="53"/>
        <v>10</v>
      </c>
      <c r="D1724" s="20">
        <v>43739</v>
      </c>
      <c r="E1724">
        <v>392.5</v>
      </c>
      <c r="F1724">
        <v>919.5</v>
      </c>
      <c r="G1724">
        <v>304.10000000000002</v>
      </c>
      <c r="H1724">
        <v>498.75</v>
      </c>
      <c r="I1724">
        <v>28.83</v>
      </c>
      <c r="J1724">
        <v>4.1577999999999999</v>
      </c>
    </row>
    <row r="1725" spans="2:10" x14ac:dyDescent="0.3">
      <c r="B1725" s="10">
        <f t="shared" si="52"/>
        <v>2019</v>
      </c>
      <c r="C1725" s="10">
        <f t="shared" si="53"/>
        <v>9</v>
      </c>
      <c r="D1725" s="20">
        <v>43738</v>
      </c>
      <c r="E1725">
        <v>388</v>
      </c>
      <c r="F1725">
        <v>906</v>
      </c>
      <c r="G1725">
        <v>295.89999999999998</v>
      </c>
      <c r="H1725">
        <v>495.75</v>
      </c>
      <c r="I1725">
        <v>28.99</v>
      </c>
      <c r="J1725">
        <v>4.1551</v>
      </c>
    </row>
    <row r="1726" spans="2:10" x14ac:dyDescent="0.3">
      <c r="B1726" s="10">
        <f t="shared" si="52"/>
        <v>2019</v>
      </c>
      <c r="C1726" s="10">
        <f t="shared" si="53"/>
        <v>9</v>
      </c>
      <c r="D1726" s="20">
        <v>43735</v>
      </c>
      <c r="E1726">
        <v>371.5</v>
      </c>
      <c r="F1726">
        <v>883</v>
      </c>
      <c r="G1726">
        <v>289.89999999999998</v>
      </c>
      <c r="H1726">
        <v>487.25</v>
      </c>
      <c r="I1726">
        <v>28.62</v>
      </c>
      <c r="J1726">
        <v>4.1599000000000004</v>
      </c>
    </row>
    <row r="1727" spans="2:10" x14ac:dyDescent="0.3">
      <c r="B1727" s="10">
        <f t="shared" si="52"/>
        <v>2019</v>
      </c>
      <c r="C1727" s="10">
        <f t="shared" si="53"/>
        <v>9</v>
      </c>
      <c r="D1727" s="20">
        <v>43734</v>
      </c>
      <c r="E1727">
        <v>372.5</v>
      </c>
      <c r="F1727">
        <v>888.5</v>
      </c>
      <c r="G1727">
        <v>290.8</v>
      </c>
      <c r="H1727">
        <v>484.25</v>
      </c>
      <c r="I1727">
        <v>29.01</v>
      </c>
      <c r="J1727">
        <v>4.1707000000000001</v>
      </c>
    </row>
    <row r="1728" spans="2:10" x14ac:dyDescent="0.3">
      <c r="B1728" s="10">
        <f t="shared" ref="B1728:B1791" si="54">YEAR(D1728)</f>
        <v>2019</v>
      </c>
      <c r="C1728" s="10">
        <f t="shared" ref="C1728:C1791" si="55">MONTH(D1728)</f>
        <v>9</v>
      </c>
      <c r="D1728" s="20">
        <v>43733</v>
      </c>
      <c r="E1728">
        <v>374.25</v>
      </c>
      <c r="F1728">
        <v>889.25</v>
      </c>
      <c r="G1728">
        <v>293.2</v>
      </c>
      <c r="H1728">
        <v>477.25</v>
      </c>
      <c r="I1728">
        <v>29.04</v>
      </c>
      <c r="J1728">
        <v>4.1477000000000004</v>
      </c>
    </row>
    <row r="1729" spans="2:10" x14ac:dyDescent="0.3">
      <c r="B1729" s="10">
        <f t="shared" si="54"/>
        <v>2019</v>
      </c>
      <c r="C1729" s="10">
        <f t="shared" si="55"/>
        <v>9</v>
      </c>
      <c r="D1729" s="20">
        <v>43732</v>
      </c>
      <c r="E1729">
        <v>374.75</v>
      </c>
      <c r="F1729">
        <v>894.25</v>
      </c>
      <c r="G1729">
        <v>295.39999999999998</v>
      </c>
      <c r="H1729">
        <v>481.75</v>
      </c>
      <c r="I1729">
        <v>29.2</v>
      </c>
      <c r="J1729">
        <v>4.1646999999999998</v>
      </c>
    </row>
    <row r="1730" spans="2:10" x14ac:dyDescent="0.3">
      <c r="B1730" s="10">
        <f t="shared" si="54"/>
        <v>2019</v>
      </c>
      <c r="C1730" s="10">
        <f t="shared" si="55"/>
        <v>9</v>
      </c>
      <c r="D1730" s="20">
        <v>43731</v>
      </c>
      <c r="E1730">
        <v>373.25</v>
      </c>
      <c r="F1730">
        <v>892.5</v>
      </c>
      <c r="G1730">
        <v>294.5</v>
      </c>
      <c r="H1730">
        <v>483</v>
      </c>
      <c r="I1730">
        <v>29.19</v>
      </c>
      <c r="J1730">
        <v>4.1628999999999996</v>
      </c>
    </row>
    <row r="1731" spans="2:10" x14ac:dyDescent="0.3">
      <c r="B1731" s="10">
        <f t="shared" si="54"/>
        <v>2019</v>
      </c>
      <c r="C1731" s="10">
        <f t="shared" si="55"/>
        <v>9</v>
      </c>
      <c r="D1731" s="20">
        <v>43728</v>
      </c>
      <c r="E1731">
        <v>370.75</v>
      </c>
      <c r="F1731">
        <v>882.75</v>
      </c>
      <c r="G1731">
        <v>291.10000000000002</v>
      </c>
      <c r="H1731">
        <v>484.25</v>
      </c>
      <c r="I1731">
        <v>29.28</v>
      </c>
      <c r="J1731">
        <v>4.1471999999999998</v>
      </c>
    </row>
    <row r="1732" spans="2:10" x14ac:dyDescent="0.3">
      <c r="B1732" s="10">
        <f t="shared" si="54"/>
        <v>2019</v>
      </c>
      <c r="C1732" s="10">
        <f t="shared" si="55"/>
        <v>9</v>
      </c>
      <c r="D1732" s="20">
        <v>43727</v>
      </c>
      <c r="E1732">
        <v>372.75</v>
      </c>
      <c r="F1732">
        <v>893</v>
      </c>
      <c r="G1732">
        <v>292.2</v>
      </c>
      <c r="H1732">
        <v>488</v>
      </c>
      <c r="I1732">
        <v>29.81</v>
      </c>
      <c r="J1732">
        <v>4.1672000000000002</v>
      </c>
    </row>
    <row r="1733" spans="2:10" x14ac:dyDescent="0.3">
      <c r="B1733" s="10">
        <f t="shared" si="54"/>
        <v>2019</v>
      </c>
      <c r="C1733" s="10">
        <f t="shared" si="55"/>
        <v>9</v>
      </c>
      <c r="D1733" s="20">
        <v>43726</v>
      </c>
      <c r="E1733">
        <v>371.25</v>
      </c>
      <c r="F1733">
        <v>888.75</v>
      </c>
      <c r="G1733">
        <v>291.60000000000002</v>
      </c>
      <c r="H1733">
        <v>489.5</v>
      </c>
      <c r="I1733">
        <v>29.87</v>
      </c>
      <c r="J1733">
        <v>4.1105999999999998</v>
      </c>
    </row>
    <row r="1734" spans="2:10" x14ac:dyDescent="0.3">
      <c r="B1734" s="10">
        <f t="shared" si="54"/>
        <v>2019</v>
      </c>
      <c r="C1734" s="10">
        <f t="shared" si="55"/>
        <v>9</v>
      </c>
      <c r="D1734" s="20">
        <v>43725</v>
      </c>
      <c r="E1734">
        <v>368</v>
      </c>
      <c r="F1734">
        <v>893.75</v>
      </c>
      <c r="G1734">
        <v>294.10000000000002</v>
      </c>
      <c r="H1734">
        <v>484.25</v>
      </c>
      <c r="I1734">
        <v>29.85</v>
      </c>
      <c r="J1734">
        <v>4.0773000000000001</v>
      </c>
    </row>
    <row r="1735" spans="2:10" x14ac:dyDescent="0.3">
      <c r="B1735" s="10">
        <f t="shared" si="54"/>
        <v>2019</v>
      </c>
      <c r="C1735" s="10">
        <f t="shared" si="55"/>
        <v>9</v>
      </c>
      <c r="D1735" s="20">
        <v>43724</v>
      </c>
      <c r="E1735">
        <v>374</v>
      </c>
      <c r="F1735">
        <v>900</v>
      </c>
      <c r="G1735">
        <v>295.2</v>
      </c>
      <c r="H1735">
        <v>488.75</v>
      </c>
      <c r="I1735">
        <v>30.14</v>
      </c>
      <c r="J1735">
        <v>4.0800999999999998</v>
      </c>
    </row>
    <row r="1736" spans="2:10" x14ac:dyDescent="0.3">
      <c r="B1736" s="10">
        <f t="shared" si="54"/>
        <v>2019</v>
      </c>
      <c r="C1736" s="10">
        <f t="shared" si="55"/>
        <v>9</v>
      </c>
      <c r="D1736" s="20">
        <v>43721</v>
      </c>
      <c r="E1736">
        <v>355.5</v>
      </c>
      <c r="F1736">
        <v>884.75</v>
      </c>
      <c r="G1736">
        <v>298.2</v>
      </c>
      <c r="H1736">
        <v>485.75</v>
      </c>
      <c r="I1736">
        <v>28.94</v>
      </c>
      <c r="J1736">
        <v>4.0839999999999996</v>
      </c>
    </row>
    <row r="1737" spans="2:10" x14ac:dyDescent="0.3">
      <c r="B1737" s="10">
        <f t="shared" si="54"/>
        <v>2019</v>
      </c>
      <c r="C1737" s="10">
        <f t="shared" si="55"/>
        <v>9</v>
      </c>
      <c r="D1737" s="20">
        <v>43720</v>
      </c>
      <c r="E1737">
        <v>354.5</v>
      </c>
      <c r="F1737">
        <v>883</v>
      </c>
      <c r="G1737">
        <v>296.10000000000002</v>
      </c>
      <c r="H1737">
        <v>485.75</v>
      </c>
      <c r="I1737">
        <v>29.02</v>
      </c>
      <c r="J1737">
        <v>4.0602</v>
      </c>
    </row>
    <row r="1738" spans="2:10" x14ac:dyDescent="0.3">
      <c r="B1738" s="10">
        <f t="shared" si="54"/>
        <v>2019</v>
      </c>
      <c r="C1738" s="10">
        <f t="shared" si="55"/>
        <v>9</v>
      </c>
      <c r="D1738" s="20">
        <v>43719</v>
      </c>
      <c r="E1738">
        <v>348.25</v>
      </c>
      <c r="F1738">
        <v>854</v>
      </c>
      <c r="G1738">
        <v>289.60000000000002</v>
      </c>
      <c r="H1738">
        <v>477.5</v>
      </c>
      <c r="I1738">
        <v>28.73</v>
      </c>
      <c r="J1738">
        <v>4.0670999999999999</v>
      </c>
    </row>
    <row r="1739" spans="2:10" x14ac:dyDescent="0.3">
      <c r="B1739" s="10">
        <f t="shared" si="54"/>
        <v>2019</v>
      </c>
      <c r="C1739" s="10">
        <f t="shared" si="55"/>
        <v>9</v>
      </c>
      <c r="D1739" s="20">
        <v>43718</v>
      </c>
      <c r="E1739">
        <v>348.5</v>
      </c>
      <c r="F1739">
        <v>859.25</v>
      </c>
      <c r="G1739">
        <v>292.89999999999998</v>
      </c>
      <c r="H1739">
        <v>484.5</v>
      </c>
      <c r="I1739">
        <v>28.38</v>
      </c>
      <c r="J1739">
        <v>4.0797999999999996</v>
      </c>
    </row>
    <row r="1740" spans="2:10" x14ac:dyDescent="0.3">
      <c r="B1740" s="10">
        <f t="shared" si="54"/>
        <v>2019</v>
      </c>
      <c r="C1740" s="10">
        <f t="shared" si="55"/>
        <v>9</v>
      </c>
      <c r="D1740" s="20">
        <v>43717</v>
      </c>
      <c r="E1740">
        <v>340.75</v>
      </c>
      <c r="F1740">
        <v>845</v>
      </c>
      <c r="G1740">
        <v>288.5</v>
      </c>
      <c r="H1740">
        <v>474.5</v>
      </c>
      <c r="I1740">
        <v>28.26</v>
      </c>
      <c r="J1740">
        <v>4.0942999999999996</v>
      </c>
    </row>
    <row r="1741" spans="2:10" x14ac:dyDescent="0.3">
      <c r="B1741" s="10">
        <f t="shared" si="54"/>
        <v>2019</v>
      </c>
      <c r="C1741" s="10">
        <f t="shared" si="55"/>
        <v>9</v>
      </c>
      <c r="D1741" s="20">
        <v>43714</v>
      </c>
      <c r="E1741">
        <v>342.5</v>
      </c>
      <c r="F1741">
        <v>845</v>
      </c>
      <c r="G1741">
        <v>287.2</v>
      </c>
      <c r="H1741">
        <v>460.25</v>
      </c>
      <c r="I1741">
        <v>28.48</v>
      </c>
      <c r="J1741">
        <v>4.0606999999999998</v>
      </c>
    </row>
    <row r="1742" spans="2:10" x14ac:dyDescent="0.3">
      <c r="B1742" s="10">
        <f t="shared" si="54"/>
        <v>2019</v>
      </c>
      <c r="C1742" s="10">
        <f t="shared" si="55"/>
        <v>9</v>
      </c>
      <c r="D1742" s="20">
        <v>43713</v>
      </c>
      <c r="E1742">
        <v>346.5</v>
      </c>
      <c r="F1742">
        <v>849.75</v>
      </c>
      <c r="G1742">
        <v>288.7</v>
      </c>
      <c r="H1742">
        <v>464</v>
      </c>
      <c r="I1742">
        <v>28.47</v>
      </c>
      <c r="J1742">
        <v>4.1081000000000003</v>
      </c>
    </row>
    <row r="1743" spans="2:10" x14ac:dyDescent="0.3">
      <c r="B1743" s="10">
        <f t="shared" si="54"/>
        <v>2019</v>
      </c>
      <c r="C1743" s="10">
        <f t="shared" si="55"/>
        <v>9</v>
      </c>
      <c r="D1743" s="20">
        <v>43712</v>
      </c>
      <c r="E1743">
        <v>346</v>
      </c>
      <c r="F1743">
        <v>862.5</v>
      </c>
      <c r="G1743">
        <v>292.2</v>
      </c>
      <c r="H1743">
        <v>456.25</v>
      </c>
      <c r="I1743">
        <v>28.79</v>
      </c>
      <c r="J1743">
        <v>4.0948000000000002</v>
      </c>
    </row>
    <row r="1744" spans="2:10" x14ac:dyDescent="0.3">
      <c r="B1744" s="10">
        <f t="shared" si="54"/>
        <v>2019</v>
      </c>
      <c r="C1744" s="10">
        <f t="shared" si="55"/>
        <v>9</v>
      </c>
      <c r="D1744" s="20">
        <v>43711</v>
      </c>
      <c r="E1744">
        <v>349.75</v>
      </c>
      <c r="F1744">
        <v>856.5</v>
      </c>
      <c r="G1744">
        <v>288</v>
      </c>
      <c r="H1744">
        <v>447.25</v>
      </c>
      <c r="I1744">
        <v>28.87</v>
      </c>
      <c r="J1744">
        <v>4.1677999999999997</v>
      </c>
    </row>
    <row r="1745" spans="2:10" x14ac:dyDescent="0.3">
      <c r="B1745" s="10">
        <f t="shared" si="54"/>
        <v>2019</v>
      </c>
      <c r="C1745" s="10">
        <f t="shared" si="55"/>
        <v>9</v>
      </c>
      <c r="D1745" s="20">
        <v>43710</v>
      </c>
      <c r="J1745">
        <v>4.1856999999999998</v>
      </c>
    </row>
    <row r="1746" spans="2:10" x14ac:dyDescent="0.3">
      <c r="B1746" s="10">
        <f t="shared" si="54"/>
        <v>2019</v>
      </c>
      <c r="C1746" s="10">
        <f t="shared" si="55"/>
        <v>8</v>
      </c>
      <c r="D1746" s="20">
        <v>43707</v>
      </c>
      <c r="E1746">
        <v>358</v>
      </c>
      <c r="F1746">
        <v>857</v>
      </c>
      <c r="G1746">
        <v>289.3</v>
      </c>
      <c r="H1746">
        <v>451.25</v>
      </c>
      <c r="I1746">
        <v>28.64</v>
      </c>
      <c r="J1746">
        <v>4.1444999999999999</v>
      </c>
    </row>
    <row r="1747" spans="2:10" x14ac:dyDescent="0.3">
      <c r="B1747" s="10">
        <f t="shared" si="54"/>
        <v>2019</v>
      </c>
      <c r="C1747" s="10">
        <f t="shared" si="55"/>
        <v>8</v>
      </c>
      <c r="D1747" s="20">
        <v>43706</v>
      </c>
      <c r="E1747">
        <v>359.75</v>
      </c>
      <c r="F1747">
        <v>856.25</v>
      </c>
      <c r="G1747">
        <v>292</v>
      </c>
      <c r="H1747">
        <v>469.75</v>
      </c>
      <c r="I1747">
        <v>28.37</v>
      </c>
      <c r="J1747">
        <v>4.1684999999999999</v>
      </c>
    </row>
    <row r="1748" spans="2:10" x14ac:dyDescent="0.3">
      <c r="B1748" s="10">
        <f t="shared" si="54"/>
        <v>2019</v>
      </c>
      <c r="C1748" s="10">
        <f t="shared" si="55"/>
        <v>8</v>
      </c>
      <c r="D1748" s="20">
        <v>43705</v>
      </c>
      <c r="E1748">
        <v>362.75</v>
      </c>
      <c r="F1748">
        <v>852.75</v>
      </c>
      <c r="G1748">
        <v>294</v>
      </c>
      <c r="H1748">
        <v>472.25</v>
      </c>
      <c r="I1748">
        <v>28.11</v>
      </c>
      <c r="J1748">
        <v>4.1677</v>
      </c>
    </row>
    <row r="1749" spans="2:10" x14ac:dyDescent="0.3">
      <c r="B1749" s="10">
        <f t="shared" si="54"/>
        <v>2019</v>
      </c>
      <c r="C1749" s="10">
        <f t="shared" si="55"/>
        <v>8</v>
      </c>
      <c r="D1749" s="20">
        <v>43704</v>
      </c>
      <c r="E1749">
        <v>357</v>
      </c>
      <c r="F1749">
        <v>846.25</v>
      </c>
      <c r="G1749">
        <v>291.5</v>
      </c>
      <c r="H1749">
        <v>473.75</v>
      </c>
      <c r="I1749">
        <v>28.01</v>
      </c>
      <c r="J1749">
        <v>4.13</v>
      </c>
    </row>
    <row r="1750" spans="2:10" x14ac:dyDescent="0.3">
      <c r="B1750" s="10">
        <f t="shared" si="54"/>
        <v>2019</v>
      </c>
      <c r="C1750" s="10">
        <f t="shared" si="55"/>
        <v>8</v>
      </c>
      <c r="D1750" s="20">
        <v>43703</v>
      </c>
      <c r="E1750">
        <v>358.5</v>
      </c>
      <c r="F1750">
        <v>853.75</v>
      </c>
      <c r="G1750">
        <v>293</v>
      </c>
      <c r="H1750">
        <v>473</v>
      </c>
      <c r="I1750">
        <v>28.33</v>
      </c>
      <c r="J1750">
        <v>4.1569000000000003</v>
      </c>
    </row>
    <row r="1751" spans="2:10" x14ac:dyDescent="0.3">
      <c r="B1751" s="10">
        <f t="shared" si="54"/>
        <v>2019</v>
      </c>
      <c r="C1751" s="10">
        <f t="shared" si="55"/>
        <v>8</v>
      </c>
      <c r="D1751" s="20">
        <v>43700</v>
      </c>
      <c r="E1751">
        <v>359.75</v>
      </c>
      <c r="F1751">
        <v>843.25</v>
      </c>
      <c r="G1751">
        <v>289.89999999999998</v>
      </c>
      <c r="H1751">
        <v>475.25</v>
      </c>
      <c r="I1751">
        <v>28.34</v>
      </c>
      <c r="J1751">
        <v>4.1196000000000002</v>
      </c>
    </row>
    <row r="1752" spans="2:10" x14ac:dyDescent="0.3">
      <c r="B1752" s="10">
        <f t="shared" si="54"/>
        <v>2019</v>
      </c>
      <c r="C1752" s="10">
        <f t="shared" si="55"/>
        <v>8</v>
      </c>
      <c r="D1752" s="20">
        <v>43699</v>
      </c>
      <c r="E1752">
        <v>363.25</v>
      </c>
      <c r="F1752">
        <v>856</v>
      </c>
      <c r="G1752">
        <v>293.7</v>
      </c>
      <c r="H1752">
        <v>467.25</v>
      </c>
      <c r="I1752">
        <v>28.54</v>
      </c>
      <c r="J1752">
        <v>4.0704000000000002</v>
      </c>
    </row>
    <row r="1753" spans="2:10" x14ac:dyDescent="0.3">
      <c r="B1753" s="10">
        <f t="shared" si="54"/>
        <v>2019</v>
      </c>
      <c r="C1753" s="10">
        <f t="shared" si="55"/>
        <v>8</v>
      </c>
      <c r="D1753" s="20">
        <v>43698</v>
      </c>
      <c r="E1753">
        <v>362.5</v>
      </c>
      <c r="F1753">
        <v>860.5</v>
      </c>
      <c r="G1753">
        <v>294.7</v>
      </c>
      <c r="H1753">
        <v>462.5</v>
      </c>
      <c r="I1753">
        <v>28.74</v>
      </c>
      <c r="J1753">
        <v>4.0259999999999998</v>
      </c>
    </row>
    <row r="1754" spans="2:10" x14ac:dyDescent="0.3">
      <c r="B1754" s="10">
        <f t="shared" si="54"/>
        <v>2019</v>
      </c>
      <c r="C1754" s="10">
        <f t="shared" si="55"/>
        <v>8</v>
      </c>
      <c r="D1754" s="20">
        <v>43697</v>
      </c>
      <c r="E1754">
        <v>359.5</v>
      </c>
      <c r="F1754">
        <v>855.75</v>
      </c>
      <c r="G1754">
        <v>294</v>
      </c>
      <c r="H1754">
        <v>460</v>
      </c>
      <c r="I1754">
        <v>28.43</v>
      </c>
      <c r="J1754">
        <v>4.0529000000000002</v>
      </c>
    </row>
    <row r="1755" spans="2:10" x14ac:dyDescent="0.3">
      <c r="B1755" s="10">
        <f t="shared" si="54"/>
        <v>2019</v>
      </c>
      <c r="C1755" s="10">
        <f t="shared" si="55"/>
        <v>8</v>
      </c>
      <c r="D1755" s="20">
        <v>43696</v>
      </c>
      <c r="E1755">
        <v>365</v>
      </c>
      <c r="F1755">
        <v>854</v>
      </c>
      <c r="G1755">
        <v>292</v>
      </c>
      <c r="H1755">
        <v>465.5</v>
      </c>
      <c r="I1755">
        <v>28.68</v>
      </c>
      <c r="J1755">
        <v>4.0739999999999998</v>
      </c>
    </row>
    <row r="1756" spans="2:10" x14ac:dyDescent="0.3">
      <c r="B1756" s="10">
        <f t="shared" si="54"/>
        <v>2019</v>
      </c>
      <c r="C1756" s="10">
        <f t="shared" si="55"/>
        <v>8</v>
      </c>
      <c r="D1756" s="20">
        <v>43693</v>
      </c>
      <c r="E1756">
        <v>371</v>
      </c>
      <c r="F1756">
        <v>867.25</v>
      </c>
      <c r="G1756">
        <v>294.89999999999998</v>
      </c>
      <c r="H1756">
        <v>470.75</v>
      </c>
      <c r="I1756">
        <v>29.13</v>
      </c>
      <c r="J1756">
        <v>4.0053999999999998</v>
      </c>
    </row>
    <row r="1757" spans="2:10" x14ac:dyDescent="0.3">
      <c r="B1757" s="10">
        <f t="shared" si="54"/>
        <v>2019</v>
      </c>
      <c r="C1757" s="10">
        <f t="shared" si="55"/>
        <v>8</v>
      </c>
      <c r="D1757" s="20">
        <v>43692</v>
      </c>
      <c r="E1757">
        <v>360.75</v>
      </c>
      <c r="F1757">
        <v>858</v>
      </c>
      <c r="G1757">
        <v>291.8</v>
      </c>
      <c r="H1757">
        <v>469</v>
      </c>
      <c r="I1757">
        <v>29.07</v>
      </c>
      <c r="J1757">
        <v>3.9908000000000001</v>
      </c>
    </row>
    <row r="1758" spans="2:10" x14ac:dyDescent="0.3">
      <c r="B1758" s="10">
        <f t="shared" si="54"/>
        <v>2019</v>
      </c>
      <c r="C1758" s="10">
        <f t="shared" si="55"/>
        <v>8</v>
      </c>
      <c r="D1758" s="20">
        <v>43691</v>
      </c>
      <c r="E1758">
        <v>359</v>
      </c>
      <c r="F1758">
        <v>861</v>
      </c>
      <c r="G1758">
        <v>293</v>
      </c>
      <c r="H1758">
        <v>473.75</v>
      </c>
      <c r="I1758">
        <v>29.1</v>
      </c>
      <c r="J1758">
        <v>4.0522</v>
      </c>
    </row>
    <row r="1759" spans="2:10" x14ac:dyDescent="0.3">
      <c r="B1759" s="10">
        <f t="shared" si="54"/>
        <v>2019</v>
      </c>
      <c r="C1759" s="10">
        <f t="shared" si="55"/>
        <v>8</v>
      </c>
      <c r="D1759" s="20">
        <v>43690</v>
      </c>
      <c r="E1759">
        <v>366</v>
      </c>
      <c r="F1759">
        <v>872</v>
      </c>
      <c r="G1759">
        <v>297.8</v>
      </c>
      <c r="H1759">
        <v>472</v>
      </c>
      <c r="I1759">
        <v>29.17</v>
      </c>
      <c r="J1759">
        <v>3.9645999999999999</v>
      </c>
    </row>
    <row r="1760" spans="2:10" x14ac:dyDescent="0.3">
      <c r="B1760" s="10">
        <f t="shared" si="54"/>
        <v>2019</v>
      </c>
      <c r="C1760" s="10">
        <f t="shared" si="55"/>
        <v>8</v>
      </c>
      <c r="D1760" s="20">
        <v>43689</v>
      </c>
      <c r="E1760">
        <v>385.25</v>
      </c>
      <c r="F1760">
        <v>861.5</v>
      </c>
      <c r="G1760">
        <v>291.89999999999998</v>
      </c>
      <c r="H1760">
        <v>471.75</v>
      </c>
      <c r="I1760">
        <v>29.64</v>
      </c>
      <c r="J1760">
        <v>3.9853000000000001</v>
      </c>
    </row>
    <row r="1761" spans="2:10" x14ac:dyDescent="0.3">
      <c r="B1761" s="10">
        <f t="shared" si="54"/>
        <v>2019</v>
      </c>
      <c r="C1761" s="10">
        <f t="shared" si="55"/>
        <v>8</v>
      </c>
      <c r="D1761" s="20">
        <v>43686</v>
      </c>
      <c r="E1761">
        <v>410.25</v>
      </c>
      <c r="F1761">
        <v>873.75</v>
      </c>
      <c r="G1761">
        <v>296.7</v>
      </c>
      <c r="H1761">
        <v>499.5</v>
      </c>
      <c r="I1761">
        <v>29.51</v>
      </c>
      <c r="J1761">
        <v>3.9405999999999999</v>
      </c>
    </row>
    <row r="1762" spans="2:10" x14ac:dyDescent="0.3">
      <c r="B1762" s="10">
        <f t="shared" si="54"/>
        <v>2019</v>
      </c>
      <c r="C1762" s="10">
        <f t="shared" si="55"/>
        <v>8</v>
      </c>
      <c r="D1762" s="20">
        <v>43685</v>
      </c>
      <c r="E1762">
        <v>411</v>
      </c>
      <c r="F1762">
        <v>865</v>
      </c>
      <c r="G1762">
        <v>294.8</v>
      </c>
      <c r="H1762">
        <v>498.5</v>
      </c>
      <c r="I1762">
        <v>28.96</v>
      </c>
      <c r="J1762">
        <v>3.9188000000000001</v>
      </c>
    </row>
    <row r="1763" spans="2:10" x14ac:dyDescent="0.3">
      <c r="B1763" s="10">
        <f t="shared" si="54"/>
        <v>2019</v>
      </c>
      <c r="C1763" s="10">
        <f t="shared" si="55"/>
        <v>8</v>
      </c>
      <c r="D1763" s="20">
        <v>43684</v>
      </c>
      <c r="E1763">
        <v>406.5</v>
      </c>
      <c r="F1763">
        <v>848.75</v>
      </c>
      <c r="G1763">
        <v>293</v>
      </c>
      <c r="H1763">
        <v>488.25</v>
      </c>
      <c r="I1763">
        <v>27.96</v>
      </c>
      <c r="J1763">
        <v>3.9681999999999999</v>
      </c>
    </row>
    <row r="1764" spans="2:10" x14ac:dyDescent="0.3">
      <c r="B1764" s="10">
        <f t="shared" si="54"/>
        <v>2019</v>
      </c>
      <c r="C1764" s="10">
        <f t="shared" si="55"/>
        <v>8</v>
      </c>
      <c r="D1764" s="20">
        <v>43683</v>
      </c>
      <c r="E1764">
        <v>404</v>
      </c>
      <c r="F1764">
        <v>847.75</v>
      </c>
      <c r="G1764">
        <v>295.10000000000002</v>
      </c>
      <c r="H1764">
        <v>484</v>
      </c>
      <c r="I1764">
        <v>27.48</v>
      </c>
      <c r="J1764">
        <v>3.9603000000000002</v>
      </c>
    </row>
    <row r="1765" spans="2:10" x14ac:dyDescent="0.3">
      <c r="B1765" s="10">
        <f t="shared" si="54"/>
        <v>2019</v>
      </c>
      <c r="C1765" s="10">
        <f t="shared" si="55"/>
        <v>8</v>
      </c>
      <c r="D1765" s="20">
        <v>43682</v>
      </c>
      <c r="E1765">
        <v>405.25</v>
      </c>
      <c r="F1765">
        <v>850.25</v>
      </c>
      <c r="G1765">
        <v>294.89999999999998</v>
      </c>
      <c r="H1765">
        <v>494.5</v>
      </c>
      <c r="I1765">
        <v>27.76</v>
      </c>
      <c r="J1765">
        <v>3.9777999999999998</v>
      </c>
    </row>
    <row r="1766" spans="2:10" x14ac:dyDescent="0.3">
      <c r="B1766" s="10">
        <f t="shared" si="54"/>
        <v>2019</v>
      </c>
      <c r="C1766" s="10">
        <f t="shared" si="55"/>
        <v>8</v>
      </c>
      <c r="D1766" s="20">
        <v>43679</v>
      </c>
      <c r="E1766">
        <v>399.5</v>
      </c>
      <c r="F1766">
        <v>850.25</v>
      </c>
      <c r="G1766">
        <v>292.39999999999998</v>
      </c>
      <c r="H1766">
        <v>490.75</v>
      </c>
      <c r="I1766">
        <v>28.19</v>
      </c>
      <c r="J1766">
        <v>3.8883000000000001</v>
      </c>
    </row>
    <row r="1767" spans="2:10" x14ac:dyDescent="0.3">
      <c r="B1767" s="10">
        <f t="shared" si="54"/>
        <v>2019</v>
      </c>
      <c r="C1767" s="10">
        <f t="shared" si="55"/>
        <v>8</v>
      </c>
      <c r="D1767" s="20">
        <v>43678</v>
      </c>
      <c r="E1767">
        <v>392.75</v>
      </c>
      <c r="F1767">
        <v>847</v>
      </c>
      <c r="G1767">
        <v>293.2</v>
      </c>
      <c r="H1767">
        <v>475.75</v>
      </c>
      <c r="I1767">
        <v>27.68</v>
      </c>
      <c r="J1767">
        <v>3.8388</v>
      </c>
    </row>
    <row r="1768" spans="2:10" x14ac:dyDescent="0.3">
      <c r="B1768" s="10">
        <f t="shared" si="54"/>
        <v>2019</v>
      </c>
      <c r="C1768" s="10">
        <f t="shared" si="55"/>
        <v>7</v>
      </c>
      <c r="D1768" s="20">
        <v>43677</v>
      </c>
      <c r="E1768">
        <v>400.25</v>
      </c>
      <c r="F1768">
        <v>864</v>
      </c>
      <c r="G1768">
        <v>298.2</v>
      </c>
      <c r="H1768">
        <v>487.25</v>
      </c>
      <c r="I1768">
        <v>27.75</v>
      </c>
      <c r="J1768">
        <v>3.8125</v>
      </c>
    </row>
    <row r="1769" spans="2:10" x14ac:dyDescent="0.3">
      <c r="B1769" s="10">
        <f t="shared" si="54"/>
        <v>2019</v>
      </c>
      <c r="C1769" s="10">
        <f t="shared" si="55"/>
        <v>7</v>
      </c>
      <c r="D1769" s="20">
        <v>43676</v>
      </c>
      <c r="E1769">
        <v>411.25</v>
      </c>
      <c r="F1769">
        <v>878.75</v>
      </c>
      <c r="G1769">
        <v>300.3</v>
      </c>
      <c r="H1769">
        <v>497.25</v>
      </c>
      <c r="I1769">
        <v>28.31</v>
      </c>
      <c r="J1769">
        <v>3.7896000000000001</v>
      </c>
    </row>
    <row r="1770" spans="2:10" x14ac:dyDescent="0.3">
      <c r="B1770" s="10">
        <f t="shared" si="54"/>
        <v>2019</v>
      </c>
      <c r="C1770" s="10">
        <f t="shared" si="55"/>
        <v>7</v>
      </c>
      <c r="D1770" s="20">
        <v>43675</v>
      </c>
      <c r="E1770">
        <v>417</v>
      </c>
      <c r="F1770">
        <v>885.75</v>
      </c>
      <c r="G1770">
        <v>304.2</v>
      </c>
      <c r="H1770">
        <v>503.5</v>
      </c>
      <c r="I1770">
        <v>28.43</v>
      </c>
      <c r="J1770">
        <v>3.7812999999999999</v>
      </c>
    </row>
    <row r="1771" spans="2:10" x14ac:dyDescent="0.3">
      <c r="B1771" s="10">
        <f t="shared" si="54"/>
        <v>2019</v>
      </c>
      <c r="C1771" s="10">
        <f t="shared" si="55"/>
        <v>7</v>
      </c>
      <c r="D1771" s="20">
        <v>43672</v>
      </c>
      <c r="E1771">
        <v>414.5</v>
      </c>
      <c r="F1771">
        <v>883.25</v>
      </c>
      <c r="G1771">
        <v>303.10000000000002</v>
      </c>
      <c r="H1771">
        <v>496</v>
      </c>
      <c r="I1771">
        <v>28.47</v>
      </c>
      <c r="J1771">
        <v>3.7753000000000001</v>
      </c>
    </row>
    <row r="1772" spans="2:10" x14ac:dyDescent="0.3">
      <c r="B1772" s="10">
        <f t="shared" si="54"/>
        <v>2019</v>
      </c>
      <c r="C1772" s="10">
        <f t="shared" si="55"/>
        <v>7</v>
      </c>
      <c r="D1772" s="20">
        <v>43671</v>
      </c>
      <c r="E1772">
        <v>418.5</v>
      </c>
      <c r="F1772">
        <v>882.5</v>
      </c>
      <c r="G1772">
        <v>303.89999999999998</v>
      </c>
      <c r="H1772">
        <v>499.5</v>
      </c>
      <c r="I1772">
        <v>28.27</v>
      </c>
      <c r="J1772">
        <v>3.7783000000000002</v>
      </c>
    </row>
    <row r="1773" spans="2:10" x14ac:dyDescent="0.3">
      <c r="B1773" s="10">
        <f t="shared" si="54"/>
        <v>2019</v>
      </c>
      <c r="C1773" s="10">
        <f t="shared" si="55"/>
        <v>7</v>
      </c>
      <c r="D1773" s="20">
        <v>43670</v>
      </c>
      <c r="E1773">
        <v>424</v>
      </c>
      <c r="F1773">
        <v>891</v>
      </c>
      <c r="G1773">
        <v>306.3</v>
      </c>
      <c r="H1773">
        <v>497.75</v>
      </c>
      <c r="I1773">
        <v>28.3</v>
      </c>
      <c r="J1773">
        <v>3.7726000000000002</v>
      </c>
    </row>
    <row r="1774" spans="2:10" x14ac:dyDescent="0.3">
      <c r="B1774" s="10">
        <f t="shared" si="54"/>
        <v>2019</v>
      </c>
      <c r="C1774" s="10">
        <f t="shared" si="55"/>
        <v>7</v>
      </c>
      <c r="D1774" s="20">
        <v>43669</v>
      </c>
      <c r="E1774">
        <v>425.5</v>
      </c>
      <c r="F1774">
        <v>885.75</v>
      </c>
      <c r="G1774">
        <v>306.39999999999998</v>
      </c>
      <c r="H1774">
        <v>487.25</v>
      </c>
      <c r="I1774">
        <v>28.01</v>
      </c>
      <c r="J1774">
        <v>3.7734999999999999</v>
      </c>
    </row>
    <row r="1775" spans="2:10" x14ac:dyDescent="0.3">
      <c r="B1775" s="10">
        <f t="shared" si="54"/>
        <v>2019</v>
      </c>
      <c r="C1775" s="10">
        <f t="shared" si="55"/>
        <v>7</v>
      </c>
      <c r="D1775" s="20">
        <v>43668</v>
      </c>
      <c r="E1775">
        <v>422.25</v>
      </c>
      <c r="F1775">
        <v>888.25</v>
      </c>
      <c r="G1775">
        <v>308.39999999999998</v>
      </c>
      <c r="H1775">
        <v>487.25</v>
      </c>
      <c r="I1775">
        <v>27.73</v>
      </c>
      <c r="J1775">
        <v>3.7403</v>
      </c>
    </row>
    <row r="1776" spans="2:10" x14ac:dyDescent="0.3">
      <c r="B1776" s="10">
        <f t="shared" si="54"/>
        <v>2019</v>
      </c>
      <c r="C1776" s="10">
        <f t="shared" si="55"/>
        <v>7</v>
      </c>
      <c r="D1776" s="20">
        <v>43665</v>
      </c>
      <c r="E1776">
        <v>430.75</v>
      </c>
      <c r="F1776">
        <v>901.5</v>
      </c>
      <c r="G1776">
        <v>311.2</v>
      </c>
      <c r="H1776">
        <v>502.5</v>
      </c>
      <c r="I1776">
        <v>28.1</v>
      </c>
      <c r="J1776">
        <v>3.7481</v>
      </c>
    </row>
    <row r="1777" spans="2:10" x14ac:dyDescent="0.3">
      <c r="B1777" s="10">
        <f t="shared" si="54"/>
        <v>2019</v>
      </c>
      <c r="C1777" s="10">
        <f t="shared" si="55"/>
        <v>7</v>
      </c>
      <c r="D1777" s="20">
        <v>43664</v>
      </c>
      <c r="E1777">
        <v>424.5</v>
      </c>
      <c r="F1777">
        <v>881.25</v>
      </c>
      <c r="G1777">
        <v>307</v>
      </c>
      <c r="H1777">
        <v>493.5</v>
      </c>
      <c r="I1777">
        <v>27.64</v>
      </c>
      <c r="J1777">
        <v>3.7187000000000001</v>
      </c>
    </row>
    <row r="1778" spans="2:10" x14ac:dyDescent="0.3">
      <c r="B1778" s="10">
        <f t="shared" si="54"/>
        <v>2019</v>
      </c>
      <c r="C1778" s="10">
        <f t="shared" si="55"/>
        <v>7</v>
      </c>
      <c r="D1778" s="20">
        <v>43663</v>
      </c>
      <c r="E1778">
        <v>436</v>
      </c>
      <c r="F1778">
        <v>882.5</v>
      </c>
      <c r="G1778">
        <v>307.5</v>
      </c>
      <c r="H1778">
        <v>505.5</v>
      </c>
      <c r="I1778">
        <v>27.68</v>
      </c>
      <c r="J1778">
        <v>3.7631999999999999</v>
      </c>
    </row>
    <row r="1779" spans="2:10" x14ac:dyDescent="0.3">
      <c r="B1779" s="10">
        <f t="shared" si="54"/>
        <v>2019</v>
      </c>
      <c r="C1779" s="10">
        <f t="shared" si="55"/>
        <v>7</v>
      </c>
      <c r="D1779" s="20">
        <v>43662</v>
      </c>
      <c r="E1779">
        <v>435.25</v>
      </c>
      <c r="F1779">
        <v>887.75</v>
      </c>
      <c r="G1779">
        <v>308.39999999999998</v>
      </c>
      <c r="H1779">
        <v>507.5</v>
      </c>
      <c r="I1779">
        <v>27.99</v>
      </c>
      <c r="J1779">
        <v>3.7679999999999998</v>
      </c>
    </row>
    <row r="1780" spans="2:10" x14ac:dyDescent="0.3">
      <c r="B1780" s="10">
        <f t="shared" si="54"/>
        <v>2019</v>
      </c>
      <c r="C1780" s="10">
        <f t="shared" si="55"/>
        <v>7</v>
      </c>
      <c r="D1780" s="20">
        <v>43661</v>
      </c>
      <c r="E1780">
        <v>441</v>
      </c>
      <c r="F1780">
        <v>901.75</v>
      </c>
      <c r="G1780">
        <v>311.60000000000002</v>
      </c>
      <c r="H1780">
        <v>507.75</v>
      </c>
      <c r="I1780">
        <v>28.28</v>
      </c>
      <c r="J1780">
        <v>3.7555000000000001</v>
      </c>
    </row>
    <row r="1781" spans="2:10" x14ac:dyDescent="0.3">
      <c r="B1781" s="10">
        <f t="shared" si="54"/>
        <v>2019</v>
      </c>
      <c r="C1781" s="10">
        <f t="shared" si="55"/>
        <v>7</v>
      </c>
      <c r="D1781" s="20">
        <v>43658</v>
      </c>
      <c r="E1781">
        <v>449.5</v>
      </c>
      <c r="F1781">
        <v>906.75</v>
      </c>
      <c r="G1781">
        <v>313.3</v>
      </c>
      <c r="H1781">
        <v>536.25</v>
      </c>
      <c r="I1781">
        <v>28.11</v>
      </c>
      <c r="J1781">
        <v>3.7357999999999998</v>
      </c>
    </row>
    <row r="1782" spans="2:10" x14ac:dyDescent="0.3">
      <c r="B1782" s="10">
        <f t="shared" si="54"/>
        <v>2019</v>
      </c>
      <c r="C1782" s="10">
        <f t="shared" si="55"/>
        <v>7</v>
      </c>
      <c r="D1782" s="20">
        <v>43657</v>
      </c>
      <c r="E1782">
        <v>447.75</v>
      </c>
      <c r="F1782">
        <v>896.25</v>
      </c>
      <c r="G1782">
        <v>311.60000000000002</v>
      </c>
      <c r="H1782">
        <v>536.25</v>
      </c>
      <c r="I1782">
        <v>28.07</v>
      </c>
      <c r="J1782">
        <v>3.754</v>
      </c>
    </row>
    <row r="1783" spans="2:10" x14ac:dyDescent="0.3">
      <c r="B1783" s="10">
        <f t="shared" si="54"/>
        <v>2019</v>
      </c>
      <c r="C1783" s="10">
        <f t="shared" si="55"/>
        <v>7</v>
      </c>
      <c r="D1783" s="20">
        <v>43656</v>
      </c>
      <c r="E1783">
        <v>434.25</v>
      </c>
      <c r="F1783">
        <v>893</v>
      </c>
      <c r="G1783">
        <v>309.10000000000002</v>
      </c>
      <c r="H1783">
        <v>511.75</v>
      </c>
      <c r="I1783">
        <v>27.97</v>
      </c>
      <c r="J1783">
        <v>3.7543000000000002</v>
      </c>
    </row>
    <row r="1784" spans="2:10" x14ac:dyDescent="0.3">
      <c r="B1784" s="10">
        <f t="shared" si="54"/>
        <v>2019</v>
      </c>
      <c r="C1784" s="10">
        <f t="shared" si="55"/>
        <v>7</v>
      </c>
      <c r="D1784" s="20">
        <v>43655</v>
      </c>
      <c r="E1784">
        <v>431.75</v>
      </c>
      <c r="F1784">
        <v>882.75</v>
      </c>
      <c r="G1784">
        <v>307.89999999999998</v>
      </c>
      <c r="H1784">
        <v>509.75</v>
      </c>
      <c r="I1784">
        <v>27.88</v>
      </c>
      <c r="J1784">
        <v>3.8</v>
      </c>
    </row>
    <row r="1785" spans="2:10" x14ac:dyDescent="0.3">
      <c r="B1785" s="10">
        <f t="shared" si="54"/>
        <v>2019</v>
      </c>
      <c r="C1785" s="10">
        <f t="shared" si="55"/>
        <v>7</v>
      </c>
      <c r="D1785" s="20">
        <v>43654</v>
      </c>
      <c r="E1785">
        <v>438.5</v>
      </c>
      <c r="F1785">
        <v>875.25</v>
      </c>
      <c r="G1785">
        <v>304.2</v>
      </c>
      <c r="H1785">
        <v>516.75</v>
      </c>
      <c r="I1785">
        <v>27.86</v>
      </c>
      <c r="J1785">
        <v>3.8062999999999998</v>
      </c>
    </row>
    <row r="1786" spans="2:10" x14ac:dyDescent="0.3">
      <c r="B1786" s="10">
        <f t="shared" si="54"/>
        <v>2019</v>
      </c>
      <c r="C1786" s="10">
        <f t="shared" si="55"/>
        <v>7</v>
      </c>
      <c r="D1786" s="20">
        <v>43651</v>
      </c>
      <c r="E1786">
        <v>434</v>
      </c>
      <c r="F1786">
        <v>872.25</v>
      </c>
      <c r="G1786">
        <v>303.8</v>
      </c>
      <c r="H1786">
        <v>519.25</v>
      </c>
      <c r="I1786">
        <v>27.44</v>
      </c>
      <c r="J1786">
        <v>3.8214999999999999</v>
      </c>
    </row>
    <row r="1787" spans="2:10" x14ac:dyDescent="0.3">
      <c r="B1787" s="10">
        <f t="shared" si="54"/>
        <v>2019</v>
      </c>
      <c r="C1787" s="10">
        <f t="shared" si="55"/>
        <v>7</v>
      </c>
      <c r="D1787" s="20">
        <v>43650</v>
      </c>
      <c r="J1787">
        <v>3.8008000000000002</v>
      </c>
    </row>
    <row r="1788" spans="2:10" x14ac:dyDescent="0.3">
      <c r="B1788" s="10">
        <f t="shared" si="54"/>
        <v>2019</v>
      </c>
      <c r="C1788" s="10">
        <f t="shared" si="55"/>
        <v>7</v>
      </c>
      <c r="D1788" s="20">
        <v>43649</v>
      </c>
      <c r="E1788">
        <v>433</v>
      </c>
      <c r="F1788">
        <v>885.25</v>
      </c>
      <c r="G1788">
        <v>306</v>
      </c>
      <c r="H1788">
        <v>518</v>
      </c>
      <c r="I1788">
        <v>28.02</v>
      </c>
      <c r="J1788">
        <v>3.8258000000000001</v>
      </c>
    </row>
    <row r="1789" spans="2:10" x14ac:dyDescent="0.3">
      <c r="B1789" s="10">
        <f t="shared" si="54"/>
        <v>2019</v>
      </c>
      <c r="C1789" s="10">
        <f t="shared" si="55"/>
        <v>7</v>
      </c>
      <c r="D1789" s="20">
        <v>43648</v>
      </c>
      <c r="E1789">
        <v>413.5</v>
      </c>
      <c r="F1789">
        <v>876.25</v>
      </c>
      <c r="G1789">
        <v>303.5</v>
      </c>
      <c r="H1789">
        <v>503.5</v>
      </c>
      <c r="I1789">
        <v>27.66</v>
      </c>
      <c r="J1789">
        <v>3.8447</v>
      </c>
    </row>
    <row r="1790" spans="2:10" x14ac:dyDescent="0.3">
      <c r="B1790" s="10">
        <f t="shared" si="54"/>
        <v>2019</v>
      </c>
      <c r="C1790" s="10">
        <f t="shared" si="55"/>
        <v>7</v>
      </c>
      <c r="D1790" s="20">
        <v>43647</v>
      </c>
      <c r="E1790">
        <v>412</v>
      </c>
      <c r="F1790">
        <v>885.5</v>
      </c>
      <c r="G1790">
        <v>304.8</v>
      </c>
      <c r="H1790">
        <v>514</v>
      </c>
      <c r="I1790">
        <v>27.98</v>
      </c>
      <c r="J1790">
        <v>3.8401000000000001</v>
      </c>
    </row>
    <row r="1791" spans="2:10" x14ac:dyDescent="0.3">
      <c r="B1791" s="10">
        <f t="shared" si="54"/>
        <v>2019</v>
      </c>
      <c r="C1791" s="10">
        <f t="shared" si="55"/>
        <v>6</v>
      </c>
      <c r="D1791" s="20">
        <v>43644</v>
      </c>
      <c r="E1791">
        <v>420.25</v>
      </c>
      <c r="F1791">
        <v>899.75</v>
      </c>
      <c r="G1791">
        <v>313.10000000000002</v>
      </c>
      <c r="H1791">
        <v>528</v>
      </c>
      <c r="I1791">
        <v>28.24</v>
      </c>
      <c r="J1791">
        <v>3.8517999999999999</v>
      </c>
    </row>
    <row r="1792" spans="2:10" x14ac:dyDescent="0.3">
      <c r="B1792" s="10">
        <f t="shared" ref="B1792:B1855" si="56">YEAR(D1792)</f>
        <v>2019</v>
      </c>
      <c r="C1792" s="10">
        <f t="shared" ref="C1792:C1855" si="57">MONTH(D1792)</f>
        <v>6</v>
      </c>
      <c r="D1792" s="20">
        <v>43643</v>
      </c>
      <c r="E1792">
        <v>440</v>
      </c>
      <c r="F1792">
        <v>887.75</v>
      </c>
      <c r="G1792">
        <v>312.2</v>
      </c>
      <c r="H1792">
        <v>547.5</v>
      </c>
      <c r="I1792">
        <v>27.81</v>
      </c>
      <c r="J1792">
        <v>3.8193999999999999</v>
      </c>
    </row>
    <row r="1793" spans="2:10" x14ac:dyDescent="0.3">
      <c r="B1793" s="10">
        <f t="shared" si="56"/>
        <v>2019</v>
      </c>
      <c r="C1793" s="10">
        <f t="shared" si="57"/>
        <v>6</v>
      </c>
      <c r="D1793" s="20">
        <v>43642</v>
      </c>
      <c r="E1793">
        <v>443.25</v>
      </c>
      <c r="F1793">
        <v>894.25</v>
      </c>
      <c r="G1793">
        <v>313.39999999999998</v>
      </c>
      <c r="H1793">
        <v>543.75</v>
      </c>
      <c r="I1793">
        <v>27.81</v>
      </c>
      <c r="J1793">
        <v>3.8433000000000002</v>
      </c>
    </row>
    <row r="1794" spans="2:10" x14ac:dyDescent="0.3">
      <c r="B1794" s="10">
        <f t="shared" si="56"/>
        <v>2019</v>
      </c>
      <c r="C1794" s="10">
        <f t="shared" si="57"/>
        <v>6</v>
      </c>
      <c r="D1794" s="20">
        <v>43641</v>
      </c>
      <c r="E1794">
        <v>447.5</v>
      </c>
      <c r="F1794">
        <v>903.5</v>
      </c>
      <c r="G1794">
        <v>315.7</v>
      </c>
      <c r="H1794">
        <v>535.75</v>
      </c>
      <c r="I1794">
        <v>28</v>
      </c>
      <c r="J1794">
        <v>3.8477999999999999</v>
      </c>
    </row>
    <row r="1795" spans="2:10" x14ac:dyDescent="0.3">
      <c r="B1795" s="10">
        <f t="shared" si="56"/>
        <v>2019</v>
      </c>
      <c r="C1795" s="10">
        <f t="shared" si="57"/>
        <v>6</v>
      </c>
      <c r="D1795" s="20">
        <v>43640</v>
      </c>
      <c r="E1795">
        <v>446.75</v>
      </c>
      <c r="F1795">
        <v>909</v>
      </c>
      <c r="G1795">
        <v>317.60000000000002</v>
      </c>
      <c r="H1795">
        <v>538</v>
      </c>
      <c r="I1795">
        <v>28.35</v>
      </c>
      <c r="J1795">
        <v>3.8248000000000002</v>
      </c>
    </row>
    <row r="1796" spans="2:10" x14ac:dyDescent="0.3">
      <c r="B1796" s="10">
        <f t="shared" si="56"/>
        <v>2019</v>
      </c>
      <c r="C1796" s="10">
        <f t="shared" si="57"/>
        <v>6</v>
      </c>
      <c r="D1796" s="20">
        <v>43637</v>
      </c>
      <c r="E1796">
        <v>442.25</v>
      </c>
      <c r="F1796">
        <v>902.75</v>
      </c>
      <c r="G1796">
        <v>315.60000000000002</v>
      </c>
      <c r="H1796">
        <v>526</v>
      </c>
      <c r="I1796">
        <v>28.44</v>
      </c>
      <c r="J1796">
        <v>3.819</v>
      </c>
    </row>
    <row r="1797" spans="2:10" x14ac:dyDescent="0.3">
      <c r="B1797" s="10">
        <f t="shared" si="56"/>
        <v>2019</v>
      </c>
      <c r="C1797" s="10">
        <f t="shared" si="57"/>
        <v>6</v>
      </c>
      <c r="D1797" s="20">
        <v>43636</v>
      </c>
      <c r="E1797">
        <v>450</v>
      </c>
      <c r="F1797">
        <v>915.5</v>
      </c>
      <c r="G1797">
        <v>323</v>
      </c>
      <c r="H1797">
        <v>526.5</v>
      </c>
      <c r="I1797">
        <v>28.59</v>
      </c>
      <c r="J1797">
        <v>3.8386</v>
      </c>
    </row>
    <row r="1798" spans="2:10" x14ac:dyDescent="0.3">
      <c r="B1798" s="10">
        <f t="shared" si="56"/>
        <v>2019</v>
      </c>
      <c r="C1798" s="10">
        <f t="shared" si="57"/>
        <v>6</v>
      </c>
      <c r="D1798" s="20">
        <v>43635</v>
      </c>
      <c r="E1798">
        <v>441</v>
      </c>
      <c r="F1798">
        <v>903.25</v>
      </c>
      <c r="G1798">
        <v>316.89999999999998</v>
      </c>
      <c r="H1798">
        <v>522.25</v>
      </c>
      <c r="I1798">
        <v>28.37</v>
      </c>
      <c r="J1798">
        <v>3.8388</v>
      </c>
    </row>
    <row r="1799" spans="2:10" x14ac:dyDescent="0.3">
      <c r="B1799" s="10">
        <f t="shared" si="56"/>
        <v>2019</v>
      </c>
      <c r="C1799" s="10">
        <f t="shared" si="57"/>
        <v>6</v>
      </c>
      <c r="D1799" s="20">
        <v>43634</v>
      </c>
      <c r="E1799">
        <v>449.75</v>
      </c>
      <c r="F1799">
        <v>913.5</v>
      </c>
      <c r="G1799">
        <v>322</v>
      </c>
      <c r="H1799">
        <v>531.5</v>
      </c>
      <c r="I1799">
        <v>28.33</v>
      </c>
      <c r="J1799">
        <v>3.8595000000000002</v>
      </c>
    </row>
    <row r="1800" spans="2:10" x14ac:dyDescent="0.3">
      <c r="B1800" s="10">
        <f t="shared" si="56"/>
        <v>2019</v>
      </c>
      <c r="C1800" s="10">
        <f t="shared" si="57"/>
        <v>6</v>
      </c>
      <c r="D1800" s="20">
        <v>43633</v>
      </c>
      <c r="E1800">
        <v>454.75</v>
      </c>
      <c r="F1800">
        <v>912.75</v>
      </c>
      <c r="G1800">
        <v>324.3</v>
      </c>
      <c r="H1800">
        <v>539.5</v>
      </c>
      <c r="I1800">
        <v>28.14</v>
      </c>
      <c r="J1800">
        <v>3.8881000000000001</v>
      </c>
    </row>
    <row r="1801" spans="2:10" x14ac:dyDescent="0.3">
      <c r="B1801" s="10">
        <f t="shared" si="56"/>
        <v>2019</v>
      </c>
      <c r="C1801" s="10">
        <f t="shared" si="57"/>
        <v>6</v>
      </c>
      <c r="D1801" s="20">
        <v>43630</v>
      </c>
      <c r="E1801">
        <v>453</v>
      </c>
      <c r="F1801">
        <v>896.75</v>
      </c>
      <c r="G1801">
        <v>323.5</v>
      </c>
      <c r="H1801">
        <v>538.5</v>
      </c>
      <c r="I1801">
        <v>27.61</v>
      </c>
      <c r="J1801">
        <v>3.8956</v>
      </c>
    </row>
    <row r="1802" spans="2:10" x14ac:dyDescent="0.3">
      <c r="B1802" s="10">
        <f t="shared" si="56"/>
        <v>2019</v>
      </c>
      <c r="C1802" s="10">
        <f t="shared" si="57"/>
        <v>6</v>
      </c>
      <c r="D1802" s="20">
        <v>43629</v>
      </c>
      <c r="E1802">
        <v>442</v>
      </c>
      <c r="F1802">
        <v>888</v>
      </c>
      <c r="G1802">
        <v>321.7</v>
      </c>
      <c r="H1802">
        <v>535.5</v>
      </c>
      <c r="I1802">
        <v>28.02</v>
      </c>
      <c r="J1802">
        <v>3.8485</v>
      </c>
    </row>
    <row r="1803" spans="2:10" x14ac:dyDescent="0.3">
      <c r="B1803" s="10">
        <f t="shared" si="56"/>
        <v>2019</v>
      </c>
      <c r="C1803" s="10">
        <f t="shared" si="57"/>
        <v>6</v>
      </c>
      <c r="D1803" s="20">
        <v>43628</v>
      </c>
      <c r="E1803">
        <v>430</v>
      </c>
      <c r="F1803">
        <v>878</v>
      </c>
      <c r="G1803">
        <v>319.5</v>
      </c>
      <c r="H1803">
        <v>526.25</v>
      </c>
      <c r="I1803">
        <v>27.56</v>
      </c>
      <c r="J1803">
        <v>3.8668999999999998</v>
      </c>
    </row>
    <row r="1804" spans="2:10" x14ac:dyDescent="0.3">
      <c r="B1804" s="10">
        <f t="shared" si="56"/>
        <v>2019</v>
      </c>
      <c r="C1804" s="10">
        <f t="shared" si="57"/>
        <v>6</v>
      </c>
      <c r="D1804" s="20">
        <v>43627</v>
      </c>
      <c r="E1804">
        <v>427.75</v>
      </c>
      <c r="F1804">
        <v>859.25</v>
      </c>
      <c r="G1804">
        <v>314.39999999999998</v>
      </c>
      <c r="H1804">
        <v>518</v>
      </c>
      <c r="I1804">
        <v>27.22</v>
      </c>
      <c r="J1804">
        <v>3.8569</v>
      </c>
    </row>
    <row r="1805" spans="2:10" x14ac:dyDescent="0.3">
      <c r="B1805" s="10">
        <f t="shared" si="56"/>
        <v>2019</v>
      </c>
      <c r="C1805" s="10">
        <f t="shared" si="57"/>
        <v>6</v>
      </c>
      <c r="D1805" s="20">
        <v>43626</v>
      </c>
      <c r="E1805">
        <v>415.75</v>
      </c>
      <c r="F1805">
        <v>858.5</v>
      </c>
      <c r="G1805">
        <v>313.39999999999998</v>
      </c>
      <c r="H1805">
        <v>507.5</v>
      </c>
      <c r="I1805">
        <v>27.38</v>
      </c>
      <c r="J1805">
        <v>3.8874</v>
      </c>
    </row>
    <row r="1806" spans="2:10" x14ac:dyDescent="0.3">
      <c r="B1806" s="10">
        <f t="shared" si="56"/>
        <v>2019</v>
      </c>
      <c r="C1806" s="10">
        <f t="shared" si="57"/>
        <v>6</v>
      </c>
      <c r="D1806" s="20">
        <v>43623</v>
      </c>
      <c r="E1806">
        <v>415.75</v>
      </c>
      <c r="F1806">
        <v>856.25</v>
      </c>
      <c r="G1806">
        <v>312.3</v>
      </c>
      <c r="H1806">
        <v>504.5</v>
      </c>
      <c r="I1806">
        <v>27.38</v>
      </c>
      <c r="J1806">
        <v>3.8774000000000002</v>
      </c>
    </row>
    <row r="1807" spans="2:10" x14ac:dyDescent="0.3">
      <c r="B1807" s="10">
        <f t="shared" si="56"/>
        <v>2019</v>
      </c>
      <c r="C1807" s="10">
        <f t="shared" si="57"/>
        <v>6</v>
      </c>
      <c r="D1807" s="20">
        <v>43622</v>
      </c>
      <c r="E1807">
        <v>420.5</v>
      </c>
      <c r="F1807">
        <v>868.75</v>
      </c>
      <c r="G1807">
        <v>315.89999999999998</v>
      </c>
      <c r="H1807">
        <v>510</v>
      </c>
      <c r="I1807">
        <v>27.76</v>
      </c>
      <c r="J1807">
        <v>3.8795000000000002</v>
      </c>
    </row>
    <row r="1808" spans="2:10" x14ac:dyDescent="0.3">
      <c r="B1808" s="10">
        <f t="shared" si="56"/>
        <v>2019</v>
      </c>
      <c r="C1808" s="10">
        <f t="shared" si="57"/>
        <v>6</v>
      </c>
      <c r="D1808" s="20">
        <v>43621</v>
      </c>
      <c r="E1808">
        <v>414.75</v>
      </c>
      <c r="F1808">
        <v>869.75</v>
      </c>
      <c r="G1808">
        <v>317.7</v>
      </c>
      <c r="H1808">
        <v>490.75</v>
      </c>
      <c r="I1808">
        <v>27.22</v>
      </c>
      <c r="J1808">
        <v>3.8807999999999998</v>
      </c>
    </row>
    <row r="1809" spans="2:10" x14ac:dyDescent="0.3">
      <c r="B1809" s="10">
        <f t="shared" si="56"/>
        <v>2019</v>
      </c>
      <c r="C1809" s="10">
        <f t="shared" si="57"/>
        <v>6</v>
      </c>
      <c r="D1809" s="20">
        <v>43620</v>
      </c>
      <c r="E1809">
        <v>425.25</v>
      </c>
      <c r="F1809">
        <v>881.75</v>
      </c>
      <c r="G1809">
        <v>321</v>
      </c>
      <c r="H1809">
        <v>507.25</v>
      </c>
      <c r="I1809">
        <v>27.49</v>
      </c>
      <c r="J1809">
        <v>3.8542000000000001</v>
      </c>
    </row>
    <row r="1810" spans="2:10" x14ac:dyDescent="0.3">
      <c r="B1810" s="10">
        <f t="shared" si="56"/>
        <v>2019</v>
      </c>
      <c r="C1810" s="10">
        <f t="shared" si="57"/>
        <v>6</v>
      </c>
      <c r="D1810" s="20">
        <v>43619</v>
      </c>
      <c r="E1810">
        <v>424.25</v>
      </c>
      <c r="F1810">
        <v>879</v>
      </c>
      <c r="G1810">
        <v>320.5</v>
      </c>
      <c r="H1810">
        <v>519.75</v>
      </c>
      <c r="I1810">
        <v>27.34</v>
      </c>
      <c r="J1810">
        <v>3.8851</v>
      </c>
    </row>
    <row r="1811" spans="2:10" x14ac:dyDescent="0.3">
      <c r="B1811" s="10">
        <f t="shared" si="56"/>
        <v>2019</v>
      </c>
      <c r="C1811" s="10">
        <f t="shared" si="57"/>
        <v>5</v>
      </c>
      <c r="D1811" s="20">
        <v>43616</v>
      </c>
      <c r="E1811">
        <v>427</v>
      </c>
      <c r="F1811">
        <v>877.75</v>
      </c>
      <c r="G1811">
        <v>321.3</v>
      </c>
      <c r="H1811">
        <v>503</v>
      </c>
      <c r="I1811">
        <v>27.59</v>
      </c>
      <c r="J1811">
        <v>3.9218000000000002</v>
      </c>
    </row>
    <row r="1812" spans="2:10" x14ac:dyDescent="0.3">
      <c r="B1812" s="10">
        <f t="shared" si="56"/>
        <v>2019</v>
      </c>
      <c r="C1812" s="10">
        <f t="shared" si="57"/>
        <v>5</v>
      </c>
      <c r="D1812" s="20">
        <v>43615</v>
      </c>
      <c r="E1812">
        <v>436.25</v>
      </c>
      <c r="F1812">
        <v>889</v>
      </c>
      <c r="G1812">
        <v>327.39999999999998</v>
      </c>
      <c r="H1812">
        <v>514.5</v>
      </c>
      <c r="I1812">
        <v>27.78</v>
      </c>
      <c r="J1812">
        <v>3.9815999999999998</v>
      </c>
    </row>
    <row r="1813" spans="2:10" x14ac:dyDescent="0.3">
      <c r="B1813" s="10">
        <f t="shared" si="56"/>
        <v>2019</v>
      </c>
      <c r="C1813" s="10">
        <f t="shared" si="57"/>
        <v>5</v>
      </c>
      <c r="D1813" s="20">
        <v>43614</v>
      </c>
      <c r="E1813">
        <v>418.75</v>
      </c>
      <c r="F1813">
        <v>872</v>
      </c>
      <c r="G1813">
        <v>319</v>
      </c>
      <c r="H1813">
        <v>490.5</v>
      </c>
      <c r="I1813">
        <v>27.73</v>
      </c>
      <c r="J1813">
        <v>3.9742000000000002</v>
      </c>
    </row>
    <row r="1814" spans="2:10" x14ac:dyDescent="0.3">
      <c r="B1814" s="10">
        <f t="shared" si="56"/>
        <v>2019</v>
      </c>
      <c r="C1814" s="10">
        <f t="shared" si="57"/>
        <v>5</v>
      </c>
      <c r="D1814" s="20">
        <v>43613</v>
      </c>
      <c r="E1814">
        <v>420.25</v>
      </c>
      <c r="F1814">
        <v>856</v>
      </c>
      <c r="G1814">
        <v>312.8</v>
      </c>
      <c r="H1814">
        <v>504.75</v>
      </c>
      <c r="I1814">
        <v>27.29</v>
      </c>
      <c r="J1814">
        <v>4.0243000000000002</v>
      </c>
    </row>
    <row r="1815" spans="2:10" x14ac:dyDescent="0.3">
      <c r="B1815" s="10">
        <f t="shared" si="56"/>
        <v>2019</v>
      </c>
      <c r="C1815" s="10">
        <f t="shared" si="57"/>
        <v>5</v>
      </c>
      <c r="D1815" s="20">
        <v>43612</v>
      </c>
      <c r="J1815">
        <v>4.0410000000000004</v>
      </c>
    </row>
    <row r="1816" spans="2:10" x14ac:dyDescent="0.3">
      <c r="B1816" s="10">
        <f t="shared" si="56"/>
        <v>2019</v>
      </c>
      <c r="C1816" s="10">
        <f t="shared" si="57"/>
        <v>5</v>
      </c>
      <c r="D1816" s="20">
        <v>43609</v>
      </c>
      <c r="E1816">
        <v>404.25</v>
      </c>
      <c r="F1816">
        <v>829.75</v>
      </c>
      <c r="G1816">
        <v>300.5</v>
      </c>
      <c r="H1816">
        <v>489.5</v>
      </c>
      <c r="I1816">
        <v>27.01</v>
      </c>
      <c r="J1816">
        <v>4.0213000000000001</v>
      </c>
    </row>
    <row r="1817" spans="2:10" x14ac:dyDescent="0.3">
      <c r="B1817" s="10">
        <f t="shared" si="56"/>
        <v>2019</v>
      </c>
      <c r="C1817" s="10">
        <f t="shared" si="57"/>
        <v>5</v>
      </c>
      <c r="D1817" s="20">
        <v>43608</v>
      </c>
      <c r="E1817">
        <v>389.75</v>
      </c>
      <c r="F1817">
        <v>821.5</v>
      </c>
      <c r="G1817">
        <v>297.2</v>
      </c>
      <c r="H1817">
        <v>470.25</v>
      </c>
      <c r="I1817">
        <v>26.78</v>
      </c>
      <c r="J1817">
        <v>4.0393999999999997</v>
      </c>
    </row>
    <row r="1818" spans="2:10" x14ac:dyDescent="0.3">
      <c r="B1818" s="10">
        <f t="shared" si="56"/>
        <v>2019</v>
      </c>
      <c r="C1818" s="10">
        <f t="shared" si="57"/>
        <v>5</v>
      </c>
      <c r="D1818" s="20">
        <v>43607</v>
      </c>
      <c r="E1818">
        <v>394.5</v>
      </c>
      <c r="F1818">
        <v>828.5</v>
      </c>
      <c r="G1818">
        <v>298.3</v>
      </c>
      <c r="H1818">
        <v>472.75</v>
      </c>
      <c r="I1818">
        <v>27.31</v>
      </c>
      <c r="J1818">
        <v>4.04</v>
      </c>
    </row>
    <row r="1819" spans="2:10" x14ac:dyDescent="0.3">
      <c r="B1819" s="10">
        <f t="shared" si="56"/>
        <v>2019</v>
      </c>
      <c r="C1819" s="10">
        <f t="shared" si="57"/>
        <v>5</v>
      </c>
      <c r="D1819" s="20">
        <v>43606</v>
      </c>
      <c r="E1819">
        <v>394.25</v>
      </c>
      <c r="F1819">
        <v>822</v>
      </c>
      <c r="G1819">
        <v>295.3</v>
      </c>
      <c r="H1819">
        <v>478.75</v>
      </c>
      <c r="I1819">
        <v>27.14</v>
      </c>
      <c r="J1819">
        <v>4.0387000000000004</v>
      </c>
    </row>
    <row r="1820" spans="2:10" x14ac:dyDescent="0.3">
      <c r="B1820" s="10">
        <f t="shared" si="56"/>
        <v>2019</v>
      </c>
      <c r="C1820" s="10">
        <f t="shared" si="57"/>
        <v>5</v>
      </c>
      <c r="D1820" s="20">
        <v>43605</v>
      </c>
      <c r="E1820">
        <v>389</v>
      </c>
      <c r="F1820">
        <v>831.75</v>
      </c>
      <c r="G1820">
        <v>297.3</v>
      </c>
      <c r="H1820">
        <v>478.25</v>
      </c>
      <c r="I1820">
        <v>27.5</v>
      </c>
      <c r="J1820">
        <v>4.0963000000000003</v>
      </c>
    </row>
    <row r="1821" spans="2:10" x14ac:dyDescent="0.3">
      <c r="B1821" s="10">
        <f t="shared" si="56"/>
        <v>2019</v>
      </c>
      <c r="C1821" s="10">
        <f t="shared" si="57"/>
        <v>5</v>
      </c>
      <c r="D1821" s="20">
        <v>43602</v>
      </c>
      <c r="E1821">
        <v>383.25</v>
      </c>
      <c r="F1821">
        <v>821.75</v>
      </c>
      <c r="G1821">
        <v>294.3</v>
      </c>
      <c r="H1821">
        <v>465</v>
      </c>
      <c r="I1821">
        <v>27.22</v>
      </c>
      <c r="J1821">
        <v>4.0997000000000003</v>
      </c>
    </row>
    <row r="1822" spans="2:10" x14ac:dyDescent="0.3">
      <c r="B1822" s="10">
        <f t="shared" si="56"/>
        <v>2019</v>
      </c>
      <c r="C1822" s="10">
        <f t="shared" si="57"/>
        <v>5</v>
      </c>
      <c r="D1822" s="20">
        <v>43601</v>
      </c>
      <c r="E1822">
        <v>379</v>
      </c>
      <c r="F1822">
        <v>839.75</v>
      </c>
      <c r="G1822">
        <v>301.89999999999998</v>
      </c>
      <c r="H1822">
        <v>467</v>
      </c>
      <c r="I1822">
        <v>27.72</v>
      </c>
      <c r="J1822">
        <v>4.0467000000000004</v>
      </c>
    </row>
    <row r="1823" spans="2:10" x14ac:dyDescent="0.3">
      <c r="B1823" s="10">
        <f t="shared" si="56"/>
        <v>2019</v>
      </c>
      <c r="C1823" s="10">
        <f t="shared" si="57"/>
        <v>5</v>
      </c>
      <c r="D1823" s="20">
        <v>43600</v>
      </c>
      <c r="E1823">
        <v>369.5</v>
      </c>
      <c r="F1823">
        <v>835.5</v>
      </c>
      <c r="G1823">
        <v>299.8</v>
      </c>
      <c r="H1823">
        <v>448.75</v>
      </c>
      <c r="I1823">
        <v>27.24</v>
      </c>
      <c r="J1823">
        <v>4.0011999999999999</v>
      </c>
    </row>
    <row r="1824" spans="2:10" x14ac:dyDescent="0.3">
      <c r="B1824" s="10">
        <f t="shared" si="56"/>
        <v>2019</v>
      </c>
      <c r="C1824" s="10">
        <f t="shared" si="57"/>
        <v>5</v>
      </c>
      <c r="D1824" s="20">
        <v>43599</v>
      </c>
      <c r="E1824">
        <v>360.5</v>
      </c>
      <c r="F1824">
        <v>817.75</v>
      </c>
      <c r="G1824">
        <v>294</v>
      </c>
      <c r="H1824">
        <v>439.25</v>
      </c>
      <c r="I1824">
        <v>26.73</v>
      </c>
      <c r="J1824">
        <v>3.9744999999999999</v>
      </c>
    </row>
    <row r="1825" spans="2:10" x14ac:dyDescent="0.3">
      <c r="B1825" s="10">
        <f t="shared" si="56"/>
        <v>2019</v>
      </c>
      <c r="C1825" s="10">
        <f t="shared" si="57"/>
        <v>5</v>
      </c>
      <c r="D1825" s="20">
        <v>43598</v>
      </c>
      <c r="E1825">
        <v>347.5</v>
      </c>
      <c r="F1825">
        <v>791</v>
      </c>
      <c r="G1825">
        <v>284</v>
      </c>
      <c r="H1825">
        <v>431.25</v>
      </c>
      <c r="I1825">
        <v>26.35</v>
      </c>
      <c r="J1825">
        <v>3.9925000000000002</v>
      </c>
    </row>
    <row r="1826" spans="2:10" x14ac:dyDescent="0.3">
      <c r="B1826" s="10">
        <f t="shared" si="56"/>
        <v>2019</v>
      </c>
      <c r="C1826" s="10">
        <f t="shared" si="57"/>
        <v>5</v>
      </c>
      <c r="D1826" s="20">
        <v>43595</v>
      </c>
      <c r="E1826">
        <v>342.5</v>
      </c>
      <c r="F1826">
        <v>797</v>
      </c>
      <c r="G1826">
        <v>284.10000000000002</v>
      </c>
      <c r="H1826">
        <v>419</v>
      </c>
      <c r="I1826">
        <v>26.5</v>
      </c>
      <c r="J1826">
        <v>3.9565999999999999</v>
      </c>
    </row>
    <row r="1827" spans="2:10" x14ac:dyDescent="0.3">
      <c r="B1827" s="10">
        <f t="shared" si="56"/>
        <v>2019</v>
      </c>
      <c r="C1827" s="10">
        <f t="shared" si="57"/>
        <v>5</v>
      </c>
      <c r="D1827" s="20">
        <v>43594</v>
      </c>
      <c r="E1827">
        <v>344.5</v>
      </c>
      <c r="F1827">
        <v>800.25</v>
      </c>
      <c r="G1827">
        <v>285.3</v>
      </c>
      <c r="H1827">
        <v>421.75</v>
      </c>
      <c r="I1827">
        <v>26.34</v>
      </c>
      <c r="J1827">
        <v>3.9456000000000002</v>
      </c>
    </row>
    <row r="1828" spans="2:10" x14ac:dyDescent="0.3">
      <c r="B1828" s="10">
        <f t="shared" si="56"/>
        <v>2019</v>
      </c>
      <c r="C1828" s="10">
        <f t="shared" si="57"/>
        <v>5</v>
      </c>
      <c r="D1828" s="20">
        <v>43593</v>
      </c>
      <c r="E1828">
        <v>355.25</v>
      </c>
      <c r="F1828">
        <v>814.25</v>
      </c>
      <c r="G1828">
        <v>288.7</v>
      </c>
      <c r="H1828">
        <v>431.25</v>
      </c>
      <c r="I1828">
        <v>26.71</v>
      </c>
      <c r="J1828">
        <v>3.9279000000000002</v>
      </c>
    </row>
    <row r="1829" spans="2:10" x14ac:dyDescent="0.3">
      <c r="B1829" s="10">
        <f t="shared" si="56"/>
        <v>2019</v>
      </c>
      <c r="C1829" s="10">
        <f t="shared" si="57"/>
        <v>5</v>
      </c>
      <c r="D1829" s="20">
        <v>43592</v>
      </c>
      <c r="E1829">
        <v>358</v>
      </c>
      <c r="F1829">
        <v>817.75</v>
      </c>
      <c r="G1829">
        <v>288.39999999999998</v>
      </c>
      <c r="H1829">
        <v>430.5</v>
      </c>
      <c r="I1829">
        <v>26.81</v>
      </c>
      <c r="J1829">
        <v>3.97</v>
      </c>
    </row>
    <row r="1830" spans="2:10" x14ac:dyDescent="0.3">
      <c r="B1830" s="10">
        <f t="shared" si="56"/>
        <v>2019</v>
      </c>
      <c r="C1830" s="10">
        <f t="shared" si="57"/>
        <v>5</v>
      </c>
      <c r="D1830" s="20">
        <v>43591</v>
      </c>
      <c r="E1830">
        <v>355.75</v>
      </c>
      <c r="F1830">
        <v>817.5</v>
      </c>
      <c r="G1830">
        <v>291.8</v>
      </c>
      <c r="H1830">
        <v>428</v>
      </c>
      <c r="I1830">
        <v>26.84</v>
      </c>
      <c r="J1830">
        <v>3.9683000000000002</v>
      </c>
    </row>
    <row r="1831" spans="2:10" x14ac:dyDescent="0.3">
      <c r="B1831" s="10">
        <f t="shared" si="56"/>
        <v>2019</v>
      </c>
      <c r="C1831" s="10">
        <f t="shared" si="57"/>
        <v>5</v>
      </c>
      <c r="D1831" s="20">
        <v>43588</v>
      </c>
      <c r="E1831">
        <v>363</v>
      </c>
      <c r="F1831">
        <v>829.5</v>
      </c>
      <c r="G1831">
        <v>293.60000000000002</v>
      </c>
      <c r="H1831">
        <v>428</v>
      </c>
      <c r="I1831">
        <v>27.07</v>
      </c>
      <c r="J1831">
        <v>3.9378000000000002</v>
      </c>
    </row>
    <row r="1832" spans="2:10" x14ac:dyDescent="0.3">
      <c r="B1832" s="10">
        <f t="shared" si="56"/>
        <v>2019</v>
      </c>
      <c r="C1832" s="10">
        <f t="shared" si="57"/>
        <v>5</v>
      </c>
      <c r="D1832" s="20">
        <v>43587</v>
      </c>
      <c r="E1832">
        <v>362</v>
      </c>
      <c r="F1832">
        <v>830.5</v>
      </c>
      <c r="G1832">
        <v>292.39999999999998</v>
      </c>
      <c r="H1832">
        <v>433.25</v>
      </c>
      <c r="I1832">
        <v>27.23</v>
      </c>
      <c r="J1832">
        <v>3.9653999999999998</v>
      </c>
    </row>
    <row r="1833" spans="2:10" x14ac:dyDescent="0.3">
      <c r="B1833" s="10">
        <f t="shared" si="56"/>
        <v>2019</v>
      </c>
      <c r="C1833" s="10">
        <f t="shared" si="57"/>
        <v>5</v>
      </c>
      <c r="D1833" s="20">
        <v>43586</v>
      </c>
      <c r="E1833">
        <v>360</v>
      </c>
      <c r="F1833">
        <v>839.5</v>
      </c>
      <c r="G1833">
        <v>296</v>
      </c>
      <c r="H1833">
        <v>425</v>
      </c>
      <c r="I1833">
        <v>27.38</v>
      </c>
      <c r="J1833">
        <v>3.9195000000000002</v>
      </c>
    </row>
    <row r="1834" spans="2:10" x14ac:dyDescent="0.3">
      <c r="B1834" s="10">
        <f t="shared" si="56"/>
        <v>2019</v>
      </c>
      <c r="C1834" s="10">
        <f t="shared" si="57"/>
        <v>4</v>
      </c>
      <c r="D1834" s="20">
        <v>43585</v>
      </c>
      <c r="E1834">
        <v>353.25</v>
      </c>
      <c r="F1834">
        <v>841.25</v>
      </c>
      <c r="G1834">
        <v>296</v>
      </c>
      <c r="H1834">
        <v>418.5</v>
      </c>
      <c r="I1834">
        <v>27.58</v>
      </c>
      <c r="J1834">
        <v>3.9207000000000001</v>
      </c>
    </row>
    <row r="1835" spans="2:10" x14ac:dyDescent="0.3">
      <c r="B1835" s="10">
        <f t="shared" si="56"/>
        <v>2019</v>
      </c>
      <c r="C1835" s="10">
        <f t="shared" si="57"/>
        <v>4</v>
      </c>
      <c r="D1835" s="20">
        <v>43584</v>
      </c>
      <c r="E1835">
        <v>352</v>
      </c>
      <c r="F1835">
        <v>847.5</v>
      </c>
      <c r="G1835">
        <v>297.2</v>
      </c>
      <c r="H1835">
        <v>426.75</v>
      </c>
      <c r="I1835">
        <v>27.88</v>
      </c>
      <c r="J1835">
        <v>3.9441999999999999</v>
      </c>
    </row>
    <row r="1836" spans="2:10" x14ac:dyDescent="0.3">
      <c r="B1836" s="10">
        <f t="shared" si="56"/>
        <v>2019</v>
      </c>
      <c r="C1836" s="10">
        <f t="shared" si="57"/>
        <v>4</v>
      </c>
      <c r="D1836" s="20">
        <v>43581</v>
      </c>
      <c r="E1836">
        <v>351.25</v>
      </c>
      <c r="F1836">
        <v>853.75</v>
      </c>
      <c r="G1836">
        <v>299.89999999999998</v>
      </c>
      <c r="H1836">
        <v>435</v>
      </c>
      <c r="I1836">
        <v>27.52</v>
      </c>
      <c r="J1836">
        <v>3.9287999999999998</v>
      </c>
    </row>
    <row r="1837" spans="2:10" x14ac:dyDescent="0.3">
      <c r="B1837" s="10">
        <f t="shared" si="56"/>
        <v>2019</v>
      </c>
      <c r="C1837" s="10">
        <f t="shared" si="57"/>
        <v>4</v>
      </c>
      <c r="D1837" s="20">
        <v>43580</v>
      </c>
      <c r="E1837">
        <v>347.5</v>
      </c>
      <c r="F1837">
        <v>859.25</v>
      </c>
      <c r="G1837">
        <v>306</v>
      </c>
      <c r="H1837">
        <v>434.75</v>
      </c>
      <c r="I1837">
        <v>27.64</v>
      </c>
      <c r="J1837">
        <v>3.9529999999999998</v>
      </c>
    </row>
    <row r="1838" spans="2:10" x14ac:dyDescent="0.3">
      <c r="B1838" s="10">
        <f t="shared" si="56"/>
        <v>2019</v>
      </c>
      <c r="C1838" s="10">
        <f t="shared" si="57"/>
        <v>4</v>
      </c>
      <c r="D1838" s="20">
        <v>43579</v>
      </c>
      <c r="E1838">
        <v>346.75</v>
      </c>
      <c r="F1838">
        <v>855.25</v>
      </c>
      <c r="G1838">
        <v>300.39999999999998</v>
      </c>
      <c r="H1838">
        <v>432.25</v>
      </c>
      <c r="I1838">
        <v>27.92</v>
      </c>
      <c r="J1838">
        <v>3.9922</v>
      </c>
    </row>
    <row r="1839" spans="2:10" x14ac:dyDescent="0.3">
      <c r="B1839" s="10">
        <f t="shared" si="56"/>
        <v>2019</v>
      </c>
      <c r="C1839" s="10">
        <f t="shared" si="57"/>
        <v>4</v>
      </c>
      <c r="D1839" s="20">
        <v>43578</v>
      </c>
      <c r="E1839">
        <v>351.25</v>
      </c>
      <c r="F1839">
        <v>862</v>
      </c>
      <c r="G1839">
        <v>301</v>
      </c>
      <c r="H1839">
        <v>438.75</v>
      </c>
      <c r="I1839">
        <v>28.06</v>
      </c>
      <c r="J1839">
        <v>3.9197000000000002</v>
      </c>
    </row>
    <row r="1840" spans="2:10" x14ac:dyDescent="0.3">
      <c r="B1840" s="10">
        <f t="shared" si="56"/>
        <v>2019</v>
      </c>
      <c r="C1840" s="10">
        <f t="shared" si="57"/>
        <v>4</v>
      </c>
      <c r="D1840" s="20">
        <v>43577</v>
      </c>
      <c r="E1840">
        <v>354.75</v>
      </c>
      <c r="F1840">
        <v>877</v>
      </c>
      <c r="G1840">
        <v>302.5</v>
      </c>
      <c r="H1840">
        <v>435.75</v>
      </c>
      <c r="I1840">
        <v>28.7</v>
      </c>
      <c r="J1840">
        <v>3.9358</v>
      </c>
    </row>
    <row r="1841" spans="2:10" x14ac:dyDescent="0.3">
      <c r="B1841" s="10">
        <f t="shared" si="56"/>
        <v>2019</v>
      </c>
      <c r="C1841" s="10">
        <f t="shared" si="57"/>
        <v>4</v>
      </c>
      <c r="D1841" s="20">
        <v>43574</v>
      </c>
      <c r="J1841">
        <v>3.9260000000000002</v>
      </c>
    </row>
    <row r="1842" spans="2:10" x14ac:dyDescent="0.3">
      <c r="B1842" s="10">
        <f t="shared" si="56"/>
        <v>2019</v>
      </c>
      <c r="C1842" s="10">
        <f t="shared" si="57"/>
        <v>4</v>
      </c>
      <c r="D1842" s="20">
        <v>43573</v>
      </c>
      <c r="E1842">
        <v>358.5</v>
      </c>
      <c r="F1842">
        <v>880.5</v>
      </c>
      <c r="G1842">
        <v>303.2</v>
      </c>
      <c r="H1842">
        <v>444.25</v>
      </c>
      <c r="I1842">
        <v>28.8</v>
      </c>
      <c r="J1842">
        <v>3.9260999999999999</v>
      </c>
    </row>
    <row r="1843" spans="2:10" x14ac:dyDescent="0.3">
      <c r="B1843" s="10">
        <f t="shared" si="56"/>
        <v>2019</v>
      </c>
      <c r="C1843" s="10">
        <f t="shared" si="57"/>
        <v>4</v>
      </c>
      <c r="D1843" s="20">
        <v>43572</v>
      </c>
      <c r="E1843">
        <v>358.25</v>
      </c>
      <c r="F1843">
        <v>879</v>
      </c>
      <c r="G1843">
        <v>303.89999999999998</v>
      </c>
      <c r="H1843">
        <v>447</v>
      </c>
      <c r="I1843">
        <v>28.46</v>
      </c>
      <c r="J1843">
        <v>3.9373</v>
      </c>
    </row>
    <row r="1844" spans="2:10" x14ac:dyDescent="0.3">
      <c r="B1844" s="10">
        <f t="shared" si="56"/>
        <v>2019</v>
      </c>
      <c r="C1844" s="10">
        <f t="shared" si="57"/>
        <v>4</v>
      </c>
      <c r="D1844" s="20">
        <v>43571</v>
      </c>
      <c r="E1844">
        <v>359</v>
      </c>
      <c r="F1844">
        <v>888</v>
      </c>
      <c r="G1844">
        <v>306.5</v>
      </c>
      <c r="H1844">
        <v>445</v>
      </c>
      <c r="I1844">
        <v>28.72</v>
      </c>
      <c r="J1844">
        <v>3.9030999999999998</v>
      </c>
    </row>
    <row r="1845" spans="2:10" x14ac:dyDescent="0.3">
      <c r="B1845" s="10">
        <f t="shared" si="56"/>
        <v>2019</v>
      </c>
      <c r="C1845" s="10">
        <f t="shared" si="57"/>
        <v>4</v>
      </c>
      <c r="D1845" s="20">
        <v>43570</v>
      </c>
      <c r="E1845">
        <v>362.75</v>
      </c>
      <c r="F1845">
        <v>898.75</v>
      </c>
      <c r="G1845">
        <v>311</v>
      </c>
      <c r="H1845">
        <v>459.5</v>
      </c>
      <c r="I1845">
        <v>28.81</v>
      </c>
      <c r="J1845">
        <v>3.8719999999999999</v>
      </c>
    </row>
    <row r="1846" spans="2:10" x14ac:dyDescent="0.3">
      <c r="B1846" s="10">
        <f t="shared" si="56"/>
        <v>2019</v>
      </c>
      <c r="C1846" s="10">
        <f t="shared" si="57"/>
        <v>4</v>
      </c>
      <c r="D1846" s="20">
        <v>43567</v>
      </c>
      <c r="E1846">
        <v>361</v>
      </c>
      <c r="F1846">
        <v>895.25</v>
      </c>
      <c r="G1846">
        <v>307.89999999999998</v>
      </c>
      <c r="H1846">
        <v>464.5</v>
      </c>
      <c r="I1846">
        <v>28.95</v>
      </c>
      <c r="J1846">
        <v>3.8812000000000002</v>
      </c>
    </row>
    <row r="1847" spans="2:10" x14ac:dyDescent="0.3">
      <c r="B1847" s="10">
        <f t="shared" si="56"/>
        <v>2019</v>
      </c>
      <c r="C1847" s="10">
        <f t="shared" si="57"/>
        <v>4</v>
      </c>
      <c r="D1847" s="20">
        <v>43566</v>
      </c>
      <c r="E1847">
        <v>360</v>
      </c>
      <c r="F1847">
        <v>895.25</v>
      </c>
      <c r="G1847">
        <v>307.2</v>
      </c>
      <c r="H1847">
        <v>460.5</v>
      </c>
      <c r="I1847">
        <v>28.98</v>
      </c>
      <c r="J1847">
        <v>3.8570000000000002</v>
      </c>
    </row>
    <row r="1848" spans="2:10" x14ac:dyDescent="0.3">
      <c r="B1848" s="10">
        <f t="shared" si="56"/>
        <v>2019</v>
      </c>
      <c r="C1848" s="10">
        <f t="shared" si="57"/>
        <v>4</v>
      </c>
      <c r="D1848" s="20">
        <v>43565</v>
      </c>
      <c r="E1848">
        <v>361.75</v>
      </c>
      <c r="F1848">
        <v>902</v>
      </c>
      <c r="G1848">
        <v>310.10000000000002</v>
      </c>
      <c r="H1848">
        <v>458</v>
      </c>
      <c r="I1848">
        <v>29.07</v>
      </c>
      <c r="J1848">
        <v>3.8247</v>
      </c>
    </row>
    <row r="1849" spans="2:10" x14ac:dyDescent="0.3">
      <c r="B1849" s="10">
        <f t="shared" si="56"/>
        <v>2019</v>
      </c>
      <c r="C1849" s="10">
        <f t="shared" si="57"/>
        <v>4</v>
      </c>
      <c r="D1849" s="20">
        <v>43564</v>
      </c>
      <c r="E1849">
        <v>360</v>
      </c>
      <c r="F1849">
        <v>898.75</v>
      </c>
      <c r="G1849">
        <v>309.10000000000002</v>
      </c>
      <c r="H1849">
        <v>459.5</v>
      </c>
      <c r="I1849">
        <v>29.04</v>
      </c>
      <c r="J1849">
        <v>3.8502000000000001</v>
      </c>
    </row>
    <row r="1850" spans="2:10" x14ac:dyDescent="0.3">
      <c r="B1850" s="10">
        <f t="shared" si="56"/>
        <v>2019</v>
      </c>
      <c r="C1850" s="10">
        <f t="shared" si="57"/>
        <v>4</v>
      </c>
      <c r="D1850" s="20">
        <v>43563</v>
      </c>
      <c r="E1850">
        <v>360</v>
      </c>
      <c r="F1850">
        <v>898.75</v>
      </c>
      <c r="G1850">
        <v>309.2</v>
      </c>
      <c r="H1850">
        <v>465.25</v>
      </c>
      <c r="I1850">
        <v>28.88</v>
      </c>
      <c r="J1850">
        <v>3.8490000000000002</v>
      </c>
    </row>
    <row r="1851" spans="2:10" x14ac:dyDescent="0.3">
      <c r="B1851" s="10">
        <f t="shared" si="56"/>
        <v>2019</v>
      </c>
      <c r="C1851" s="10">
        <f t="shared" si="57"/>
        <v>4</v>
      </c>
      <c r="D1851" s="20">
        <v>43560</v>
      </c>
      <c r="E1851">
        <v>362.5</v>
      </c>
      <c r="F1851">
        <v>899</v>
      </c>
      <c r="G1851">
        <v>308</v>
      </c>
      <c r="H1851">
        <v>467.75</v>
      </c>
      <c r="I1851">
        <v>29.15</v>
      </c>
      <c r="J1851">
        <v>3.8730000000000002</v>
      </c>
    </row>
    <row r="1852" spans="2:10" x14ac:dyDescent="0.3">
      <c r="B1852" s="10">
        <f t="shared" si="56"/>
        <v>2019</v>
      </c>
      <c r="C1852" s="10">
        <f t="shared" si="57"/>
        <v>4</v>
      </c>
      <c r="D1852" s="20">
        <v>43559</v>
      </c>
      <c r="E1852">
        <v>365.25</v>
      </c>
      <c r="F1852">
        <v>906.5</v>
      </c>
      <c r="G1852">
        <v>311.89999999999998</v>
      </c>
      <c r="H1852">
        <v>470.75</v>
      </c>
      <c r="I1852">
        <v>29.2</v>
      </c>
      <c r="J1852">
        <v>3.8586999999999998</v>
      </c>
    </row>
    <row r="1853" spans="2:10" x14ac:dyDescent="0.3">
      <c r="B1853" s="10">
        <f t="shared" si="56"/>
        <v>2019</v>
      </c>
      <c r="C1853" s="10">
        <f t="shared" si="57"/>
        <v>4</v>
      </c>
      <c r="D1853" s="20">
        <v>43558</v>
      </c>
      <c r="E1853">
        <v>362.75</v>
      </c>
      <c r="F1853">
        <v>898.75</v>
      </c>
      <c r="G1853">
        <v>311</v>
      </c>
      <c r="H1853">
        <v>471</v>
      </c>
      <c r="I1853">
        <v>28.8</v>
      </c>
      <c r="J1853">
        <v>3.8694000000000002</v>
      </c>
    </row>
    <row r="1854" spans="2:10" x14ac:dyDescent="0.3">
      <c r="B1854" s="10">
        <f t="shared" si="56"/>
        <v>2019</v>
      </c>
      <c r="C1854" s="10">
        <f t="shared" si="57"/>
        <v>4</v>
      </c>
      <c r="D1854" s="20">
        <v>43557</v>
      </c>
      <c r="E1854">
        <v>361.5</v>
      </c>
      <c r="F1854">
        <v>900</v>
      </c>
      <c r="G1854">
        <v>310.60000000000002</v>
      </c>
      <c r="H1854">
        <v>464</v>
      </c>
      <c r="I1854">
        <v>28.96</v>
      </c>
      <c r="J1854">
        <v>3.8525</v>
      </c>
    </row>
    <row r="1855" spans="2:10" x14ac:dyDescent="0.3">
      <c r="B1855" s="10">
        <f t="shared" si="56"/>
        <v>2019</v>
      </c>
      <c r="C1855" s="10">
        <f t="shared" si="57"/>
        <v>4</v>
      </c>
      <c r="D1855" s="20">
        <v>43556</v>
      </c>
      <c r="E1855">
        <v>361.75</v>
      </c>
      <c r="F1855">
        <v>895.5</v>
      </c>
      <c r="G1855">
        <v>309.39999999999998</v>
      </c>
      <c r="H1855">
        <v>462.75</v>
      </c>
      <c r="I1855">
        <v>28.57</v>
      </c>
      <c r="J1855">
        <v>3.8508</v>
      </c>
    </row>
    <row r="1856" spans="2:10" x14ac:dyDescent="0.3">
      <c r="B1856" s="10">
        <f t="shared" ref="B1856:B1919" si="58">YEAR(D1856)</f>
        <v>2019</v>
      </c>
      <c r="C1856" s="10">
        <f t="shared" ref="C1856:C1919" si="59">MONTH(D1856)</f>
        <v>3</v>
      </c>
      <c r="D1856" s="20">
        <v>43553</v>
      </c>
      <c r="E1856">
        <v>356.5</v>
      </c>
      <c r="F1856">
        <v>884.25</v>
      </c>
      <c r="G1856">
        <v>306.5</v>
      </c>
      <c r="H1856">
        <v>457.75</v>
      </c>
      <c r="I1856">
        <v>28.36</v>
      </c>
      <c r="J1856">
        <v>3.9238</v>
      </c>
    </row>
    <row r="1857" spans="2:10" x14ac:dyDescent="0.3">
      <c r="B1857" s="10">
        <f t="shared" si="58"/>
        <v>2019</v>
      </c>
      <c r="C1857" s="10">
        <f t="shared" si="59"/>
        <v>3</v>
      </c>
      <c r="D1857" s="20">
        <v>43552</v>
      </c>
      <c r="E1857">
        <v>374</v>
      </c>
      <c r="F1857">
        <v>889.5</v>
      </c>
      <c r="G1857">
        <v>306.5</v>
      </c>
      <c r="H1857">
        <v>464.5</v>
      </c>
      <c r="I1857">
        <v>28.63</v>
      </c>
      <c r="J1857">
        <v>3.9005000000000001</v>
      </c>
    </row>
    <row r="1858" spans="2:10" x14ac:dyDescent="0.3">
      <c r="B1858" s="10">
        <f t="shared" si="58"/>
        <v>2019</v>
      </c>
      <c r="C1858" s="10">
        <f t="shared" si="59"/>
        <v>3</v>
      </c>
      <c r="D1858" s="20">
        <v>43551</v>
      </c>
      <c r="E1858">
        <v>373.75</v>
      </c>
      <c r="F1858">
        <v>887.5</v>
      </c>
      <c r="G1858">
        <v>304.39999999999998</v>
      </c>
      <c r="H1858">
        <v>469.5</v>
      </c>
      <c r="I1858">
        <v>28.82</v>
      </c>
      <c r="J1858">
        <v>3.9933000000000001</v>
      </c>
    </row>
    <row r="1859" spans="2:10" x14ac:dyDescent="0.3">
      <c r="B1859" s="10">
        <f t="shared" si="58"/>
        <v>2019</v>
      </c>
      <c r="C1859" s="10">
        <f t="shared" si="59"/>
        <v>3</v>
      </c>
      <c r="D1859" s="20">
        <v>43550</v>
      </c>
      <c r="E1859">
        <v>377.25</v>
      </c>
      <c r="F1859">
        <v>900.75</v>
      </c>
      <c r="G1859">
        <v>311</v>
      </c>
      <c r="H1859">
        <v>469.25</v>
      </c>
      <c r="I1859">
        <v>28.65</v>
      </c>
      <c r="J1859">
        <v>3.8769</v>
      </c>
    </row>
    <row r="1860" spans="2:10" x14ac:dyDescent="0.3">
      <c r="B1860" s="10">
        <f t="shared" si="58"/>
        <v>2019</v>
      </c>
      <c r="C1860" s="10">
        <f t="shared" si="59"/>
        <v>3</v>
      </c>
      <c r="D1860" s="20">
        <v>43549</v>
      </c>
      <c r="E1860">
        <v>379.75</v>
      </c>
      <c r="F1860">
        <v>906.5</v>
      </c>
      <c r="G1860">
        <v>315.10000000000002</v>
      </c>
      <c r="H1860">
        <v>469.5</v>
      </c>
      <c r="I1860">
        <v>28.82</v>
      </c>
      <c r="J1860">
        <v>3.8534999999999999</v>
      </c>
    </row>
    <row r="1861" spans="2:10" x14ac:dyDescent="0.3">
      <c r="B1861" s="10">
        <f t="shared" si="58"/>
        <v>2019</v>
      </c>
      <c r="C1861" s="10">
        <f t="shared" si="59"/>
        <v>3</v>
      </c>
      <c r="D1861" s="20">
        <v>43546</v>
      </c>
      <c r="E1861">
        <v>378.25</v>
      </c>
      <c r="F1861">
        <v>903.75</v>
      </c>
      <c r="G1861">
        <v>315</v>
      </c>
      <c r="H1861">
        <v>466</v>
      </c>
      <c r="I1861">
        <v>28.66</v>
      </c>
      <c r="J1861">
        <v>3.9066000000000001</v>
      </c>
    </row>
    <row r="1862" spans="2:10" x14ac:dyDescent="0.3">
      <c r="B1862" s="10">
        <f t="shared" si="58"/>
        <v>2019</v>
      </c>
      <c r="C1862" s="10">
        <f t="shared" si="59"/>
        <v>3</v>
      </c>
      <c r="D1862" s="20">
        <v>43545</v>
      </c>
      <c r="E1862">
        <v>376.25</v>
      </c>
      <c r="F1862">
        <v>910.5</v>
      </c>
      <c r="G1862">
        <v>315.3</v>
      </c>
      <c r="H1862">
        <v>466.5</v>
      </c>
      <c r="I1862">
        <v>29.1</v>
      </c>
      <c r="J1862">
        <v>3.7921</v>
      </c>
    </row>
    <row r="1863" spans="2:10" x14ac:dyDescent="0.3">
      <c r="B1863" s="10">
        <f t="shared" si="58"/>
        <v>2019</v>
      </c>
      <c r="C1863" s="10">
        <f t="shared" si="59"/>
        <v>3</v>
      </c>
      <c r="D1863" s="20">
        <v>43544</v>
      </c>
      <c r="E1863">
        <v>371.5</v>
      </c>
      <c r="F1863">
        <v>906</v>
      </c>
      <c r="G1863">
        <v>311.60000000000002</v>
      </c>
      <c r="H1863">
        <v>464.75</v>
      </c>
      <c r="I1863">
        <v>29.27</v>
      </c>
      <c r="J1863">
        <v>3.7755999999999998</v>
      </c>
    </row>
    <row r="1864" spans="2:10" x14ac:dyDescent="0.3">
      <c r="B1864" s="10">
        <f t="shared" si="58"/>
        <v>2019</v>
      </c>
      <c r="C1864" s="10">
        <f t="shared" si="59"/>
        <v>3</v>
      </c>
      <c r="D1864" s="20">
        <v>43543</v>
      </c>
      <c r="E1864">
        <v>371.25</v>
      </c>
      <c r="F1864">
        <v>904</v>
      </c>
      <c r="G1864">
        <v>310.8</v>
      </c>
      <c r="H1864">
        <v>456.5</v>
      </c>
      <c r="I1864">
        <v>29.24</v>
      </c>
      <c r="J1864">
        <v>3.7885</v>
      </c>
    </row>
    <row r="1865" spans="2:10" x14ac:dyDescent="0.3">
      <c r="B1865" s="10">
        <f t="shared" si="58"/>
        <v>2019</v>
      </c>
      <c r="C1865" s="10">
        <f t="shared" si="59"/>
        <v>3</v>
      </c>
      <c r="D1865" s="20">
        <v>43542</v>
      </c>
      <c r="E1865">
        <v>371.5</v>
      </c>
      <c r="F1865">
        <v>905.75</v>
      </c>
      <c r="G1865">
        <v>309.8</v>
      </c>
      <c r="H1865">
        <v>456.75</v>
      </c>
      <c r="I1865">
        <v>29.44</v>
      </c>
      <c r="J1865">
        <v>3.7913000000000001</v>
      </c>
    </row>
    <row r="1866" spans="2:10" x14ac:dyDescent="0.3">
      <c r="B1866" s="10">
        <f t="shared" si="58"/>
        <v>2019</v>
      </c>
      <c r="C1866" s="10">
        <f t="shared" si="59"/>
        <v>3</v>
      </c>
      <c r="D1866" s="20">
        <v>43539</v>
      </c>
      <c r="E1866">
        <v>373.25</v>
      </c>
      <c r="F1866">
        <v>909.25</v>
      </c>
      <c r="G1866">
        <v>310.8</v>
      </c>
      <c r="H1866">
        <v>462.25</v>
      </c>
      <c r="I1866">
        <v>29.43</v>
      </c>
      <c r="J1866">
        <v>3.8130999999999999</v>
      </c>
    </row>
    <row r="1867" spans="2:10" x14ac:dyDescent="0.3">
      <c r="B1867" s="10">
        <f t="shared" si="58"/>
        <v>2019</v>
      </c>
      <c r="C1867" s="10">
        <f t="shared" si="59"/>
        <v>3</v>
      </c>
      <c r="D1867" s="20">
        <v>43538</v>
      </c>
      <c r="E1867">
        <v>361.5</v>
      </c>
      <c r="F1867">
        <v>889.5</v>
      </c>
      <c r="G1867">
        <v>301.8</v>
      </c>
      <c r="H1867">
        <v>448.25</v>
      </c>
      <c r="I1867">
        <v>29.4</v>
      </c>
      <c r="J1867">
        <v>3.843</v>
      </c>
    </row>
    <row r="1868" spans="2:10" x14ac:dyDescent="0.3">
      <c r="B1868" s="10">
        <f t="shared" si="58"/>
        <v>2019</v>
      </c>
      <c r="C1868" s="10">
        <f t="shared" si="59"/>
        <v>3</v>
      </c>
      <c r="D1868" s="20">
        <v>43537</v>
      </c>
      <c r="E1868">
        <v>357.25</v>
      </c>
      <c r="F1868">
        <v>889</v>
      </c>
      <c r="G1868">
        <v>300.2</v>
      </c>
      <c r="H1868">
        <v>440.25</v>
      </c>
      <c r="I1868">
        <v>29.69</v>
      </c>
      <c r="J1868">
        <v>3.8142</v>
      </c>
    </row>
    <row r="1869" spans="2:10" x14ac:dyDescent="0.3">
      <c r="B1869" s="10">
        <f t="shared" si="58"/>
        <v>2019</v>
      </c>
      <c r="C1869" s="10">
        <f t="shared" si="59"/>
        <v>3</v>
      </c>
      <c r="D1869" s="20">
        <v>43536</v>
      </c>
      <c r="E1869">
        <v>356.5</v>
      </c>
      <c r="F1869">
        <v>884.75</v>
      </c>
      <c r="G1869">
        <v>298.3</v>
      </c>
      <c r="H1869">
        <v>446.25</v>
      </c>
      <c r="I1869">
        <v>29.78</v>
      </c>
      <c r="J1869">
        <v>3.8111000000000002</v>
      </c>
    </row>
    <row r="1870" spans="2:10" x14ac:dyDescent="0.3">
      <c r="B1870" s="10">
        <f t="shared" si="58"/>
        <v>2019</v>
      </c>
      <c r="C1870" s="10">
        <f t="shared" si="59"/>
        <v>3</v>
      </c>
      <c r="D1870" s="20">
        <v>43535</v>
      </c>
      <c r="E1870">
        <v>352.5</v>
      </c>
      <c r="F1870">
        <v>877.75</v>
      </c>
      <c r="G1870">
        <v>296.7</v>
      </c>
      <c r="H1870">
        <v>422.25</v>
      </c>
      <c r="I1870">
        <v>29.4</v>
      </c>
      <c r="J1870">
        <v>3.8391999999999999</v>
      </c>
    </row>
    <row r="1871" spans="2:10" x14ac:dyDescent="0.3">
      <c r="B1871" s="10">
        <f t="shared" si="58"/>
        <v>2019</v>
      </c>
      <c r="C1871" s="10">
        <f t="shared" si="59"/>
        <v>3</v>
      </c>
      <c r="D1871" s="20">
        <v>43532</v>
      </c>
      <c r="E1871">
        <v>354.75</v>
      </c>
      <c r="F1871">
        <v>883.75</v>
      </c>
      <c r="G1871">
        <v>299.10000000000002</v>
      </c>
      <c r="H1871">
        <v>432.75</v>
      </c>
      <c r="I1871">
        <v>29.39</v>
      </c>
      <c r="J1871">
        <v>3.8666</v>
      </c>
    </row>
    <row r="1872" spans="2:10" x14ac:dyDescent="0.3">
      <c r="B1872" s="10">
        <f t="shared" si="58"/>
        <v>2019</v>
      </c>
      <c r="C1872" s="10">
        <f t="shared" si="59"/>
        <v>3</v>
      </c>
      <c r="D1872" s="20">
        <v>43531</v>
      </c>
      <c r="E1872">
        <v>356</v>
      </c>
      <c r="F1872">
        <v>890.75</v>
      </c>
      <c r="G1872">
        <v>302</v>
      </c>
      <c r="H1872">
        <v>431.5</v>
      </c>
      <c r="I1872">
        <v>29.41</v>
      </c>
      <c r="J1872">
        <v>3.8700999999999999</v>
      </c>
    </row>
    <row r="1873" spans="2:10" x14ac:dyDescent="0.3">
      <c r="B1873" s="10">
        <f t="shared" si="58"/>
        <v>2019</v>
      </c>
      <c r="C1873" s="10">
        <f t="shared" si="59"/>
        <v>3</v>
      </c>
      <c r="D1873" s="20">
        <v>43530</v>
      </c>
      <c r="E1873">
        <v>362.5</v>
      </c>
      <c r="F1873">
        <v>889.75</v>
      </c>
      <c r="G1873">
        <v>301.8</v>
      </c>
      <c r="H1873">
        <v>440.5</v>
      </c>
      <c r="I1873">
        <v>29.51</v>
      </c>
      <c r="J1873">
        <v>3.8397000000000001</v>
      </c>
    </row>
    <row r="1874" spans="2:10" x14ac:dyDescent="0.3">
      <c r="B1874" s="10">
        <f t="shared" si="58"/>
        <v>2019</v>
      </c>
      <c r="C1874" s="10">
        <f t="shared" si="59"/>
        <v>3</v>
      </c>
      <c r="D1874" s="20">
        <v>43529</v>
      </c>
      <c r="E1874">
        <v>366</v>
      </c>
      <c r="F1874">
        <v>901.25</v>
      </c>
      <c r="G1874">
        <v>305.60000000000002</v>
      </c>
      <c r="H1874">
        <v>454.25</v>
      </c>
      <c r="I1874">
        <v>29.73</v>
      </c>
      <c r="J1874">
        <v>3.7749999999999999</v>
      </c>
    </row>
    <row r="1875" spans="2:10" x14ac:dyDescent="0.3">
      <c r="B1875" s="10">
        <f t="shared" si="58"/>
        <v>2019</v>
      </c>
      <c r="C1875" s="10">
        <f t="shared" si="59"/>
        <v>3</v>
      </c>
      <c r="D1875" s="20">
        <v>43528</v>
      </c>
      <c r="E1875">
        <v>365</v>
      </c>
      <c r="F1875">
        <v>903.25</v>
      </c>
      <c r="G1875">
        <v>306.3</v>
      </c>
      <c r="H1875">
        <v>446.75</v>
      </c>
      <c r="I1875">
        <v>29.78</v>
      </c>
      <c r="J1875">
        <v>3.7749999999999999</v>
      </c>
    </row>
    <row r="1876" spans="2:10" x14ac:dyDescent="0.3">
      <c r="B1876" s="10">
        <f t="shared" si="58"/>
        <v>2019</v>
      </c>
      <c r="C1876" s="10">
        <f t="shared" si="59"/>
        <v>3</v>
      </c>
      <c r="D1876" s="20">
        <v>43525</v>
      </c>
      <c r="E1876">
        <v>364</v>
      </c>
      <c r="F1876">
        <v>899.25</v>
      </c>
      <c r="G1876">
        <v>303.3</v>
      </c>
      <c r="H1876">
        <v>454</v>
      </c>
      <c r="I1876">
        <v>29.95</v>
      </c>
      <c r="J1876">
        <v>3.7749000000000001</v>
      </c>
    </row>
    <row r="1877" spans="2:10" x14ac:dyDescent="0.3">
      <c r="B1877" s="10">
        <f t="shared" si="58"/>
        <v>2019</v>
      </c>
      <c r="C1877" s="10">
        <f t="shared" si="59"/>
        <v>2</v>
      </c>
      <c r="D1877" s="20">
        <v>43524</v>
      </c>
      <c r="E1877">
        <v>362</v>
      </c>
      <c r="F1877">
        <v>897.5</v>
      </c>
      <c r="G1877">
        <v>302.3</v>
      </c>
      <c r="H1877">
        <v>452.5</v>
      </c>
      <c r="I1877">
        <v>29.96</v>
      </c>
      <c r="J1877">
        <v>3.7511000000000001</v>
      </c>
    </row>
    <row r="1878" spans="2:10" x14ac:dyDescent="0.3">
      <c r="B1878" s="10">
        <f t="shared" si="58"/>
        <v>2019</v>
      </c>
      <c r="C1878" s="10">
        <f t="shared" si="59"/>
        <v>2</v>
      </c>
      <c r="D1878" s="20">
        <v>43523</v>
      </c>
      <c r="E1878">
        <v>363.75</v>
      </c>
      <c r="F1878">
        <v>903.5</v>
      </c>
      <c r="G1878">
        <v>305</v>
      </c>
      <c r="H1878">
        <v>461</v>
      </c>
      <c r="I1878">
        <v>29.8</v>
      </c>
      <c r="J1878">
        <v>3.7284999999999999</v>
      </c>
    </row>
    <row r="1879" spans="2:10" x14ac:dyDescent="0.3">
      <c r="B1879" s="10">
        <f t="shared" si="58"/>
        <v>2019</v>
      </c>
      <c r="C1879" s="10">
        <f t="shared" si="59"/>
        <v>2</v>
      </c>
      <c r="D1879" s="20">
        <v>43522</v>
      </c>
      <c r="E1879">
        <v>366.25</v>
      </c>
      <c r="F1879">
        <v>903.75</v>
      </c>
      <c r="G1879">
        <v>303.2</v>
      </c>
      <c r="H1879">
        <v>460.25</v>
      </c>
      <c r="I1879">
        <v>30.09</v>
      </c>
      <c r="J1879">
        <v>3.7486999999999999</v>
      </c>
    </row>
    <row r="1880" spans="2:10" x14ac:dyDescent="0.3">
      <c r="B1880" s="10">
        <f t="shared" si="58"/>
        <v>2019</v>
      </c>
      <c r="C1880" s="10">
        <f t="shared" si="59"/>
        <v>2</v>
      </c>
      <c r="D1880" s="20">
        <v>43521</v>
      </c>
      <c r="E1880">
        <v>370.5</v>
      </c>
      <c r="F1880">
        <v>911.75</v>
      </c>
      <c r="G1880">
        <v>305.39999999999998</v>
      </c>
      <c r="H1880">
        <v>466.75</v>
      </c>
      <c r="I1880">
        <v>30.36</v>
      </c>
      <c r="J1880">
        <v>3.7519</v>
      </c>
    </row>
    <row r="1881" spans="2:10" x14ac:dyDescent="0.3">
      <c r="B1881" s="10">
        <f t="shared" si="58"/>
        <v>2019</v>
      </c>
      <c r="C1881" s="10">
        <f t="shared" si="59"/>
        <v>2</v>
      </c>
      <c r="D1881" s="20">
        <v>43518</v>
      </c>
      <c r="E1881">
        <v>375.25</v>
      </c>
      <c r="F1881">
        <v>910.25</v>
      </c>
      <c r="G1881">
        <v>305.60000000000002</v>
      </c>
      <c r="H1881">
        <v>486.75</v>
      </c>
      <c r="I1881">
        <v>30.51</v>
      </c>
      <c r="J1881">
        <v>3.7482000000000002</v>
      </c>
    </row>
    <row r="1882" spans="2:10" x14ac:dyDescent="0.3">
      <c r="B1882" s="10">
        <f t="shared" si="58"/>
        <v>2019</v>
      </c>
      <c r="C1882" s="10">
        <f t="shared" si="59"/>
        <v>2</v>
      </c>
      <c r="D1882" s="20">
        <v>43517</v>
      </c>
      <c r="E1882">
        <v>375.5</v>
      </c>
      <c r="F1882">
        <v>911</v>
      </c>
      <c r="G1882">
        <v>305.89999999999998</v>
      </c>
      <c r="H1882">
        <v>486.5</v>
      </c>
      <c r="I1882">
        <v>30.49</v>
      </c>
      <c r="J1882">
        <v>3.7692999999999999</v>
      </c>
    </row>
    <row r="1883" spans="2:10" x14ac:dyDescent="0.3">
      <c r="B1883" s="10">
        <f t="shared" si="58"/>
        <v>2019</v>
      </c>
      <c r="C1883" s="10">
        <f t="shared" si="59"/>
        <v>2</v>
      </c>
      <c r="D1883" s="20">
        <v>43516</v>
      </c>
      <c r="E1883">
        <v>370.75</v>
      </c>
      <c r="F1883">
        <v>902.5</v>
      </c>
      <c r="G1883">
        <v>305.2</v>
      </c>
      <c r="H1883">
        <v>480.75</v>
      </c>
      <c r="I1883">
        <v>29.96</v>
      </c>
      <c r="J1883">
        <v>3.7273000000000001</v>
      </c>
    </row>
    <row r="1884" spans="2:10" x14ac:dyDescent="0.3">
      <c r="B1884" s="10">
        <f t="shared" si="58"/>
        <v>2019</v>
      </c>
      <c r="C1884" s="10">
        <f t="shared" si="59"/>
        <v>2</v>
      </c>
      <c r="D1884" s="20">
        <v>43515</v>
      </c>
      <c r="E1884">
        <v>369.75</v>
      </c>
      <c r="F1884">
        <v>900.75</v>
      </c>
      <c r="G1884">
        <v>305.39999999999998</v>
      </c>
      <c r="H1884">
        <v>489.75</v>
      </c>
      <c r="I1884">
        <v>29.74</v>
      </c>
      <c r="J1884">
        <v>3.7227000000000001</v>
      </c>
    </row>
    <row r="1885" spans="2:10" x14ac:dyDescent="0.3">
      <c r="B1885" s="10">
        <f t="shared" si="58"/>
        <v>2019</v>
      </c>
      <c r="C1885" s="10">
        <f t="shared" si="59"/>
        <v>2</v>
      </c>
      <c r="D1885" s="20">
        <v>43514</v>
      </c>
      <c r="J1885">
        <v>3.7351000000000001</v>
      </c>
    </row>
    <row r="1886" spans="2:10" x14ac:dyDescent="0.3">
      <c r="B1886" s="10">
        <f t="shared" si="58"/>
        <v>2019</v>
      </c>
      <c r="C1886" s="10">
        <f t="shared" si="59"/>
        <v>2</v>
      </c>
      <c r="D1886" s="20">
        <v>43511</v>
      </c>
      <c r="E1886">
        <v>374.75</v>
      </c>
      <c r="F1886">
        <v>907.5</v>
      </c>
      <c r="G1886">
        <v>306.5</v>
      </c>
      <c r="H1886">
        <v>504.25</v>
      </c>
      <c r="I1886">
        <v>29.95</v>
      </c>
      <c r="J1886">
        <v>3.7006999999999999</v>
      </c>
    </row>
    <row r="1887" spans="2:10" x14ac:dyDescent="0.3">
      <c r="B1887" s="10">
        <f t="shared" si="58"/>
        <v>2019</v>
      </c>
      <c r="C1887" s="10">
        <f t="shared" si="59"/>
        <v>2</v>
      </c>
      <c r="D1887" s="20">
        <v>43510</v>
      </c>
      <c r="E1887">
        <v>374.75</v>
      </c>
      <c r="F1887">
        <v>903.5</v>
      </c>
      <c r="G1887">
        <v>305.5</v>
      </c>
      <c r="H1887">
        <v>507</v>
      </c>
      <c r="I1887">
        <v>29.89</v>
      </c>
      <c r="J1887">
        <v>3.7231999999999998</v>
      </c>
    </row>
    <row r="1888" spans="2:10" x14ac:dyDescent="0.3">
      <c r="B1888" s="10">
        <f t="shared" si="58"/>
        <v>2019</v>
      </c>
      <c r="C1888" s="10">
        <f t="shared" si="59"/>
        <v>2</v>
      </c>
      <c r="D1888" s="20">
        <v>43509</v>
      </c>
      <c r="E1888">
        <v>378.75</v>
      </c>
      <c r="F1888">
        <v>916.5</v>
      </c>
      <c r="G1888">
        <v>310.10000000000002</v>
      </c>
      <c r="H1888">
        <v>522.25</v>
      </c>
      <c r="I1888">
        <v>29.99</v>
      </c>
      <c r="J1888">
        <v>3.7543000000000002</v>
      </c>
    </row>
    <row r="1889" spans="2:10" x14ac:dyDescent="0.3">
      <c r="B1889" s="10">
        <f t="shared" si="58"/>
        <v>2019</v>
      </c>
      <c r="C1889" s="10">
        <f t="shared" si="59"/>
        <v>2</v>
      </c>
      <c r="D1889" s="20">
        <v>43508</v>
      </c>
      <c r="E1889">
        <v>378.25</v>
      </c>
      <c r="F1889">
        <v>917.5</v>
      </c>
      <c r="G1889">
        <v>309.2</v>
      </c>
      <c r="H1889">
        <v>520</v>
      </c>
      <c r="I1889">
        <v>30.33</v>
      </c>
      <c r="J1889">
        <v>3.7097000000000002</v>
      </c>
    </row>
    <row r="1890" spans="2:10" x14ac:dyDescent="0.3">
      <c r="B1890" s="10">
        <f t="shared" si="58"/>
        <v>2019</v>
      </c>
      <c r="C1890" s="10">
        <f t="shared" si="59"/>
        <v>2</v>
      </c>
      <c r="D1890" s="20">
        <v>43507</v>
      </c>
      <c r="E1890">
        <v>372.75</v>
      </c>
      <c r="F1890">
        <v>905</v>
      </c>
      <c r="G1890">
        <v>304.89999999999998</v>
      </c>
      <c r="H1890">
        <v>518.25</v>
      </c>
      <c r="I1890">
        <v>30.24</v>
      </c>
      <c r="J1890">
        <v>3.7576000000000001</v>
      </c>
    </row>
    <row r="1891" spans="2:10" x14ac:dyDescent="0.3">
      <c r="B1891" s="10">
        <f t="shared" si="58"/>
        <v>2019</v>
      </c>
      <c r="C1891" s="10">
        <f t="shared" si="59"/>
        <v>2</v>
      </c>
      <c r="D1891" s="20">
        <v>43504</v>
      </c>
      <c r="E1891">
        <v>374.25</v>
      </c>
      <c r="F1891">
        <v>914.5</v>
      </c>
      <c r="G1891">
        <v>306.10000000000002</v>
      </c>
      <c r="H1891">
        <v>517.25</v>
      </c>
      <c r="I1891">
        <v>30.87</v>
      </c>
      <c r="J1891">
        <v>3.7290000000000001</v>
      </c>
    </row>
    <row r="1892" spans="2:10" x14ac:dyDescent="0.3">
      <c r="B1892" s="10">
        <f t="shared" si="58"/>
        <v>2019</v>
      </c>
      <c r="C1892" s="10">
        <f t="shared" si="59"/>
        <v>2</v>
      </c>
      <c r="D1892" s="20">
        <v>43503</v>
      </c>
      <c r="E1892">
        <v>376.5</v>
      </c>
      <c r="F1892">
        <v>913.25</v>
      </c>
      <c r="G1892">
        <v>305.5</v>
      </c>
      <c r="H1892">
        <v>513.25</v>
      </c>
      <c r="I1892">
        <v>30.81</v>
      </c>
      <c r="J1892">
        <v>3.7166000000000001</v>
      </c>
    </row>
    <row r="1893" spans="2:10" x14ac:dyDescent="0.3">
      <c r="B1893" s="10">
        <f t="shared" si="58"/>
        <v>2019</v>
      </c>
      <c r="C1893" s="10">
        <f t="shared" si="59"/>
        <v>2</v>
      </c>
      <c r="D1893" s="20">
        <v>43502</v>
      </c>
      <c r="E1893">
        <v>380</v>
      </c>
      <c r="F1893">
        <v>921.75</v>
      </c>
      <c r="G1893">
        <v>309</v>
      </c>
      <c r="H1893">
        <v>526</v>
      </c>
      <c r="I1893">
        <v>30.9</v>
      </c>
      <c r="J1893">
        <v>3.6981999999999999</v>
      </c>
    </row>
    <row r="1894" spans="2:10" x14ac:dyDescent="0.3">
      <c r="B1894" s="10">
        <f t="shared" si="58"/>
        <v>2019</v>
      </c>
      <c r="C1894" s="10">
        <f t="shared" si="59"/>
        <v>2</v>
      </c>
      <c r="D1894" s="20">
        <v>43501</v>
      </c>
      <c r="E1894">
        <v>380.75</v>
      </c>
      <c r="F1894">
        <v>920.25</v>
      </c>
      <c r="G1894">
        <v>309.5</v>
      </c>
      <c r="H1894">
        <v>527.25</v>
      </c>
      <c r="I1894">
        <v>30.38</v>
      </c>
      <c r="J1894">
        <v>3.6695000000000002</v>
      </c>
    </row>
    <row r="1895" spans="2:10" x14ac:dyDescent="0.3">
      <c r="B1895" s="10">
        <f t="shared" si="58"/>
        <v>2019</v>
      </c>
      <c r="C1895" s="10">
        <f t="shared" si="59"/>
        <v>2</v>
      </c>
      <c r="D1895" s="20">
        <v>43500</v>
      </c>
      <c r="E1895">
        <v>379.25</v>
      </c>
      <c r="F1895">
        <v>918.5</v>
      </c>
      <c r="G1895">
        <v>310.60000000000002</v>
      </c>
      <c r="H1895">
        <v>525.75</v>
      </c>
      <c r="I1895">
        <v>30.13</v>
      </c>
      <c r="J1895">
        <v>3.6686000000000001</v>
      </c>
    </row>
    <row r="1896" spans="2:10" x14ac:dyDescent="0.3">
      <c r="B1896" s="10">
        <f t="shared" si="58"/>
        <v>2019</v>
      </c>
      <c r="C1896" s="10">
        <f t="shared" si="59"/>
        <v>2</v>
      </c>
      <c r="D1896" s="20">
        <v>43497</v>
      </c>
      <c r="E1896">
        <v>378.25</v>
      </c>
      <c r="F1896">
        <v>917.75</v>
      </c>
      <c r="G1896">
        <v>311.8</v>
      </c>
      <c r="H1896">
        <v>524.25</v>
      </c>
      <c r="I1896">
        <v>29.89</v>
      </c>
      <c r="J1896">
        <v>3.6596000000000002</v>
      </c>
    </row>
    <row r="1897" spans="2:10" x14ac:dyDescent="0.3">
      <c r="B1897" s="10">
        <f t="shared" si="58"/>
        <v>2019</v>
      </c>
      <c r="C1897" s="10">
        <f t="shared" si="59"/>
        <v>1</v>
      </c>
      <c r="D1897" s="20">
        <v>43496</v>
      </c>
      <c r="E1897">
        <v>376.5</v>
      </c>
      <c r="F1897">
        <v>915.25</v>
      </c>
      <c r="G1897">
        <v>310</v>
      </c>
      <c r="H1897">
        <v>516.5</v>
      </c>
      <c r="I1897">
        <v>30.17</v>
      </c>
      <c r="J1897">
        <v>3.6438999999999999</v>
      </c>
    </row>
    <row r="1898" spans="2:10" x14ac:dyDescent="0.3">
      <c r="B1898" s="10">
        <f t="shared" si="58"/>
        <v>2019</v>
      </c>
      <c r="C1898" s="10">
        <f t="shared" si="59"/>
        <v>1</v>
      </c>
      <c r="D1898" s="20">
        <v>43495</v>
      </c>
      <c r="E1898">
        <v>381.25</v>
      </c>
      <c r="F1898">
        <v>921</v>
      </c>
      <c r="G1898">
        <v>311.10000000000002</v>
      </c>
      <c r="H1898">
        <v>516.75</v>
      </c>
      <c r="I1898">
        <v>30.42</v>
      </c>
      <c r="J1898">
        <v>3.6848999999999998</v>
      </c>
    </row>
    <row r="1899" spans="2:10" x14ac:dyDescent="0.3">
      <c r="B1899" s="10">
        <f t="shared" si="58"/>
        <v>2019</v>
      </c>
      <c r="C1899" s="10">
        <f t="shared" si="59"/>
        <v>1</v>
      </c>
      <c r="D1899" s="20">
        <v>43494</v>
      </c>
      <c r="E1899">
        <v>377.25</v>
      </c>
      <c r="F1899">
        <v>919</v>
      </c>
      <c r="G1899">
        <v>311.8</v>
      </c>
      <c r="H1899">
        <v>513.25</v>
      </c>
      <c r="I1899">
        <v>30.11</v>
      </c>
      <c r="J1899">
        <v>3.7201</v>
      </c>
    </row>
    <row r="1900" spans="2:10" x14ac:dyDescent="0.3">
      <c r="B1900" s="10">
        <f t="shared" si="58"/>
        <v>2019</v>
      </c>
      <c r="C1900" s="10">
        <f t="shared" si="59"/>
        <v>1</v>
      </c>
      <c r="D1900" s="20">
        <v>43493</v>
      </c>
      <c r="E1900">
        <v>379.75</v>
      </c>
      <c r="F1900">
        <v>923.25</v>
      </c>
      <c r="G1900">
        <v>312.2</v>
      </c>
      <c r="H1900">
        <v>518.75</v>
      </c>
      <c r="I1900">
        <v>30.3</v>
      </c>
      <c r="J1900">
        <v>3.7614000000000001</v>
      </c>
    </row>
    <row r="1901" spans="2:10" x14ac:dyDescent="0.3">
      <c r="B1901" s="10">
        <f t="shared" si="58"/>
        <v>2019</v>
      </c>
      <c r="C1901" s="10">
        <f t="shared" si="59"/>
        <v>1</v>
      </c>
      <c r="D1901" s="20">
        <v>43490</v>
      </c>
      <c r="E1901">
        <v>380.25</v>
      </c>
      <c r="F1901">
        <v>925.25</v>
      </c>
      <c r="G1901">
        <v>313.89999999999998</v>
      </c>
      <c r="H1901">
        <v>520</v>
      </c>
      <c r="I1901">
        <v>30.03</v>
      </c>
      <c r="J1901">
        <v>3.7694999999999999</v>
      </c>
    </row>
    <row r="1902" spans="2:10" x14ac:dyDescent="0.3">
      <c r="B1902" s="10">
        <f t="shared" si="58"/>
        <v>2019</v>
      </c>
      <c r="C1902" s="10">
        <f t="shared" si="59"/>
        <v>1</v>
      </c>
      <c r="D1902" s="20">
        <v>43489</v>
      </c>
      <c r="E1902">
        <v>377</v>
      </c>
      <c r="F1902">
        <v>916</v>
      </c>
      <c r="G1902">
        <v>312.3</v>
      </c>
      <c r="H1902">
        <v>521.5</v>
      </c>
      <c r="I1902">
        <v>29.51</v>
      </c>
      <c r="J1902">
        <v>3.7717999999999998</v>
      </c>
    </row>
    <row r="1903" spans="2:10" x14ac:dyDescent="0.3">
      <c r="B1903" s="10">
        <f t="shared" si="58"/>
        <v>2019</v>
      </c>
      <c r="C1903" s="10">
        <f t="shared" si="59"/>
        <v>1</v>
      </c>
      <c r="D1903" s="20">
        <v>43488</v>
      </c>
      <c r="E1903">
        <v>378.75</v>
      </c>
      <c r="F1903">
        <v>915</v>
      </c>
      <c r="G1903">
        <v>312.89999999999998</v>
      </c>
      <c r="H1903">
        <v>526</v>
      </c>
      <c r="I1903">
        <v>29.38</v>
      </c>
      <c r="J1903">
        <v>3.7648000000000001</v>
      </c>
    </row>
    <row r="1904" spans="2:10" x14ac:dyDescent="0.3">
      <c r="B1904" s="10">
        <f t="shared" si="58"/>
        <v>2019</v>
      </c>
      <c r="C1904" s="10">
        <f t="shared" si="59"/>
        <v>1</v>
      </c>
      <c r="D1904" s="20">
        <v>43487</v>
      </c>
      <c r="E1904">
        <v>379</v>
      </c>
      <c r="F1904">
        <v>909.25</v>
      </c>
      <c r="G1904">
        <v>313</v>
      </c>
      <c r="H1904">
        <v>521.25</v>
      </c>
      <c r="I1904">
        <v>29.06</v>
      </c>
      <c r="J1904">
        <v>3.8142</v>
      </c>
    </row>
    <row r="1905" spans="2:10" x14ac:dyDescent="0.3">
      <c r="B1905" s="10">
        <f t="shared" si="58"/>
        <v>2019</v>
      </c>
      <c r="C1905" s="10">
        <f t="shared" si="59"/>
        <v>1</v>
      </c>
      <c r="D1905" s="20">
        <v>43486</v>
      </c>
      <c r="J1905">
        <v>3.7534999999999998</v>
      </c>
    </row>
    <row r="1906" spans="2:10" x14ac:dyDescent="0.3">
      <c r="B1906" s="10">
        <f t="shared" si="58"/>
        <v>2019</v>
      </c>
      <c r="C1906" s="10">
        <f t="shared" si="59"/>
        <v>1</v>
      </c>
      <c r="D1906" s="20">
        <v>43483</v>
      </c>
      <c r="E1906">
        <v>381.75</v>
      </c>
      <c r="F1906">
        <v>916.75</v>
      </c>
      <c r="G1906">
        <v>315.10000000000002</v>
      </c>
      <c r="H1906">
        <v>517.75</v>
      </c>
      <c r="I1906">
        <v>29.01</v>
      </c>
      <c r="J1906">
        <v>3.7502</v>
      </c>
    </row>
    <row r="1907" spans="2:10" x14ac:dyDescent="0.3">
      <c r="B1907" s="10">
        <f t="shared" si="58"/>
        <v>2019</v>
      </c>
      <c r="C1907" s="10">
        <f t="shared" si="59"/>
        <v>1</v>
      </c>
      <c r="D1907" s="20">
        <v>43482</v>
      </c>
      <c r="E1907">
        <v>380</v>
      </c>
      <c r="F1907">
        <v>907.75</v>
      </c>
      <c r="G1907">
        <v>312.2</v>
      </c>
      <c r="H1907">
        <v>517.75</v>
      </c>
      <c r="I1907">
        <v>28.77</v>
      </c>
      <c r="J1907">
        <v>3.7502</v>
      </c>
    </row>
    <row r="1908" spans="2:10" x14ac:dyDescent="0.3">
      <c r="B1908" s="10">
        <f t="shared" si="58"/>
        <v>2019</v>
      </c>
      <c r="C1908" s="10">
        <f t="shared" si="59"/>
        <v>1</v>
      </c>
      <c r="D1908" s="20">
        <v>43481</v>
      </c>
      <c r="E1908">
        <v>374</v>
      </c>
      <c r="F1908">
        <v>894.5</v>
      </c>
      <c r="G1908">
        <v>310.10000000000002</v>
      </c>
      <c r="H1908">
        <v>512.5</v>
      </c>
      <c r="I1908">
        <v>28.23</v>
      </c>
      <c r="J1908">
        <v>3.7361</v>
      </c>
    </row>
    <row r="1909" spans="2:10" x14ac:dyDescent="0.3">
      <c r="B1909" s="10">
        <f t="shared" si="58"/>
        <v>2019</v>
      </c>
      <c r="C1909" s="10">
        <f t="shared" si="59"/>
        <v>1</v>
      </c>
      <c r="D1909" s="20">
        <v>43480</v>
      </c>
      <c r="E1909">
        <v>371.25</v>
      </c>
      <c r="F1909">
        <v>893.25</v>
      </c>
      <c r="G1909">
        <v>309.3</v>
      </c>
      <c r="H1909">
        <v>511</v>
      </c>
      <c r="I1909">
        <v>28.24</v>
      </c>
      <c r="J1909">
        <v>3.7166999999999999</v>
      </c>
    </row>
    <row r="1910" spans="2:10" x14ac:dyDescent="0.3">
      <c r="B1910" s="10">
        <f t="shared" si="58"/>
        <v>2019</v>
      </c>
      <c r="C1910" s="10">
        <f t="shared" si="59"/>
        <v>1</v>
      </c>
      <c r="D1910" s="20">
        <v>43479</v>
      </c>
      <c r="E1910">
        <v>378.5</v>
      </c>
      <c r="F1910">
        <v>890.75</v>
      </c>
      <c r="G1910">
        <v>306.89999999999998</v>
      </c>
      <c r="H1910">
        <v>514.25</v>
      </c>
      <c r="I1910">
        <v>28.11</v>
      </c>
      <c r="J1910">
        <v>3.6978</v>
      </c>
    </row>
    <row r="1911" spans="2:10" x14ac:dyDescent="0.3">
      <c r="B1911" s="10">
        <f t="shared" si="58"/>
        <v>2019</v>
      </c>
      <c r="C1911" s="10">
        <f t="shared" si="59"/>
        <v>1</v>
      </c>
      <c r="D1911" s="20">
        <v>43476</v>
      </c>
      <c r="E1911">
        <v>378.25</v>
      </c>
      <c r="F1911">
        <v>899.25</v>
      </c>
      <c r="G1911">
        <v>310.39999999999998</v>
      </c>
      <c r="H1911">
        <v>519.5</v>
      </c>
      <c r="I1911">
        <v>28.17</v>
      </c>
      <c r="J1911">
        <v>3.7107999999999999</v>
      </c>
    </row>
    <row r="1912" spans="2:10" x14ac:dyDescent="0.3">
      <c r="B1912" s="10">
        <f t="shared" si="58"/>
        <v>2019</v>
      </c>
      <c r="C1912" s="10">
        <f t="shared" si="59"/>
        <v>1</v>
      </c>
      <c r="D1912" s="20">
        <v>43475</v>
      </c>
      <c r="E1912">
        <v>376.25</v>
      </c>
      <c r="F1912">
        <v>895.5</v>
      </c>
      <c r="G1912">
        <v>312.60000000000002</v>
      </c>
      <c r="H1912">
        <v>513.75</v>
      </c>
      <c r="I1912">
        <v>27.94</v>
      </c>
      <c r="J1912">
        <v>3.7103999999999999</v>
      </c>
    </row>
    <row r="1913" spans="2:10" x14ac:dyDescent="0.3">
      <c r="B1913" s="10">
        <f t="shared" si="58"/>
        <v>2019</v>
      </c>
      <c r="C1913" s="10">
        <f t="shared" si="59"/>
        <v>1</v>
      </c>
      <c r="D1913" s="20">
        <v>43474</v>
      </c>
      <c r="E1913">
        <v>382</v>
      </c>
      <c r="F1913">
        <v>911.5</v>
      </c>
      <c r="G1913">
        <v>319</v>
      </c>
      <c r="H1913">
        <v>520</v>
      </c>
      <c r="I1913">
        <v>28.32</v>
      </c>
      <c r="J1913">
        <v>3.6806000000000001</v>
      </c>
    </row>
    <row r="1914" spans="2:10" x14ac:dyDescent="0.3">
      <c r="B1914" s="10">
        <f t="shared" si="58"/>
        <v>2019</v>
      </c>
      <c r="C1914" s="10">
        <f t="shared" si="59"/>
        <v>1</v>
      </c>
      <c r="D1914" s="20">
        <v>43473</v>
      </c>
      <c r="E1914">
        <v>380</v>
      </c>
      <c r="F1914">
        <v>906.25</v>
      </c>
      <c r="G1914">
        <v>317.60000000000002</v>
      </c>
      <c r="H1914">
        <v>517.75</v>
      </c>
      <c r="I1914">
        <v>28.18</v>
      </c>
      <c r="J1914">
        <v>3.7132000000000001</v>
      </c>
    </row>
    <row r="1915" spans="2:10" x14ac:dyDescent="0.3">
      <c r="B1915" s="10">
        <f t="shared" si="58"/>
        <v>2019</v>
      </c>
      <c r="C1915" s="10">
        <f t="shared" si="59"/>
        <v>1</v>
      </c>
      <c r="D1915" s="20">
        <v>43472</v>
      </c>
      <c r="E1915">
        <v>382.25</v>
      </c>
      <c r="F1915">
        <v>912.25</v>
      </c>
      <c r="G1915">
        <v>318.2</v>
      </c>
      <c r="H1915">
        <v>516.75</v>
      </c>
      <c r="I1915">
        <v>28.26</v>
      </c>
      <c r="J1915">
        <v>3.7351000000000001</v>
      </c>
    </row>
    <row r="1916" spans="2:10" x14ac:dyDescent="0.3">
      <c r="B1916" s="10">
        <f t="shared" si="58"/>
        <v>2019</v>
      </c>
      <c r="C1916" s="10">
        <f t="shared" si="59"/>
        <v>1</v>
      </c>
      <c r="D1916" s="20">
        <v>43469</v>
      </c>
      <c r="E1916">
        <v>383</v>
      </c>
      <c r="F1916">
        <v>909.5</v>
      </c>
      <c r="G1916">
        <v>315.10000000000002</v>
      </c>
      <c r="H1916">
        <v>517</v>
      </c>
      <c r="I1916">
        <v>28.41</v>
      </c>
      <c r="J1916">
        <v>3.7153999999999998</v>
      </c>
    </row>
    <row r="1917" spans="2:10" x14ac:dyDescent="0.3">
      <c r="B1917" s="10">
        <f t="shared" si="58"/>
        <v>2019</v>
      </c>
      <c r="C1917" s="10">
        <f t="shared" si="59"/>
        <v>1</v>
      </c>
      <c r="D1917" s="20">
        <v>43468</v>
      </c>
      <c r="E1917">
        <v>379.75</v>
      </c>
      <c r="F1917">
        <v>900.25</v>
      </c>
      <c r="G1917">
        <v>312.7</v>
      </c>
      <c r="H1917">
        <v>513.75</v>
      </c>
      <c r="I1917">
        <v>28.18</v>
      </c>
      <c r="J1917">
        <v>3.7564000000000002</v>
      </c>
    </row>
    <row r="1918" spans="2:10" x14ac:dyDescent="0.3">
      <c r="B1918" s="10">
        <f t="shared" si="58"/>
        <v>2019</v>
      </c>
      <c r="C1918" s="10">
        <f t="shared" si="59"/>
        <v>1</v>
      </c>
      <c r="D1918" s="20">
        <v>43467</v>
      </c>
      <c r="E1918">
        <v>375.75</v>
      </c>
      <c r="F1918">
        <v>894.75</v>
      </c>
      <c r="G1918">
        <v>311</v>
      </c>
      <c r="H1918">
        <v>506.75</v>
      </c>
      <c r="I1918">
        <v>27.9</v>
      </c>
      <c r="J1918">
        <v>3.7896999999999998</v>
      </c>
    </row>
    <row r="1919" spans="2:10" x14ac:dyDescent="0.3">
      <c r="B1919" s="10">
        <f t="shared" si="58"/>
        <v>2019</v>
      </c>
      <c r="C1919" s="10">
        <f t="shared" si="59"/>
        <v>1</v>
      </c>
      <c r="D1919" s="20">
        <v>43466</v>
      </c>
      <c r="J1919">
        <v>3.8803999999999998</v>
      </c>
    </row>
    <row r="1920" spans="2:10" x14ac:dyDescent="0.3">
      <c r="B1920" s="10">
        <f t="shared" ref="B1920:B1983" si="60">YEAR(D1920)</f>
        <v>2018</v>
      </c>
      <c r="C1920" s="10">
        <f t="shared" ref="C1920:C1983" si="61">MONTH(D1920)</f>
        <v>12</v>
      </c>
      <c r="D1920" s="20">
        <v>43465</v>
      </c>
      <c r="E1920">
        <v>375</v>
      </c>
      <c r="F1920">
        <v>882.5</v>
      </c>
      <c r="G1920">
        <v>306.2</v>
      </c>
      <c r="H1920">
        <v>503.25</v>
      </c>
      <c r="I1920">
        <v>27.55</v>
      </c>
      <c r="J1920">
        <v>3.8803999999999998</v>
      </c>
    </row>
    <row r="1921" spans="2:10" x14ac:dyDescent="0.3">
      <c r="B1921" s="10">
        <f t="shared" si="60"/>
        <v>2018</v>
      </c>
      <c r="C1921" s="10">
        <f t="shared" si="61"/>
        <v>12</v>
      </c>
      <c r="D1921" s="20">
        <v>43462</v>
      </c>
      <c r="E1921">
        <v>375.5</v>
      </c>
      <c r="F1921">
        <v>882.75</v>
      </c>
      <c r="G1921">
        <v>308.89999999999998</v>
      </c>
      <c r="H1921">
        <v>511.5</v>
      </c>
      <c r="I1921">
        <v>27.52</v>
      </c>
      <c r="J1921">
        <v>3.8803999999999998</v>
      </c>
    </row>
    <row r="1922" spans="2:10" x14ac:dyDescent="0.3">
      <c r="B1922" s="10">
        <f t="shared" si="60"/>
        <v>2018</v>
      </c>
      <c r="C1922" s="10">
        <f t="shared" si="61"/>
        <v>12</v>
      </c>
      <c r="D1922" s="20">
        <v>43461</v>
      </c>
      <c r="E1922">
        <v>374.5</v>
      </c>
      <c r="F1922">
        <v>869</v>
      </c>
      <c r="G1922">
        <v>303.89999999999998</v>
      </c>
      <c r="H1922">
        <v>510.5</v>
      </c>
      <c r="I1922">
        <v>27.31</v>
      </c>
      <c r="J1922">
        <v>3.8732000000000002</v>
      </c>
    </row>
    <row r="1923" spans="2:10" x14ac:dyDescent="0.3">
      <c r="B1923" s="10">
        <f t="shared" si="60"/>
        <v>2018</v>
      </c>
      <c r="C1923" s="10">
        <f t="shared" si="61"/>
        <v>12</v>
      </c>
      <c r="D1923" s="20">
        <v>43460</v>
      </c>
      <c r="E1923">
        <v>373.25</v>
      </c>
      <c r="F1923">
        <v>870</v>
      </c>
      <c r="G1923">
        <v>303.39999999999998</v>
      </c>
      <c r="H1923">
        <v>510</v>
      </c>
      <c r="I1923">
        <v>27.36</v>
      </c>
      <c r="J1923">
        <v>3.9218999999999999</v>
      </c>
    </row>
    <row r="1924" spans="2:10" x14ac:dyDescent="0.3">
      <c r="B1924" s="10">
        <f t="shared" si="60"/>
        <v>2018</v>
      </c>
      <c r="C1924" s="10">
        <f t="shared" si="61"/>
        <v>12</v>
      </c>
      <c r="D1924" s="20">
        <v>43459</v>
      </c>
      <c r="J1924">
        <v>3.9035000000000002</v>
      </c>
    </row>
    <row r="1925" spans="2:10" x14ac:dyDescent="0.3">
      <c r="B1925" s="10">
        <f t="shared" si="60"/>
        <v>2018</v>
      </c>
      <c r="C1925" s="10">
        <f t="shared" si="61"/>
        <v>12</v>
      </c>
      <c r="D1925" s="20">
        <v>43458</v>
      </c>
      <c r="E1925">
        <v>377.75</v>
      </c>
      <c r="F1925">
        <v>884</v>
      </c>
      <c r="G1925">
        <v>307.5</v>
      </c>
      <c r="H1925">
        <v>516.5</v>
      </c>
      <c r="I1925">
        <v>27.74</v>
      </c>
      <c r="J1925">
        <v>3.9035000000000002</v>
      </c>
    </row>
    <row r="1926" spans="2:10" x14ac:dyDescent="0.3">
      <c r="B1926" s="10">
        <f t="shared" si="60"/>
        <v>2018</v>
      </c>
      <c r="C1926" s="10">
        <f t="shared" si="61"/>
        <v>12</v>
      </c>
      <c r="D1926" s="20">
        <v>43455</v>
      </c>
      <c r="E1926">
        <v>378.5</v>
      </c>
      <c r="F1926">
        <v>884.75</v>
      </c>
      <c r="G1926">
        <v>305.60000000000002</v>
      </c>
      <c r="H1926">
        <v>514</v>
      </c>
      <c r="I1926">
        <v>27.89</v>
      </c>
      <c r="J1926">
        <v>3.9039000000000001</v>
      </c>
    </row>
    <row r="1927" spans="2:10" x14ac:dyDescent="0.3">
      <c r="B1927" s="10">
        <f t="shared" si="60"/>
        <v>2018</v>
      </c>
      <c r="C1927" s="10">
        <f t="shared" si="61"/>
        <v>12</v>
      </c>
      <c r="D1927" s="20">
        <v>43454</v>
      </c>
      <c r="E1927">
        <v>375.25</v>
      </c>
      <c r="F1927">
        <v>893.5</v>
      </c>
      <c r="G1927">
        <v>307.7</v>
      </c>
      <c r="H1927">
        <v>523.5</v>
      </c>
      <c r="I1927">
        <v>28.2</v>
      </c>
      <c r="J1927">
        <v>3.8418999999999999</v>
      </c>
    </row>
    <row r="1928" spans="2:10" x14ac:dyDescent="0.3">
      <c r="B1928" s="10">
        <f t="shared" si="60"/>
        <v>2018</v>
      </c>
      <c r="C1928" s="10">
        <f t="shared" si="61"/>
        <v>12</v>
      </c>
      <c r="D1928" s="20">
        <v>43453</v>
      </c>
      <c r="E1928">
        <v>381.75</v>
      </c>
      <c r="F1928">
        <v>900</v>
      </c>
      <c r="G1928">
        <v>307.8</v>
      </c>
      <c r="H1928">
        <v>522.5</v>
      </c>
      <c r="I1928">
        <v>28.46</v>
      </c>
      <c r="J1928">
        <v>3.8976000000000002</v>
      </c>
    </row>
    <row r="1929" spans="2:10" x14ac:dyDescent="0.3">
      <c r="B1929" s="10">
        <f t="shared" si="60"/>
        <v>2018</v>
      </c>
      <c r="C1929" s="10">
        <f t="shared" si="61"/>
        <v>12</v>
      </c>
      <c r="D1929" s="20">
        <v>43452</v>
      </c>
      <c r="E1929">
        <v>385.5</v>
      </c>
      <c r="F1929">
        <v>907.75</v>
      </c>
      <c r="G1929">
        <v>310.39999999999998</v>
      </c>
      <c r="H1929">
        <v>532.75</v>
      </c>
      <c r="I1929">
        <v>28.41</v>
      </c>
      <c r="J1929">
        <v>3.9123000000000001</v>
      </c>
    </row>
    <row r="1930" spans="2:10" x14ac:dyDescent="0.3">
      <c r="B1930" s="10">
        <f t="shared" si="60"/>
        <v>2018</v>
      </c>
      <c r="C1930" s="10">
        <f t="shared" si="61"/>
        <v>12</v>
      </c>
      <c r="D1930" s="20">
        <v>43451</v>
      </c>
      <c r="E1930">
        <v>384</v>
      </c>
      <c r="F1930">
        <v>904.75</v>
      </c>
      <c r="G1930">
        <v>309.10000000000002</v>
      </c>
      <c r="H1930">
        <v>535.25</v>
      </c>
      <c r="I1930">
        <v>28.17</v>
      </c>
      <c r="J1930">
        <v>3.8994</v>
      </c>
    </row>
    <row r="1931" spans="2:10" x14ac:dyDescent="0.3">
      <c r="B1931" s="10">
        <f t="shared" si="60"/>
        <v>2018</v>
      </c>
      <c r="C1931" s="10">
        <f t="shared" si="61"/>
        <v>12</v>
      </c>
      <c r="D1931" s="20">
        <v>43448</v>
      </c>
      <c r="E1931">
        <v>376.75</v>
      </c>
      <c r="F1931">
        <v>900.5</v>
      </c>
      <c r="G1931">
        <v>309.39999999999998</v>
      </c>
      <c r="H1931">
        <v>527.75</v>
      </c>
      <c r="I1931">
        <v>28.39</v>
      </c>
      <c r="J1931">
        <v>3.9169999999999998</v>
      </c>
    </row>
    <row r="1932" spans="2:10" x14ac:dyDescent="0.3">
      <c r="B1932" s="10">
        <f t="shared" si="60"/>
        <v>2018</v>
      </c>
      <c r="C1932" s="10">
        <f t="shared" si="61"/>
        <v>12</v>
      </c>
      <c r="D1932" s="20">
        <v>43447</v>
      </c>
      <c r="E1932">
        <v>375.5</v>
      </c>
      <c r="F1932">
        <v>907</v>
      </c>
      <c r="G1932">
        <v>309.39999999999998</v>
      </c>
      <c r="H1932">
        <v>527.75</v>
      </c>
      <c r="I1932">
        <v>28.64</v>
      </c>
      <c r="J1932">
        <v>3.891</v>
      </c>
    </row>
    <row r="1933" spans="2:10" x14ac:dyDescent="0.3">
      <c r="B1933" s="10">
        <f t="shared" si="60"/>
        <v>2018</v>
      </c>
      <c r="C1933" s="10">
        <f t="shared" si="61"/>
        <v>12</v>
      </c>
      <c r="D1933" s="20">
        <v>43446</v>
      </c>
      <c r="E1933">
        <v>376.25</v>
      </c>
      <c r="F1933">
        <v>920</v>
      </c>
      <c r="G1933">
        <v>310.8</v>
      </c>
      <c r="H1933">
        <v>515.25</v>
      </c>
      <c r="I1933">
        <v>28.8</v>
      </c>
      <c r="J1933">
        <v>3.8553999999999999</v>
      </c>
    </row>
    <row r="1934" spans="2:10" x14ac:dyDescent="0.3">
      <c r="B1934" s="10">
        <f t="shared" si="60"/>
        <v>2018</v>
      </c>
      <c r="C1934" s="10">
        <f t="shared" si="61"/>
        <v>12</v>
      </c>
      <c r="D1934" s="20">
        <v>43445</v>
      </c>
      <c r="E1934">
        <v>375</v>
      </c>
      <c r="F1934">
        <v>915</v>
      </c>
      <c r="G1934">
        <v>308.89999999999998</v>
      </c>
      <c r="H1934">
        <v>509.75</v>
      </c>
      <c r="I1934">
        <v>28.71</v>
      </c>
      <c r="J1934">
        <v>3.9039000000000001</v>
      </c>
    </row>
    <row r="1935" spans="2:10" x14ac:dyDescent="0.3">
      <c r="B1935" s="10">
        <f t="shared" si="60"/>
        <v>2018</v>
      </c>
      <c r="C1935" s="10">
        <f t="shared" si="61"/>
        <v>12</v>
      </c>
      <c r="D1935" s="20">
        <v>43444</v>
      </c>
      <c r="E1935">
        <v>374.25</v>
      </c>
      <c r="F1935">
        <v>909.75</v>
      </c>
      <c r="G1935">
        <v>307.89999999999998</v>
      </c>
      <c r="H1935">
        <v>514.75</v>
      </c>
      <c r="I1935">
        <v>28.52</v>
      </c>
      <c r="J1935">
        <v>3.9178000000000002</v>
      </c>
    </row>
    <row r="1936" spans="2:10" x14ac:dyDescent="0.3">
      <c r="B1936" s="10">
        <f t="shared" si="60"/>
        <v>2018</v>
      </c>
      <c r="C1936" s="10">
        <f t="shared" si="61"/>
        <v>12</v>
      </c>
      <c r="D1936" s="20">
        <v>43441</v>
      </c>
      <c r="E1936">
        <v>374</v>
      </c>
      <c r="F1936">
        <v>916.75</v>
      </c>
      <c r="G1936">
        <v>309.10000000000002</v>
      </c>
      <c r="H1936">
        <v>519.5</v>
      </c>
      <c r="I1936">
        <v>28.5</v>
      </c>
      <c r="J1936">
        <v>3.9074</v>
      </c>
    </row>
    <row r="1937" spans="2:10" x14ac:dyDescent="0.3">
      <c r="B1937" s="10">
        <f t="shared" si="60"/>
        <v>2018</v>
      </c>
      <c r="C1937" s="10">
        <f t="shared" si="61"/>
        <v>12</v>
      </c>
      <c r="D1937" s="20">
        <v>43440</v>
      </c>
      <c r="E1937">
        <v>372</v>
      </c>
      <c r="F1937">
        <v>909.5</v>
      </c>
      <c r="G1937">
        <v>310</v>
      </c>
      <c r="H1937">
        <v>505.25</v>
      </c>
      <c r="I1937">
        <v>28.47</v>
      </c>
      <c r="J1937">
        <v>3.8778999999999999</v>
      </c>
    </row>
    <row r="1938" spans="2:10" x14ac:dyDescent="0.3">
      <c r="B1938" s="10">
        <f t="shared" si="60"/>
        <v>2018</v>
      </c>
      <c r="C1938" s="10">
        <f t="shared" si="61"/>
        <v>12</v>
      </c>
      <c r="D1938" s="20">
        <v>43439</v>
      </c>
      <c r="E1938">
        <v>374.25</v>
      </c>
      <c r="F1938">
        <v>913.5</v>
      </c>
      <c r="G1938">
        <v>311.89999999999998</v>
      </c>
      <c r="H1938">
        <v>514.5</v>
      </c>
      <c r="I1938">
        <v>28.57</v>
      </c>
      <c r="J1938">
        <v>3.8681999999999999</v>
      </c>
    </row>
    <row r="1939" spans="2:10" x14ac:dyDescent="0.3">
      <c r="B1939" s="10">
        <f t="shared" si="60"/>
        <v>2018</v>
      </c>
      <c r="C1939" s="10">
        <f t="shared" si="61"/>
        <v>12</v>
      </c>
      <c r="D1939" s="20">
        <v>43438</v>
      </c>
      <c r="E1939">
        <v>374.25</v>
      </c>
      <c r="F1939">
        <v>911.75</v>
      </c>
      <c r="G1939">
        <v>312.7</v>
      </c>
      <c r="H1939">
        <v>519.25</v>
      </c>
      <c r="I1939">
        <v>28.64</v>
      </c>
      <c r="J1939">
        <v>3.8523999999999998</v>
      </c>
    </row>
    <row r="1940" spans="2:10" x14ac:dyDescent="0.3">
      <c r="B1940" s="10">
        <f t="shared" si="60"/>
        <v>2018</v>
      </c>
      <c r="C1940" s="10">
        <f t="shared" si="61"/>
        <v>12</v>
      </c>
      <c r="D1940" s="20">
        <v>43437</v>
      </c>
      <c r="E1940">
        <v>371.25</v>
      </c>
      <c r="F1940">
        <v>905.75</v>
      </c>
      <c r="G1940">
        <v>312.10000000000002</v>
      </c>
      <c r="H1940">
        <v>515.75</v>
      </c>
      <c r="I1940">
        <v>28.31</v>
      </c>
      <c r="J1940">
        <v>3.8408000000000002</v>
      </c>
    </row>
    <row r="1941" spans="2:10" x14ac:dyDescent="0.3">
      <c r="B1941" s="10">
        <f t="shared" si="60"/>
        <v>2018</v>
      </c>
      <c r="C1941" s="10">
        <f t="shared" si="61"/>
        <v>11</v>
      </c>
      <c r="D1941" s="20">
        <v>43434</v>
      </c>
      <c r="E1941">
        <v>366.5</v>
      </c>
      <c r="F1941">
        <v>894.75</v>
      </c>
      <c r="G1941">
        <v>308.3</v>
      </c>
      <c r="H1941">
        <v>515.75</v>
      </c>
      <c r="I1941">
        <v>27.82</v>
      </c>
      <c r="J1941">
        <v>3.8662000000000001</v>
      </c>
    </row>
    <row r="1942" spans="2:10" x14ac:dyDescent="0.3">
      <c r="B1942" s="10">
        <f t="shared" si="60"/>
        <v>2018</v>
      </c>
      <c r="C1942" s="10">
        <f t="shared" si="61"/>
        <v>11</v>
      </c>
      <c r="D1942" s="20">
        <v>43433</v>
      </c>
      <c r="E1942">
        <v>360.25</v>
      </c>
      <c r="F1942">
        <v>887.25</v>
      </c>
      <c r="G1942">
        <v>306.89999999999998</v>
      </c>
      <c r="H1942">
        <v>496.5</v>
      </c>
      <c r="I1942">
        <v>27.68</v>
      </c>
      <c r="J1942">
        <v>3.8515000000000001</v>
      </c>
    </row>
    <row r="1943" spans="2:10" x14ac:dyDescent="0.3">
      <c r="B1943" s="10">
        <f t="shared" si="60"/>
        <v>2018</v>
      </c>
      <c r="C1943" s="10">
        <f t="shared" si="61"/>
        <v>11</v>
      </c>
      <c r="D1943" s="20">
        <v>43432</v>
      </c>
      <c r="E1943">
        <v>360.5</v>
      </c>
      <c r="F1943">
        <v>890.5</v>
      </c>
      <c r="G1943">
        <v>307.89999999999998</v>
      </c>
      <c r="H1943">
        <v>497.5</v>
      </c>
      <c r="I1943">
        <v>27.73</v>
      </c>
      <c r="J1943">
        <v>3.8508</v>
      </c>
    </row>
    <row r="1944" spans="2:10" x14ac:dyDescent="0.3">
      <c r="B1944" s="10">
        <f t="shared" si="60"/>
        <v>2018</v>
      </c>
      <c r="C1944" s="10">
        <f t="shared" si="61"/>
        <v>11</v>
      </c>
      <c r="D1944" s="20">
        <v>43431</v>
      </c>
      <c r="E1944">
        <v>356.5</v>
      </c>
      <c r="F1944">
        <v>875.5</v>
      </c>
      <c r="G1944">
        <v>304.89999999999998</v>
      </c>
      <c r="H1944">
        <v>498</v>
      </c>
      <c r="I1944">
        <v>27.16</v>
      </c>
      <c r="J1944">
        <v>3.875</v>
      </c>
    </row>
    <row r="1945" spans="2:10" x14ac:dyDescent="0.3">
      <c r="B1945" s="10">
        <f t="shared" si="60"/>
        <v>2018</v>
      </c>
      <c r="C1945" s="10">
        <f t="shared" si="61"/>
        <v>11</v>
      </c>
      <c r="D1945" s="20">
        <v>43430</v>
      </c>
      <c r="E1945">
        <v>356</v>
      </c>
      <c r="F1945">
        <v>862.25</v>
      </c>
      <c r="G1945">
        <v>303</v>
      </c>
      <c r="H1945">
        <v>507.5</v>
      </c>
      <c r="I1945">
        <v>26.96</v>
      </c>
      <c r="J1945">
        <v>3.9398</v>
      </c>
    </row>
    <row r="1946" spans="2:10" x14ac:dyDescent="0.3">
      <c r="B1946" s="10">
        <f t="shared" si="60"/>
        <v>2018</v>
      </c>
      <c r="C1946" s="10">
        <f t="shared" si="61"/>
        <v>11</v>
      </c>
      <c r="D1946" s="20">
        <v>43427</v>
      </c>
      <c r="E1946">
        <v>359</v>
      </c>
      <c r="F1946">
        <v>881</v>
      </c>
      <c r="G1946">
        <v>305.8</v>
      </c>
      <c r="H1946">
        <v>499.75</v>
      </c>
      <c r="I1946">
        <v>27.65</v>
      </c>
      <c r="J1946">
        <v>3.8279999999999998</v>
      </c>
    </row>
    <row r="1947" spans="2:10" x14ac:dyDescent="0.3">
      <c r="B1947" s="10">
        <f t="shared" si="60"/>
        <v>2018</v>
      </c>
      <c r="C1947" s="10">
        <f t="shared" si="61"/>
        <v>11</v>
      </c>
      <c r="D1947" s="20">
        <v>43426</v>
      </c>
      <c r="J1947">
        <v>3.8033000000000001</v>
      </c>
    </row>
    <row r="1948" spans="2:10" x14ac:dyDescent="0.3">
      <c r="B1948" s="10">
        <f t="shared" si="60"/>
        <v>2018</v>
      </c>
      <c r="C1948" s="10">
        <f t="shared" si="61"/>
        <v>11</v>
      </c>
      <c r="D1948" s="20">
        <v>43425</v>
      </c>
      <c r="E1948">
        <v>361.75</v>
      </c>
      <c r="F1948">
        <v>883</v>
      </c>
      <c r="G1948">
        <v>306.60000000000002</v>
      </c>
      <c r="H1948">
        <v>498.75</v>
      </c>
      <c r="I1948">
        <v>27.8</v>
      </c>
      <c r="J1948">
        <v>3.7974999999999999</v>
      </c>
    </row>
    <row r="1949" spans="2:10" x14ac:dyDescent="0.3">
      <c r="B1949" s="10">
        <f t="shared" si="60"/>
        <v>2018</v>
      </c>
      <c r="C1949" s="10">
        <f t="shared" si="61"/>
        <v>11</v>
      </c>
      <c r="D1949" s="20">
        <v>43424</v>
      </c>
      <c r="E1949">
        <v>361.25</v>
      </c>
      <c r="F1949">
        <v>881</v>
      </c>
      <c r="G1949">
        <v>307.10000000000002</v>
      </c>
      <c r="H1949">
        <v>500.75</v>
      </c>
      <c r="I1949">
        <v>27.34</v>
      </c>
      <c r="J1949">
        <v>3.7566999999999999</v>
      </c>
    </row>
    <row r="1950" spans="2:10" x14ac:dyDescent="0.3">
      <c r="B1950" s="10">
        <f t="shared" si="60"/>
        <v>2018</v>
      </c>
      <c r="C1950" s="10">
        <f t="shared" si="61"/>
        <v>11</v>
      </c>
      <c r="D1950" s="20">
        <v>43423</v>
      </c>
      <c r="E1950">
        <v>362.25</v>
      </c>
      <c r="F1950">
        <v>873.75</v>
      </c>
      <c r="G1950">
        <v>305.5</v>
      </c>
      <c r="H1950">
        <v>498.5</v>
      </c>
      <c r="I1950">
        <v>27.32</v>
      </c>
      <c r="J1950">
        <v>3.7559999999999998</v>
      </c>
    </row>
    <row r="1951" spans="2:10" x14ac:dyDescent="0.3">
      <c r="B1951" s="10">
        <f t="shared" si="60"/>
        <v>2018</v>
      </c>
      <c r="C1951" s="10">
        <f t="shared" si="61"/>
        <v>11</v>
      </c>
      <c r="D1951" s="20">
        <v>43420</v>
      </c>
      <c r="E1951">
        <v>364.75</v>
      </c>
      <c r="F1951">
        <v>892.25</v>
      </c>
      <c r="G1951">
        <v>310.89999999999998</v>
      </c>
      <c r="H1951">
        <v>506.75</v>
      </c>
      <c r="I1951">
        <v>27.37</v>
      </c>
      <c r="J1951">
        <v>3.7433999999999998</v>
      </c>
    </row>
    <row r="1952" spans="2:10" x14ac:dyDescent="0.3">
      <c r="B1952" s="10">
        <f t="shared" si="60"/>
        <v>2018</v>
      </c>
      <c r="C1952" s="10">
        <f t="shared" si="61"/>
        <v>11</v>
      </c>
      <c r="D1952" s="20">
        <v>43419</v>
      </c>
      <c r="E1952">
        <v>367.5</v>
      </c>
      <c r="F1952">
        <v>888.75</v>
      </c>
      <c r="G1952">
        <v>305.39999999999998</v>
      </c>
      <c r="H1952">
        <v>505.5</v>
      </c>
      <c r="I1952">
        <v>27.69</v>
      </c>
      <c r="J1952">
        <v>3.7839999999999998</v>
      </c>
    </row>
    <row r="1953" spans="2:10" x14ac:dyDescent="0.3">
      <c r="B1953" s="10">
        <f t="shared" si="60"/>
        <v>2018</v>
      </c>
      <c r="C1953" s="10">
        <f t="shared" si="61"/>
        <v>11</v>
      </c>
      <c r="D1953" s="20">
        <v>43418</v>
      </c>
      <c r="E1953">
        <v>367</v>
      </c>
      <c r="F1953">
        <v>870.5</v>
      </c>
      <c r="G1953">
        <v>305.7</v>
      </c>
      <c r="H1953">
        <v>503</v>
      </c>
      <c r="I1953">
        <v>27.57</v>
      </c>
      <c r="J1953">
        <v>3.7839999999999998</v>
      </c>
    </row>
    <row r="1954" spans="2:10" x14ac:dyDescent="0.3">
      <c r="B1954" s="10">
        <f t="shared" si="60"/>
        <v>2018</v>
      </c>
      <c r="C1954" s="10">
        <f t="shared" si="61"/>
        <v>11</v>
      </c>
      <c r="D1954" s="20">
        <v>43417</v>
      </c>
      <c r="E1954">
        <v>366.5</v>
      </c>
      <c r="F1954">
        <v>867.25</v>
      </c>
      <c r="G1954">
        <v>303.89999999999998</v>
      </c>
      <c r="H1954">
        <v>507.75</v>
      </c>
      <c r="I1954">
        <v>27.55</v>
      </c>
      <c r="J1954">
        <v>3.8031000000000001</v>
      </c>
    </row>
    <row r="1955" spans="2:10" x14ac:dyDescent="0.3">
      <c r="B1955" s="10">
        <f t="shared" si="60"/>
        <v>2018</v>
      </c>
      <c r="C1955" s="10">
        <f t="shared" si="61"/>
        <v>11</v>
      </c>
      <c r="D1955" s="20">
        <v>43416</v>
      </c>
      <c r="E1955">
        <v>371.25</v>
      </c>
      <c r="F1955">
        <v>871.75</v>
      </c>
      <c r="G1955">
        <v>305.60000000000002</v>
      </c>
      <c r="H1955">
        <v>519.75</v>
      </c>
      <c r="I1955">
        <v>27.71</v>
      </c>
      <c r="J1955">
        <v>3.7673999999999999</v>
      </c>
    </row>
    <row r="1956" spans="2:10" x14ac:dyDescent="0.3">
      <c r="B1956" s="10">
        <f t="shared" si="60"/>
        <v>2018</v>
      </c>
      <c r="C1956" s="10">
        <f t="shared" si="61"/>
        <v>11</v>
      </c>
      <c r="D1956" s="20">
        <v>43413</v>
      </c>
      <c r="E1956">
        <v>369.75</v>
      </c>
      <c r="F1956">
        <v>875.25</v>
      </c>
      <c r="G1956">
        <v>305.60000000000002</v>
      </c>
      <c r="H1956">
        <v>502</v>
      </c>
      <c r="I1956">
        <v>27.62</v>
      </c>
      <c r="J1956">
        <v>3.7334000000000001</v>
      </c>
    </row>
    <row r="1957" spans="2:10" x14ac:dyDescent="0.3">
      <c r="B1957" s="10">
        <f t="shared" si="60"/>
        <v>2018</v>
      </c>
      <c r="C1957" s="10">
        <f t="shared" si="61"/>
        <v>11</v>
      </c>
      <c r="D1957" s="20">
        <v>43412</v>
      </c>
      <c r="E1957">
        <v>373.5</v>
      </c>
      <c r="F1957">
        <v>867.5</v>
      </c>
      <c r="G1957">
        <v>306.10000000000002</v>
      </c>
      <c r="H1957">
        <v>507.75</v>
      </c>
      <c r="I1957">
        <v>28.02</v>
      </c>
      <c r="J1957">
        <v>3.7604000000000002</v>
      </c>
    </row>
    <row r="1958" spans="2:10" x14ac:dyDescent="0.3">
      <c r="B1958" s="10">
        <f t="shared" si="60"/>
        <v>2018</v>
      </c>
      <c r="C1958" s="10">
        <f t="shared" si="61"/>
        <v>11</v>
      </c>
      <c r="D1958" s="20">
        <v>43411</v>
      </c>
      <c r="E1958">
        <v>372.25</v>
      </c>
      <c r="F1958">
        <v>867.75</v>
      </c>
      <c r="G1958">
        <v>308</v>
      </c>
      <c r="H1958">
        <v>510.25</v>
      </c>
      <c r="I1958">
        <v>28.2</v>
      </c>
      <c r="J1958">
        <v>3.7317</v>
      </c>
    </row>
    <row r="1959" spans="2:10" x14ac:dyDescent="0.3">
      <c r="B1959" s="10">
        <f t="shared" si="60"/>
        <v>2018</v>
      </c>
      <c r="C1959" s="10">
        <f t="shared" si="61"/>
        <v>11</v>
      </c>
      <c r="D1959" s="20">
        <v>43410</v>
      </c>
      <c r="E1959">
        <v>373.25</v>
      </c>
      <c r="F1959">
        <v>872</v>
      </c>
      <c r="G1959">
        <v>311.39999999999998</v>
      </c>
      <c r="H1959">
        <v>512</v>
      </c>
      <c r="I1959">
        <v>27.9</v>
      </c>
      <c r="J1959">
        <v>3.7614000000000001</v>
      </c>
    </row>
    <row r="1960" spans="2:10" x14ac:dyDescent="0.3">
      <c r="B1960" s="10">
        <f t="shared" si="60"/>
        <v>2018</v>
      </c>
      <c r="C1960" s="10">
        <f t="shared" si="61"/>
        <v>11</v>
      </c>
      <c r="D1960" s="20">
        <v>43409</v>
      </c>
      <c r="E1960">
        <v>374</v>
      </c>
      <c r="F1960">
        <v>873</v>
      </c>
      <c r="G1960">
        <v>310.60000000000002</v>
      </c>
      <c r="H1960">
        <v>507.25</v>
      </c>
      <c r="I1960">
        <v>27.9</v>
      </c>
      <c r="J1960">
        <v>3.726</v>
      </c>
    </row>
    <row r="1961" spans="2:10" x14ac:dyDescent="0.3">
      <c r="B1961" s="10">
        <f t="shared" si="60"/>
        <v>2018</v>
      </c>
      <c r="C1961" s="10">
        <f t="shared" si="61"/>
        <v>11</v>
      </c>
      <c r="D1961" s="20">
        <v>43406</v>
      </c>
      <c r="E1961">
        <v>371.25</v>
      </c>
      <c r="F1961">
        <v>875.25</v>
      </c>
      <c r="G1961">
        <v>311</v>
      </c>
      <c r="H1961">
        <v>508.75</v>
      </c>
      <c r="I1961">
        <v>28.2</v>
      </c>
      <c r="J1961">
        <v>3.6964999999999999</v>
      </c>
    </row>
    <row r="1962" spans="2:10" x14ac:dyDescent="0.3">
      <c r="B1962" s="10">
        <f t="shared" si="60"/>
        <v>2018</v>
      </c>
      <c r="C1962" s="10">
        <f t="shared" si="61"/>
        <v>11</v>
      </c>
      <c r="D1962" s="20">
        <v>43405</v>
      </c>
      <c r="E1962">
        <v>366.75</v>
      </c>
      <c r="F1962">
        <v>869</v>
      </c>
      <c r="G1962">
        <v>313.39999999999998</v>
      </c>
      <c r="H1962">
        <v>508</v>
      </c>
      <c r="I1962">
        <v>28.32</v>
      </c>
      <c r="J1962">
        <v>3.7</v>
      </c>
    </row>
    <row r="1963" spans="2:10" x14ac:dyDescent="0.3">
      <c r="B1963" s="10">
        <f t="shared" si="60"/>
        <v>2018</v>
      </c>
      <c r="C1963" s="10">
        <f t="shared" si="61"/>
        <v>10</v>
      </c>
      <c r="D1963" s="20">
        <v>43404</v>
      </c>
      <c r="E1963">
        <v>363.25</v>
      </c>
      <c r="F1963">
        <v>839</v>
      </c>
      <c r="G1963">
        <v>306.39999999999998</v>
      </c>
      <c r="H1963">
        <v>500.5</v>
      </c>
      <c r="I1963">
        <v>28.02</v>
      </c>
      <c r="J1963">
        <v>3.7218</v>
      </c>
    </row>
    <row r="1964" spans="2:10" x14ac:dyDescent="0.3">
      <c r="B1964" s="10">
        <f t="shared" si="60"/>
        <v>2018</v>
      </c>
      <c r="C1964" s="10">
        <f t="shared" si="61"/>
        <v>10</v>
      </c>
      <c r="D1964" s="20">
        <v>43403</v>
      </c>
      <c r="E1964">
        <v>364.75</v>
      </c>
      <c r="F1964">
        <v>833.5</v>
      </c>
      <c r="G1964">
        <v>305.10000000000002</v>
      </c>
      <c r="H1964">
        <v>499.75</v>
      </c>
      <c r="I1964">
        <v>28</v>
      </c>
      <c r="J1964">
        <v>3.6972</v>
      </c>
    </row>
    <row r="1965" spans="2:10" x14ac:dyDescent="0.3">
      <c r="B1965" s="10">
        <f t="shared" si="60"/>
        <v>2018</v>
      </c>
      <c r="C1965" s="10">
        <f t="shared" si="61"/>
        <v>10</v>
      </c>
      <c r="D1965" s="20">
        <v>43402</v>
      </c>
      <c r="E1965">
        <v>366.75</v>
      </c>
      <c r="F1965">
        <v>839</v>
      </c>
      <c r="G1965">
        <v>308.2</v>
      </c>
      <c r="H1965">
        <v>507.25</v>
      </c>
      <c r="I1965">
        <v>27.89</v>
      </c>
      <c r="J1965">
        <v>3.7179000000000002</v>
      </c>
    </row>
    <row r="1966" spans="2:10" x14ac:dyDescent="0.3">
      <c r="B1966" s="10">
        <f t="shared" si="60"/>
        <v>2018</v>
      </c>
      <c r="C1966" s="10">
        <f t="shared" si="61"/>
        <v>10</v>
      </c>
      <c r="D1966" s="20">
        <v>43399</v>
      </c>
      <c r="E1966">
        <v>367.75</v>
      </c>
      <c r="F1966">
        <v>845</v>
      </c>
      <c r="G1966">
        <v>307.3</v>
      </c>
      <c r="H1966">
        <v>505.25</v>
      </c>
      <c r="I1966">
        <v>28.16</v>
      </c>
      <c r="J1966">
        <v>3.6425999999999998</v>
      </c>
    </row>
    <row r="1967" spans="2:10" x14ac:dyDescent="0.3">
      <c r="B1967" s="10">
        <f t="shared" si="60"/>
        <v>2018</v>
      </c>
      <c r="C1967" s="10">
        <f t="shared" si="61"/>
        <v>10</v>
      </c>
      <c r="D1967" s="20">
        <v>43398</v>
      </c>
      <c r="E1967">
        <v>361</v>
      </c>
      <c r="F1967">
        <v>841.75</v>
      </c>
      <c r="G1967">
        <v>304.3</v>
      </c>
      <c r="H1967">
        <v>487.25</v>
      </c>
      <c r="I1967">
        <v>28.39</v>
      </c>
      <c r="J1967">
        <v>3.7046000000000001</v>
      </c>
    </row>
    <row r="1968" spans="2:10" x14ac:dyDescent="0.3">
      <c r="B1968" s="10">
        <f t="shared" si="60"/>
        <v>2018</v>
      </c>
      <c r="C1968" s="10">
        <f t="shared" si="61"/>
        <v>10</v>
      </c>
      <c r="D1968" s="20">
        <v>43397</v>
      </c>
      <c r="E1968">
        <v>368.25</v>
      </c>
      <c r="F1968">
        <v>850.25</v>
      </c>
      <c r="G1968">
        <v>306.10000000000002</v>
      </c>
      <c r="H1968">
        <v>499.5</v>
      </c>
      <c r="I1968">
        <v>28.61</v>
      </c>
      <c r="J1968">
        <v>3.7334999999999998</v>
      </c>
    </row>
    <row r="1969" spans="2:10" x14ac:dyDescent="0.3">
      <c r="B1969" s="10">
        <f t="shared" si="60"/>
        <v>2018</v>
      </c>
      <c r="C1969" s="10">
        <f t="shared" si="61"/>
        <v>10</v>
      </c>
      <c r="D1969" s="20">
        <v>43396</v>
      </c>
      <c r="E1969">
        <v>370.25</v>
      </c>
      <c r="F1969">
        <v>857.5</v>
      </c>
      <c r="G1969">
        <v>310.7</v>
      </c>
      <c r="H1969">
        <v>509</v>
      </c>
      <c r="I1969">
        <v>28.76</v>
      </c>
      <c r="J1969">
        <v>3.6932</v>
      </c>
    </row>
    <row r="1970" spans="2:10" x14ac:dyDescent="0.3">
      <c r="B1970" s="10">
        <f t="shared" si="60"/>
        <v>2018</v>
      </c>
      <c r="C1970" s="10">
        <f t="shared" si="61"/>
        <v>10</v>
      </c>
      <c r="D1970" s="20">
        <v>43395</v>
      </c>
      <c r="E1970">
        <v>369.5</v>
      </c>
      <c r="F1970">
        <v>858.5</v>
      </c>
      <c r="G1970">
        <v>312.8</v>
      </c>
      <c r="H1970">
        <v>508</v>
      </c>
      <c r="I1970">
        <v>29.15</v>
      </c>
      <c r="J1970">
        <v>3.6846000000000001</v>
      </c>
    </row>
    <row r="1971" spans="2:10" x14ac:dyDescent="0.3">
      <c r="B1971" s="10">
        <f t="shared" si="60"/>
        <v>2018</v>
      </c>
      <c r="C1971" s="10">
        <f t="shared" si="61"/>
        <v>10</v>
      </c>
      <c r="D1971" s="20">
        <v>43392</v>
      </c>
      <c r="E1971">
        <v>367</v>
      </c>
      <c r="F1971">
        <v>856.75</v>
      </c>
      <c r="G1971">
        <v>313.10000000000002</v>
      </c>
      <c r="H1971">
        <v>514.75</v>
      </c>
      <c r="I1971">
        <v>29.14</v>
      </c>
      <c r="J1971">
        <v>3.714</v>
      </c>
    </row>
    <row r="1972" spans="2:10" x14ac:dyDescent="0.3">
      <c r="B1972" s="10">
        <f t="shared" si="60"/>
        <v>2018</v>
      </c>
      <c r="C1972" s="10">
        <f t="shared" si="61"/>
        <v>10</v>
      </c>
      <c r="D1972" s="20">
        <v>43391</v>
      </c>
      <c r="E1972">
        <v>370.75</v>
      </c>
      <c r="F1972">
        <v>863.5</v>
      </c>
      <c r="G1972">
        <v>316.3</v>
      </c>
      <c r="H1972">
        <v>513</v>
      </c>
      <c r="I1972">
        <v>29.02</v>
      </c>
      <c r="J1972">
        <v>3.7214</v>
      </c>
    </row>
    <row r="1973" spans="2:10" x14ac:dyDescent="0.3">
      <c r="B1973" s="10">
        <f t="shared" si="60"/>
        <v>2018</v>
      </c>
      <c r="C1973" s="10">
        <f t="shared" si="61"/>
        <v>10</v>
      </c>
      <c r="D1973" s="20">
        <v>43390</v>
      </c>
      <c r="E1973">
        <v>374.25</v>
      </c>
      <c r="F1973">
        <v>885.75</v>
      </c>
      <c r="G1973">
        <v>323.7</v>
      </c>
      <c r="H1973">
        <v>517.5</v>
      </c>
      <c r="I1973">
        <v>29.56</v>
      </c>
      <c r="J1973">
        <v>3.6873</v>
      </c>
    </row>
    <row r="1974" spans="2:10" x14ac:dyDescent="0.3">
      <c r="B1974" s="10">
        <f t="shared" si="60"/>
        <v>2018</v>
      </c>
      <c r="C1974" s="10">
        <f t="shared" si="61"/>
        <v>10</v>
      </c>
      <c r="D1974" s="20">
        <v>43389</v>
      </c>
      <c r="E1974">
        <v>375.25</v>
      </c>
      <c r="F1974">
        <v>884.75</v>
      </c>
      <c r="G1974">
        <v>322.3</v>
      </c>
      <c r="H1974">
        <v>523.5</v>
      </c>
      <c r="I1974">
        <v>29.66</v>
      </c>
      <c r="J1974">
        <v>3.7244000000000002</v>
      </c>
    </row>
    <row r="1975" spans="2:10" x14ac:dyDescent="0.3">
      <c r="B1975" s="10">
        <f t="shared" si="60"/>
        <v>2018</v>
      </c>
      <c r="C1975" s="10">
        <f t="shared" si="61"/>
        <v>10</v>
      </c>
      <c r="D1975" s="20">
        <v>43388</v>
      </c>
      <c r="E1975">
        <v>378.25</v>
      </c>
      <c r="F1975">
        <v>891.5</v>
      </c>
      <c r="G1975">
        <v>327</v>
      </c>
      <c r="H1975">
        <v>525</v>
      </c>
      <c r="I1975">
        <v>29.76</v>
      </c>
      <c r="J1975">
        <v>3.7355</v>
      </c>
    </row>
    <row r="1976" spans="2:10" x14ac:dyDescent="0.3">
      <c r="B1976" s="10">
        <f t="shared" si="60"/>
        <v>2018</v>
      </c>
      <c r="C1976" s="10">
        <f t="shared" si="61"/>
        <v>10</v>
      </c>
      <c r="D1976" s="20">
        <v>43385</v>
      </c>
      <c r="E1976">
        <v>373.75</v>
      </c>
      <c r="F1976">
        <v>867.5</v>
      </c>
      <c r="G1976">
        <v>312.39999999999998</v>
      </c>
      <c r="H1976">
        <v>517.25</v>
      </c>
      <c r="I1976">
        <v>29.04</v>
      </c>
      <c r="J1976">
        <v>3.7825000000000002</v>
      </c>
    </row>
    <row r="1977" spans="2:10" x14ac:dyDescent="0.3">
      <c r="B1977" s="10">
        <f t="shared" si="60"/>
        <v>2018</v>
      </c>
      <c r="C1977" s="10">
        <f t="shared" si="61"/>
        <v>10</v>
      </c>
      <c r="D1977" s="20">
        <v>43384</v>
      </c>
      <c r="E1977">
        <v>369.25</v>
      </c>
      <c r="F1977">
        <v>858.25</v>
      </c>
      <c r="G1977">
        <v>312.8</v>
      </c>
      <c r="H1977">
        <v>508</v>
      </c>
      <c r="I1977">
        <v>28.73</v>
      </c>
      <c r="J1977">
        <v>3.7810000000000001</v>
      </c>
    </row>
    <row r="1978" spans="2:10" x14ac:dyDescent="0.3">
      <c r="B1978" s="10">
        <f t="shared" si="60"/>
        <v>2018</v>
      </c>
      <c r="C1978" s="10">
        <f t="shared" si="61"/>
        <v>10</v>
      </c>
      <c r="D1978" s="20">
        <v>43383</v>
      </c>
      <c r="E1978">
        <v>362.75</v>
      </c>
      <c r="F1978">
        <v>852.25</v>
      </c>
      <c r="G1978">
        <v>312</v>
      </c>
      <c r="H1978">
        <v>510.5</v>
      </c>
      <c r="I1978">
        <v>28.65</v>
      </c>
      <c r="J1978">
        <v>3.7545000000000002</v>
      </c>
    </row>
    <row r="1979" spans="2:10" x14ac:dyDescent="0.3">
      <c r="B1979" s="10">
        <f t="shared" si="60"/>
        <v>2018</v>
      </c>
      <c r="C1979" s="10">
        <f t="shared" si="61"/>
        <v>10</v>
      </c>
      <c r="D1979" s="20">
        <v>43382</v>
      </c>
      <c r="E1979">
        <v>364.5</v>
      </c>
      <c r="F1979">
        <v>863</v>
      </c>
      <c r="G1979">
        <v>313.5</v>
      </c>
      <c r="H1979">
        <v>515</v>
      </c>
      <c r="I1979">
        <v>28.97</v>
      </c>
      <c r="J1979">
        <v>3.7153</v>
      </c>
    </row>
    <row r="1980" spans="2:10" x14ac:dyDescent="0.3">
      <c r="B1980" s="10">
        <f t="shared" si="60"/>
        <v>2018</v>
      </c>
      <c r="C1980" s="10">
        <f t="shared" si="61"/>
        <v>10</v>
      </c>
      <c r="D1980" s="20">
        <v>43381</v>
      </c>
      <c r="E1980">
        <v>366.5</v>
      </c>
      <c r="F1980">
        <v>869.75</v>
      </c>
      <c r="G1980">
        <v>314.2</v>
      </c>
      <c r="H1980">
        <v>514</v>
      </c>
      <c r="I1980">
        <v>29.33</v>
      </c>
      <c r="J1980">
        <v>3.7786</v>
      </c>
    </row>
    <row r="1981" spans="2:10" x14ac:dyDescent="0.3">
      <c r="B1981" s="10">
        <f t="shared" si="60"/>
        <v>2018</v>
      </c>
      <c r="C1981" s="10">
        <f t="shared" si="61"/>
        <v>10</v>
      </c>
      <c r="D1981" s="20">
        <v>43378</v>
      </c>
      <c r="E1981">
        <v>368.25</v>
      </c>
      <c r="F1981">
        <v>869</v>
      </c>
      <c r="G1981">
        <v>315.60000000000002</v>
      </c>
      <c r="H1981">
        <v>521</v>
      </c>
      <c r="I1981">
        <v>29.08</v>
      </c>
      <c r="J1981">
        <v>3.8405999999999998</v>
      </c>
    </row>
    <row r="1982" spans="2:10" x14ac:dyDescent="0.3">
      <c r="B1982" s="10">
        <f t="shared" si="60"/>
        <v>2018</v>
      </c>
      <c r="C1982" s="10">
        <f t="shared" si="61"/>
        <v>10</v>
      </c>
      <c r="D1982" s="20">
        <v>43377</v>
      </c>
      <c r="E1982">
        <v>367.5</v>
      </c>
      <c r="F1982">
        <v>859.25</v>
      </c>
      <c r="G1982">
        <v>308.39999999999998</v>
      </c>
      <c r="H1982">
        <v>518</v>
      </c>
      <c r="I1982">
        <v>29.28</v>
      </c>
      <c r="J1982">
        <v>3.8742999999999999</v>
      </c>
    </row>
    <row r="1983" spans="2:10" x14ac:dyDescent="0.3">
      <c r="B1983" s="10">
        <f t="shared" si="60"/>
        <v>2018</v>
      </c>
      <c r="C1983" s="10">
        <f t="shared" si="61"/>
        <v>10</v>
      </c>
      <c r="D1983" s="20">
        <v>43376</v>
      </c>
      <c r="E1983">
        <v>364.75</v>
      </c>
      <c r="F1983">
        <v>861.5</v>
      </c>
      <c r="G1983">
        <v>307.5</v>
      </c>
      <c r="H1983">
        <v>515.25</v>
      </c>
      <c r="I1983">
        <v>29.52</v>
      </c>
      <c r="J1983">
        <v>3.9007999999999998</v>
      </c>
    </row>
    <row r="1984" spans="2:10" x14ac:dyDescent="0.3">
      <c r="B1984" s="10">
        <f t="shared" ref="B1984:B2047" si="62">YEAR(D1984)</f>
        <v>2018</v>
      </c>
      <c r="C1984" s="10">
        <f t="shared" ref="C1984:C2047" si="63">MONTH(D1984)</f>
        <v>10</v>
      </c>
      <c r="D1984" s="20">
        <v>43375</v>
      </c>
      <c r="E1984">
        <v>367.5</v>
      </c>
      <c r="F1984">
        <v>866</v>
      </c>
      <c r="G1984">
        <v>311.2</v>
      </c>
      <c r="H1984">
        <v>519.25</v>
      </c>
      <c r="I1984">
        <v>29.36</v>
      </c>
      <c r="J1984">
        <v>3.9403999999999999</v>
      </c>
    </row>
    <row r="1985" spans="2:10" x14ac:dyDescent="0.3">
      <c r="B1985" s="10">
        <f t="shared" si="62"/>
        <v>2018</v>
      </c>
      <c r="C1985" s="10">
        <f t="shared" si="63"/>
        <v>10</v>
      </c>
      <c r="D1985" s="20">
        <v>43374</v>
      </c>
      <c r="E1985">
        <v>365.75</v>
      </c>
      <c r="F1985">
        <v>857.75</v>
      </c>
      <c r="G1985">
        <v>310.5</v>
      </c>
      <c r="H1985">
        <v>509.5</v>
      </c>
      <c r="I1985">
        <v>29.01</v>
      </c>
      <c r="J1985">
        <v>4.0175999999999998</v>
      </c>
    </row>
    <row r="1986" spans="2:10" x14ac:dyDescent="0.3">
      <c r="B1986" s="10">
        <f t="shared" si="62"/>
        <v>2018</v>
      </c>
      <c r="C1986" s="10">
        <f t="shared" si="63"/>
        <v>9</v>
      </c>
      <c r="D1986" s="20">
        <v>43371</v>
      </c>
      <c r="E1986">
        <v>356.25</v>
      </c>
      <c r="F1986">
        <v>845.5</v>
      </c>
      <c r="G1986">
        <v>305.39999999999998</v>
      </c>
      <c r="H1986">
        <v>509</v>
      </c>
      <c r="I1986">
        <v>28.68</v>
      </c>
      <c r="J1986">
        <v>4.0476999999999999</v>
      </c>
    </row>
    <row r="1987" spans="2:10" x14ac:dyDescent="0.3">
      <c r="B1987" s="10">
        <f t="shared" si="62"/>
        <v>2018</v>
      </c>
      <c r="C1987" s="10">
        <f t="shared" si="63"/>
        <v>9</v>
      </c>
      <c r="D1987" s="20">
        <v>43370</v>
      </c>
      <c r="E1987">
        <v>364.75</v>
      </c>
      <c r="F1987">
        <v>855</v>
      </c>
      <c r="G1987">
        <v>308.2</v>
      </c>
      <c r="H1987">
        <v>513</v>
      </c>
      <c r="I1987">
        <v>28.86</v>
      </c>
      <c r="J1987">
        <v>4.0119999999999996</v>
      </c>
    </row>
    <row r="1988" spans="2:10" x14ac:dyDescent="0.3">
      <c r="B1988" s="10">
        <f t="shared" si="62"/>
        <v>2018</v>
      </c>
      <c r="C1988" s="10">
        <f t="shared" si="63"/>
        <v>9</v>
      </c>
      <c r="D1988" s="20">
        <v>43369</v>
      </c>
      <c r="E1988">
        <v>363</v>
      </c>
      <c r="F1988">
        <v>850</v>
      </c>
      <c r="G1988">
        <v>307.7</v>
      </c>
      <c r="H1988">
        <v>517.5</v>
      </c>
      <c r="I1988">
        <v>28.48</v>
      </c>
      <c r="J1988">
        <v>4.0309999999999997</v>
      </c>
    </row>
    <row r="1989" spans="2:10" x14ac:dyDescent="0.3">
      <c r="B1989" s="10">
        <f t="shared" si="62"/>
        <v>2018</v>
      </c>
      <c r="C1989" s="10">
        <f t="shared" si="63"/>
        <v>9</v>
      </c>
      <c r="D1989" s="20">
        <v>43368</v>
      </c>
      <c r="E1989">
        <v>363.75</v>
      </c>
      <c r="F1989">
        <v>845.75</v>
      </c>
      <c r="G1989">
        <v>306.2</v>
      </c>
      <c r="H1989">
        <v>520.75</v>
      </c>
      <c r="I1989">
        <v>28.37</v>
      </c>
      <c r="J1989">
        <v>4.0750999999999999</v>
      </c>
    </row>
    <row r="1990" spans="2:10" x14ac:dyDescent="0.3">
      <c r="B1990" s="10">
        <f t="shared" si="62"/>
        <v>2018</v>
      </c>
      <c r="C1990" s="10">
        <f t="shared" si="63"/>
        <v>9</v>
      </c>
      <c r="D1990" s="20">
        <v>43367</v>
      </c>
      <c r="E1990">
        <v>360.5</v>
      </c>
      <c r="F1990">
        <v>841</v>
      </c>
      <c r="G1990">
        <v>304.7</v>
      </c>
      <c r="H1990">
        <v>527</v>
      </c>
      <c r="I1990">
        <v>28.26</v>
      </c>
      <c r="J1990">
        <v>4.0914000000000001</v>
      </c>
    </row>
    <row r="1991" spans="2:10" x14ac:dyDescent="0.3">
      <c r="B1991" s="10">
        <f t="shared" si="62"/>
        <v>2018</v>
      </c>
      <c r="C1991" s="10">
        <f t="shared" si="63"/>
        <v>9</v>
      </c>
      <c r="D1991" s="20">
        <v>43364</v>
      </c>
      <c r="E1991">
        <v>357.25</v>
      </c>
      <c r="F1991">
        <v>847.25</v>
      </c>
      <c r="G1991">
        <v>305.89999999999998</v>
      </c>
      <c r="H1991">
        <v>521.75</v>
      </c>
      <c r="I1991">
        <v>28.09</v>
      </c>
      <c r="J1991">
        <v>4.0510999999999999</v>
      </c>
    </row>
    <row r="1992" spans="2:10" x14ac:dyDescent="0.3">
      <c r="B1992" s="10">
        <f t="shared" si="62"/>
        <v>2018</v>
      </c>
      <c r="C1992" s="10">
        <f t="shared" si="63"/>
        <v>9</v>
      </c>
      <c r="D1992" s="20">
        <v>43363</v>
      </c>
      <c r="E1992">
        <v>352.5</v>
      </c>
      <c r="F1992">
        <v>850.25</v>
      </c>
      <c r="G1992">
        <v>311.39999999999998</v>
      </c>
      <c r="H1992">
        <v>524</v>
      </c>
      <c r="I1992">
        <v>27.6</v>
      </c>
      <c r="J1992">
        <v>4.0766</v>
      </c>
    </row>
    <row r="1993" spans="2:10" x14ac:dyDescent="0.3">
      <c r="B1993" s="10">
        <f t="shared" si="62"/>
        <v>2018</v>
      </c>
      <c r="C1993" s="10">
        <f t="shared" si="63"/>
        <v>9</v>
      </c>
      <c r="D1993" s="20">
        <v>43362</v>
      </c>
      <c r="E1993">
        <v>345.75</v>
      </c>
      <c r="F1993">
        <v>830</v>
      </c>
      <c r="G1993">
        <v>306.39999999999998</v>
      </c>
      <c r="H1993">
        <v>522.5</v>
      </c>
      <c r="I1993">
        <v>27.25</v>
      </c>
      <c r="J1993">
        <v>4.1304999999999996</v>
      </c>
    </row>
    <row r="1994" spans="2:10" x14ac:dyDescent="0.3">
      <c r="B1994" s="10">
        <f t="shared" si="62"/>
        <v>2018</v>
      </c>
      <c r="C1994" s="10">
        <f t="shared" si="63"/>
        <v>9</v>
      </c>
      <c r="D1994" s="20">
        <v>43361</v>
      </c>
      <c r="E1994">
        <v>343.25</v>
      </c>
      <c r="F1994">
        <v>814</v>
      </c>
      <c r="G1994">
        <v>300.5</v>
      </c>
      <c r="H1994">
        <v>510.5</v>
      </c>
      <c r="I1994">
        <v>27.12</v>
      </c>
      <c r="J1994">
        <v>4.1596000000000002</v>
      </c>
    </row>
    <row r="1995" spans="2:10" x14ac:dyDescent="0.3">
      <c r="B1995" s="10">
        <f t="shared" si="62"/>
        <v>2018</v>
      </c>
      <c r="C1995" s="10">
        <f t="shared" si="63"/>
        <v>9</v>
      </c>
      <c r="D1995" s="20">
        <v>43360</v>
      </c>
      <c r="E1995">
        <v>348</v>
      </c>
      <c r="F1995">
        <v>823.5</v>
      </c>
      <c r="G1995">
        <v>302.89999999999998</v>
      </c>
      <c r="H1995">
        <v>506.25</v>
      </c>
      <c r="I1995">
        <v>27.43</v>
      </c>
      <c r="J1995">
        <v>4.1315999999999997</v>
      </c>
    </row>
    <row r="1996" spans="2:10" x14ac:dyDescent="0.3">
      <c r="B1996" s="10">
        <f t="shared" si="62"/>
        <v>2018</v>
      </c>
      <c r="C1996" s="10">
        <f t="shared" si="63"/>
        <v>9</v>
      </c>
      <c r="D1996" s="20">
        <v>43357</v>
      </c>
      <c r="E1996">
        <v>337</v>
      </c>
      <c r="F1996">
        <v>821.5</v>
      </c>
      <c r="G1996">
        <v>307.3</v>
      </c>
      <c r="H1996">
        <v>480</v>
      </c>
      <c r="I1996">
        <v>27.43</v>
      </c>
      <c r="J1996">
        <v>4.1738999999999997</v>
      </c>
    </row>
    <row r="1997" spans="2:10" x14ac:dyDescent="0.3">
      <c r="B1997" s="10">
        <f t="shared" si="62"/>
        <v>2018</v>
      </c>
      <c r="C1997" s="10">
        <f t="shared" si="63"/>
        <v>9</v>
      </c>
      <c r="D1997" s="20">
        <v>43356</v>
      </c>
      <c r="E1997">
        <v>336.25</v>
      </c>
      <c r="F1997">
        <v>822.75</v>
      </c>
      <c r="G1997">
        <v>311.3</v>
      </c>
      <c r="H1997">
        <v>471.75</v>
      </c>
      <c r="I1997">
        <v>27.44</v>
      </c>
      <c r="J1997">
        <v>4.2066999999999997</v>
      </c>
    </row>
    <row r="1998" spans="2:10" x14ac:dyDescent="0.3">
      <c r="B1998" s="10">
        <f t="shared" si="62"/>
        <v>2018</v>
      </c>
      <c r="C1998" s="10">
        <f t="shared" si="63"/>
        <v>9</v>
      </c>
      <c r="D1998" s="20">
        <v>43355</v>
      </c>
      <c r="E1998">
        <v>341.5</v>
      </c>
      <c r="F1998">
        <v>829</v>
      </c>
      <c r="G1998">
        <v>315.7</v>
      </c>
      <c r="H1998">
        <v>481.75</v>
      </c>
      <c r="I1998">
        <v>27.63</v>
      </c>
      <c r="J1998">
        <v>4.1569000000000003</v>
      </c>
    </row>
    <row r="1999" spans="2:10" x14ac:dyDescent="0.3">
      <c r="B1999" s="10">
        <f t="shared" si="62"/>
        <v>2018</v>
      </c>
      <c r="C1999" s="10">
        <f t="shared" si="63"/>
        <v>9</v>
      </c>
      <c r="D1999" s="20">
        <v>43354</v>
      </c>
      <c r="E1999">
        <v>355.25</v>
      </c>
      <c r="F1999">
        <v>820.25</v>
      </c>
      <c r="G1999">
        <v>314.2</v>
      </c>
      <c r="H1999">
        <v>493.75</v>
      </c>
      <c r="I1999">
        <v>27.73</v>
      </c>
      <c r="J1999">
        <v>4.1527000000000003</v>
      </c>
    </row>
    <row r="2000" spans="2:10" x14ac:dyDescent="0.3">
      <c r="B2000" s="10">
        <f t="shared" si="62"/>
        <v>2018</v>
      </c>
      <c r="C2000" s="10">
        <f t="shared" si="63"/>
        <v>9</v>
      </c>
      <c r="D2000" s="20">
        <v>43353</v>
      </c>
      <c r="E2000">
        <v>355.5</v>
      </c>
      <c r="F2000">
        <v>833.5</v>
      </c>
      <c r="G2000">
        <v>315.89999999999998</v>
      </c>
      <c r="H2000">
        <v>504</v>
      </c>
      <c r="I2000">
        <v>28.03</v>
      </c>
      <c r="J2000">
        <v>4.0854999999999997</v>
      </c>
    </row>
    <row r="2001" spans="2:10" x14ac:dyDescent="0.3">
      <c r="B2001" s="10">
        <f t="shared" si="62"/>
        <v>2018</v>
      </c>
      <c r="C2001" s="10">
        <f t="shared" si="63"/>
        <v>9</v>
      </c>
      <c r="D2001" s="20">
        <v>43350</v>
      </c>
      <c r="E2001">
        <v>354.25</v>
      </c>
      <c r="F2001">
        <v>832</v>
      </c>
      <c r="G2001">
        <v>314.2</v>
      </c>
      <c r="H2001">
        <v>486.25</v>
      </c>
      <c r="I2001">
        <v>27.94</v>
      </c>
      <c r="J2001">
        <v>4.0594000000000001</v>
      </c>
    </row>
    <row r="2002" spans="2:10" x14ac:dyDescent="0.3">
      <c r="B2002" s="10">
        <f t="shared" si="62"/>
        <v>2018</v>
      </c>
      <c r="C2002" s="10">
        <f t="shared" si="63"/>
        <v>9</v>
      </c>
      <c r="D2002" s="20">
        <v>43349</v>
      </c>
      <c r="E2002">
        <v>353.5</v>
      </c>
      <c r="F2002">
        <v>826.75</v>
      </c>
      <c r="G2002">
        <v>311</v>
      </c>
      <c r="H2002">
        <v>486</v>
      </c>
      <c r="I2002">
        <v>28.16</v>
      </c>
      <c r="J2002">
        <v>4.0587</v>
      </c>
    </row>
    <row r="2003" spans="2:10" x14ac:dyDescent="0.3">
      <c r="B2003" s="10">
        <f t="shared" si="62"/>
        <v>2018</v>
      </c>
      <c r="C2003" s="10">
        <f t="shared" si="63"/>
        <v>9</v>
      </c>
      <c r="D2003" s="20">
        <v>43348</v>
      </c>
      <c r="E2003">
        <v>351.75</v>
      </c>
      <c r="F2003">
        <v>825.5</v>
      </c>
      <c r="G2003">
        <v>306.2</v>
      </c>
      <c r="H2003">
        <v>493.75</v>
      </c>
      <c r="I2003">
        <v>28.18</v>
      </c>
      <c r="J2003">
        <v>4.1456999999999997</v>
      </c>
    </row>
    <row r="2004" spans="2:10" x14ac:dyDescent="0.3">
      <c r="B2004" s="10">
        <f t="shared" si="62"/>
        <v>2018</v>
      </c>
      <c r="C2004" s="10">
        <f t="shared" si="63"/>
        <v>9</v>
      </c>
      <c r="D2004" s="20">
        <v>43347</v>
      </c>
      <c r="E2004">
        <v>354.5</v>
      </c>
      <c r="F2004">
        <v>832</v>
      </c>
      <c r="G2004">
        <v>308.3</v>
      </c>
      <c r="H2004">
        <v>502.75</v>
      </c>
      <c r="I2004">
        <v>28.39</v>
      </c>
      <c r="J2004">
        <v>4.16</v>
      </c>
    </row>
    <row r="2005" spans="2:10" x14ac:dyDescent="0.3">
      <c r="B2005" s="10">
        <f t="shared" si="62"/>
        <v>2018</v>
      </c>
      <c r="C2005" s="10">
        <f t="shared" si="63"/>
        <v>9</v>
      </c>
      <c r="D2005" s="20">
        <v>43346</v>
      </c>
      <c r="J2005">
        <v>4.1578999999999997</v>
      </c>
    </row>
    <row r="2006" spans="2:10" x14ac:dyDescent="0.3">
      <c r="B2006" s="10">
        <f t="shared" si="62"/>
        <v>2018</v>
      </c>
      <c r="C2006" s="10">
        <f t="shared" si="63"/>
        <v>8</v>
      </c>
      <c r="D2006" s="20">
        <v>43343</v>
      </c>
      <c r="E2006">
        <v>351</v>
      </c>
      <c r="F2006">
        <v>833</v>
      </c>
      <c r="G2006">
        <v>303.7</v>
      </c>
      <c r="H2006">
        <v>518.5</v>
      </c>
      <c r="I2006">
        <v>28.37</v>
      </c>
      <c r="J2006">
        <v>4.0545</v>
      </c>
    </row>
    <row r="2007" spans="2:10" x14ac:dyDescent="0.3">
      <c r="B2007" s="10">
        <f t="shared" si="62"/>
        <v>2018</v>
      </c>
      <c r="C2007" s="10">
        <f t="shared" si="63"/>
        <v>8</v>
      </c>
      <c r="D2007" s="20">
        <v>43342</v>
      </c>
      <c r="E2007">
        <v>341</v>
      </c>
      <c r="F2007">
        <v>819.5</v>
      </c>
      <c r="G2007">
        <v>301.39999999999998</v>
      </c>
      <c r="H2007">
        <v>508</v>
      </c>
      <c r="I2007">
        <v>28.28</v>
      </c>
      <c r="J2007">
        <v>4.1493000000000002</v>
      </c>
    </row>
    <row r="2008" spans="2:10" x14ac:dyDescent="0.3">
      <c r="B2008" s="10">
        <f t="shared" si="62"/>
        <v>2018</v>
      </c>
      <c r="C2008" s="10">
        <f t="shared" si="63"/>
        <v>8</v>
      </c>
      <c r="D2008" s="20">
        <v>43341</v>
      </c>
      <c r="E2008">
        <v>341.25</v>
      </c>
      <c r="F2008">
        <v>823.25</v>
      </c>
      <c r="G2008">
        <v>302.10000000000002</v>
      </c>
      <c r="H2008">
        <v>515.75</v>
      </c>
      <c r="I2008">
        <v>28.03</v>
      </c>
      <c r="J2008">
        <v>4.1064999999999996</v>
      </c>
    </row>
    <row r="2009" spans="2:10" x14ac:dyDescent="0.3">
      <c r="B2009" s="10">
        <f t="shared" si="62"/>
        <v>2018</v>
      </c>
      <c r="C2009" s="10">
        <f t="shared" si="63"/>
        <v>8</v>
      </c>
      <c r="D2009" s="20">
        <v>43340</v>
      </c>
      <c r="E2009">
        <v>341</v>
      </c>
      <c r="F2009">
        <v>820.5</v>
      </c>
      <c r="G2009">
        <v>300.7</v>
      </c>
      <c r="H2009">
        <v>498.25</v>
      </c>
      <c r="I2009">
        <v>28.18</v>
      </c>
      <c r="J2009">
        <v>4.1337000000000002</v>
      </c>
    </row>
    <row r="2010" spans="2:10" x14ac:dyDescent="0.3">
      <c r="B2010" s="10">
        <f t="shared" si="62"/>
        <v>2018</v>
      </c>
      <c r="C2010" s="10">
        <f t="shared" si="63"/>
        <v>8</v>
      </c>
      <c r="D2010" s="20">
        <v>43339</v>
      </c>
      <c r="E2010">
        <v>346.75</v>
      </c>
      <c r="F2010">
        <v>834.75</v>
      </c>
      <c r="G2010">
        <v>306.3</v>
      </c>
      <c r="H2010">
        <v>499.25</v>
      </c>
      <c r="I2010">
        <v>28.37</v>
      </c>
      <c r="J2010">
        <v>4.0772000000000004</v>
      </c>
    </row>
    <row r="2011" spans="2:10" x14ac:dyDescent="0.3">
      <c r="B2011" s="10">
        <f t="shared" si="62"/>
        <v>2018</v>
      </c>
      <c r="C2011" s="10">
        <f t="shared" si="63"/>
        <v>8</v>
      </c>
      <c r="D2011" s="20">
        <v>43336</v>
      </c>
      <c r="E2011">
        <v>348.5</v>
      </c>
      <c r="F2011">
        <v>842</v>
      </c>
      <c r="G2011">
        <v>312.7</v>
      </c>
      <c r="H2011">
        <v>514.75</v>
      </c>
      <c r="I2011">
        <v>28.15</v>
      </c>
      <c r="J2011">
        <v>4.1012000000000004</v>
      </c>
    </row>
    <row r="2012" spans="2:10" x14ac:dyDescent="0.3">
      <c r="B2012" s="10">
        <f t="shared" si="62"/>
        <v>2018</v>
      </c>
      <c r="C2012" s="10">
        <f t="shared" si="63"/>
        <v>8</v>
      </c>
      <c r="D2012" s="20">
        <v>43335</v>
      </c>
      <c r="E2012">
        <v>346.75</v>
      </c>
      <c r="F2012">
        <v>842</v>
      </c>
      <c r="G2012">
        <v>313.7</v>
      </c>
      <c r="H2012">
        <v>522</v>
      </c>
      <c r="I2012">
        <v>28.03</v>
      </c>
      <c r="J2012">
        <v>4.1144999999999996</v>
      </c>
    </row>
    <row r="2013" spans="2:10" x14ac:dyDescent="0.3">
      <c r="B2013" s="10">
        <f t="shared" si="62"/>
        <v>2018</v>
      </c>
      <c r="C2013" s="10">
        <f t="shared" si="63"/>
        <v>8</v>
      </c>
      <c r="D2013" s="20">
        <v>43334</v>
      </c>
      <c r="E2013">
        <v>352.5</v>
      </c>
      <c r="F2013">
        <v>858.25</v>
      </c>
      <c r="G2013">
        <v>321.10000000000002</v>
      </c>
      <c r="H2013">
        <v>526</v>
      </c>
      <c r="I2013">
        <v>28.22</v>
      </c>
      <c r="J2013">
        <v>4.0415000000000001</v>
      </c>
    </row>
    <row r="2014" spans="2:10" x14ac:dyDescent="0.3">
      <c r="B2014" s="10">
        <f t="shared" si="62"/>
        <v>2018</v>
      </c>
      <c r="C2014" s="10">
        <f t="shared" si="63"/>
        <v>8</v>
      </c>
      <c r="D2014" s="20">
        <v>43333</v>
      </c>
      <c r="E2014">
        <v>359.75</v>
      </c>
      <c r="F2014">
        <v>874.5</v>
      </c>
      <c r="G2014">
        <v>324.89999999999998</v>
      </c>
      <c r="H2014">
        <v>527.25</v>
      </c>
      <c r="I2014">
        <v>28.59</v>
      </c>
      <c r="J2014">
        <v>4.0467000000000004</v>
      </c>
    </row>
    <row r="2015" spans="2:10" x14ac:dyDescent="0.3">
      <c r="B2015" s="10">
        <f t="shared" si="62"/>
        <v>2018</v>
      </c>
      <c r="C2015" s="10">
        <f t="shared" si="63"/>
        <v>8</v>
      </c>
      <c r="D2015" s="20">
        <v>43332</v>
      </c>
      <c r="E2015">
        <v>362</v>
      </c>
      <c r="F2015">
        <v>881.75</v>
      </c>
      <c r="G2015">
        <v>328.2</v>
      </c>
      <c r="H2015">
        <v>542.25</v>
      </c>
      <c r="I2015">
        <v>28.54</v>
      </c>
      <c r="J2015">
        <v>3.9691999999999998</v>
      </c>
    </row>
    <row r="2016" spans="2:10" x14ac:dyDescent="0.3">
      <c r="B2016" s="10">
        <f t="shared" si="62"/>
        <v>2018</v>
      </c>
      <c r="C2016" s="10">
        <f t="shared" si="63"/>
        <v>8</v>
      </c>
      <c r="D2016" s="20">
        <v>43329</v>
      </c>
      <c r="E2016">
        <v>364.25</v>
      </c>
      <c r="F2016">
        <v>881.5</v>
      </c>
      <c r="G2016">
        <v>330.1</v>
      </c>
      <c r="H2016">
        <v>560.5</v>
      </c>
      <c r="I2016">
        <v>28.23</v>
      </c>
      <c r="J2016">
        <v>3.9108000000000001</v>
      </c>
    </row>
    <row r="2017" spans="2:10" x14ac:dyDescent="0.3">
      <c r="B2017" s="10">
        <f t="shared" si="62"/>
        <v>2018</v>
      </c>
      <c r="C2017" s="10">
        <f t="shared" si="63"/>
        <v>8</v>
      </c>
      <c r="D2017" s="20">
        <v>43328</v>
      </c>
      <c r="E2017">
        <v>365.25</v>
      </c>
      <c r="F2017">
        <v>885.5</v>
      </c>
      <c r="G2017">
        <v>334.6</v>
      </c>
      <c r="H2017">
        <v>542.25</v>
      </c>
      <c r="I2017">
        <v>28.15</v>
      </c>
      <c r="J2017">
        <v>3.9058999999999999</v>
      </c>
    </row>
    <row r="2018" spans="2:10" x14ac:dyDescent="0.3">
      <c r="B2018" s="10">
        <f t="shared" si="62"/>
        <v>2018</v>
      </c>
      <c r="C2018" s="10">
        <f t="shared" si="63"/>
        <v>8</v>
      </c>
      <c r="D2018" s="20">
        <v>43327</v>
      </c>
      <c r="E2018">
        <v>361.5</v>
      </c>
      <c r="F2018">
        <v>857.5</v>
      </c>
      <c r="G2018">
        <v>329.5</v>
      </c>
      <c r="H2018">
        <v>532.25</v>
      </c>
      <c r="I2018">
        <v>27.88</v>
      </c>
      <c r="J2018">
        <v>3.9053</v>
      </c>
    </row>
    <row r="2019" spans="2:10" x14ac:dyDescent="0.3">
      <c r="B2019" s="10">
        <f t="shared" si="62"/>
        <v>2018</v>
      </c>
      <c r="C2019" s="10">
        <f t="shared" si="63"/>
        <v>8</v>
      </c>
      <c r="D2019" s="20">
        <v>43326</v>
      </c>
      <c r="E2019">
        <v>362.25</v>
      </c>
      <c r="F2019">
        <v>864.5</v>
      </c>
      <c r="G2019">
        <v>335</v>
      </c>
      <c r="H2019">
        <v>541.75</v>
      </c>
      <c r="I2019">
        <v>28.09</v>
      </c>
      <c r="J2019">
        <v>3.8662999999999998</v>
      </c>
    </row>
    <row r="2020" spans="2:10" x14ac:dyDescent="0.3">
      <c r="B2020" s="10">
        <f t="shared" si="62"/>
        <v>2018</v>
      </c>
      <c r="C2020" s="10">
        <f t="shared" si="63"/>
        <v>8</v>
      </c>
      <c r="D2020" s="20">
        <v>43325</v>
      </c>
      <c r="E2020">
        <v>356.5</v>
      </c>
      <c r="F2020">
        <v>853.5</v>
      </c>
      <c r="G2020">
        <v>327.8</v>
      </c>
      <c r="H2020">
        <v>533.5</v>
      </c>
      <c r="I2020">
        <v>28.24</v>
      </c>
      <c r="J2020">
        <v>3.8835999999999999</v>
      </c>
    </row>
    <row r="2021" spans="2:10" x14ac:dyDescent="0.3">
      <c r="B2021" s="10">
        <f t="shared" si="62"/>
        <v>2018</v>
      </c>
      <c r="C2021" s="10">
        <f t="shared" si="63"/>
        <v>8</v>
      </c>
      <c r="D2021" s="20">
        <v>43322</v>
      </c>
      <c r="E2021">
        <v>357.75</v>
      </c>
      <c r="F2021">
        <v>846</v>
      </c>
      <c r="G2021">
        <v>323.5</v>
      </c>
      <c r="H2021">
        <v>546.75</v>
      </c>
      <c r="I2021">
        <v>27.99</v>
      </c>
      <c r="J2021">
        <v>3.8584000000000001</v>
      </c>
    </row>
    <row r="2022" spans="2:10" x14ac:dyDescent="0.3">
      <c r="B2022" s="10">
        <f t="shared" si="62"/>
        <v>2018</v>
      </c>
      <c r="C2022" s="10">
        <f t="shared" si="63"/>
        <v>8</v>
      </c>
      <c r="D2022" s="20">
        <v>43321</v>
      </c>
      <c r="E2022">
        <v>369.25</v>
      </c>
      <c r="F2022">
        <v>887.75</v>
      </c>
      <c r="G2022">
        <v>334</v>
      </c>
      <c r="H2022">
        <v>564.5</v>
      </c>
      <c r="I2022">
        <v>28.42</v>
      </c>
      <c r="J2022">
        <v>3.8007</v>
      </c>
    </row>
    <row r="2023" spans="2:10" x14ac:dyDescent="0.3">
      <c r="B2023" s="10">
        <f t="shared" si="62"/>
        <v>2018</v>
      </c>
      <c r="C2023" s="10">
        <f t="shared" si="63"/>
        <v>8</v>
      </c>
      <c r="D2023" s="20">
        <v>43320</v>
      </c>
      <c r="E2023">
        <v>371.25</v>
      </c>
      <c r="F2023">
        <v>893.75</v>
      </c>
      <c r="G2023">
        <v>337.1</v>
      </c>
      <c r="H2023">
        <v>570</v>
      </c>
      <c r="I2023">
        <v>28.45</v>
      </c>
      <c r="J2023">
        <v>3.7713000000000001</v>
      </c>
    </row>
    <row r="2024" spans="2:10" x14ac:dyDescent="0.3">
      <c r="B2024" s="10">
        <f t="shared" si="62"/>
        <v>2018</v>
      </c>
      <c r="C2024" s="10">
        <f t="shared" si="63"/>
        <v>8</v>
      </c>
      <c r="D2024" s="20">
        <v>43319</v>
      </c>
      <c r="E2024">
        <v>370.75</v>
      </c>
      <c r="F2024">
        <v>889.25</v>
      </c>
      <c r="G2024">
        <v>332.7</v>
      </c>
      <c r="H2024">
        <v>568.25</v>
      </c>
      <c r="I2024">
        <v>28.59</v>
      </c>
      <c r="J2024">
        <v>3.7505000000000002</v>
      </c>
    </row>
    <row r="2025" spans="2:10" x14ac:dyDescent="0.3">
      <c r="B2025" s="10">
        <f t="shared" si="62"/>
        <v>2018</v>
      </c>
      <c r="C2025" s="10">
        <f t="shared" si="63"/>
        <v>8</v>
      </c>
      <c r="D2025" s="20">
        <v>43318</v>
      </c>
      <c r="E2025">
        <v>371</v>
      </c>
      <c r="F2025">
        <v>877.25</v>
      </c>
      <c r="G2025">
        <v>330</v>
      </c>
      <c r="H2025">
        <v>574.5</v>
      </c>
      <c r="I2025">
        <v>28.29</v>
      </c>
      <c r="J2025">
        <v>3.7355999999999998</v>
      </c>
    </row>
    <row r="2026" spans="2:10" x14ac:dyDescent="0.3">
      <c r="B2026" s="10">
        <f t="shared" si="62"/>
        <v>2018</v>
      </c>
      <c r="C2026" s="10">
        <f t="shared" si="63"/>
        <v>8</v>
      </c>
      <c r="D2026" s="20">
        <v>43315</v>
      </c>
      <c r="E2026">
        <v>369.75</v>
      </c>
      <c r="F2026">
        <v>886.25</v>
      </c>
      <c r="G2026">
        <v>332.5</v>
      </c>
      <c r="H2026">
        <v>556.25</v>
      </c>
      <c r="I2026">
        <v>28.35</v>
      </c>
      <c r="J2026">
        <v>3.7069999999999999</v>
      </c>
    </row>
    <row r="2027" spans="2:10" x14ac:dyDescent="0.3">
      <c r="B2027" s="10">
        <f t="shared" si="62"/>
        <v>2018</v>
      </c>
      <c r="C2027" s="10">
        <f t="shared" si="63"/>
        <v>8</v>
      </c>
      <c r="D2027" s="20">
        <v>43314</v>
      </c>
      <c r="E2027">
        <v>366.75</v>
      </c>
      <c r="F2027">
        <v>882.5</v>
      </c>
      <c r="G2027">
        <v>332.8</v>
      </c>
      <c r="H2027">
        <v>560.5</v>
      </c>
      <c r="I2027">
        <v>28.12</v>
      </c>
      <c r="J2027">
        <v>3.7496</v>
      </c>
    </row>
    <row r="2028" spans="2:10" x14ac:dyDescent="0.3">
      <c r="B2028" s="10">
        <f t="shared" si="62"/>
        <v>2018</v>
      </c>
      <c r="C2028" s="10">
        <f t="shared" si="63"/>
        <v>8</v>
      </c>
      <c r="D2028" s="20">
        <v>43313</v>
      </c>
      <c r="E2028">
        <v>365</v>
      </c>
      <c r="F2028">
        <v>886.75</v>
      </c>
      <c r="G2028">
        <v>336.5</v>
      </c>
      <c r="H2028">
        <v>558.25</v>
      </c>
      <c r="I2028">
        <v>28.45</v>
      </c>
      <c r="J2028">
        <v>3.7492000000000001</v>
      </c>
    </row>
    <row r="2029" spans="2:10" x14ac:dyDescent="0.3">
      <c r="B2029" s="10">
        <f t="shared" si="62"/>
        <v>2018</v>
      </c>
      <c r="C2029" s="10">
        <f t="shared" si="63"/>
        <v>7</v>
      </c>
      <c r="D2029" s="20">
        <v>43312</v>
      </c>
      <c r="E2029">
        <v>372.25</v>
      </c>
      <c r="F2029">
        <v>903.75</v>
      </c>
      <c r="G2029">
        <v>341.2</v>
      </c>
      <c r="H2029">
        <v>553.75</v>
      </c>
      <c r="I2029">
        <v>28.73</v>
      </c>
      <c r="J2029">
        <v>3.7557</v>
      </c>
    </row>
    <row r="2030" spans="2:10" x14ac:dyDescent="0.3">
      <c r="B2030" s="10">
        <f t="shared" si="62"/>
        <v>2018</v>
      </c>
      <c r="C2030" s="10">
        <f t="shared" si="63"/>
        <v>7</v>
      </c>
      <c r="D2030" s="20">
        <v>43311</v>
      </c>
      <c r="E2030">
        <v>367.25</v>
      </c>
      <c r="F2030">
        <v>875</v>
      </c>
      <c r="G2030">
        <v>333.9</v>
      </c>
      <c r="H2030">
        <v>546.5</v>
      </c>
      <c r="I2030">
        <v>28.31</v>
      </c>
      <c r="J2030">
        <v>3.7303999999999999</v>
      </c>
    </row>
    <row r="2031" spans="2:10" x14ac:dyDescent="0.3">
      <c r="B2031" s="10">
        <f t="shared" si="62"/>
        <v>2018</v>
      </c>
      <c r="C2031" s="10">
        <f t="shared" si="63"/>
        <v>7</v>
      </c>
      <c r="D2031" s="20">
        <v>43308</v>
      </c>
      <c r="E2031">
        <v>362</v>
      </c>
      <c r="F2031">
        <v>870.5</v>
      </c>
      <c r="G2031">
        <v>332.7</v>
      </c>
      <c r="H2031">
        <v>530.5</v>
      </c>
      <c r="I2031">
        <v>28.56</v>
      </c>
      <c r="J2031">
        <v>3.7099000000000002</v>
      </c>
    </row>
    <row r="2032" spans="2:10" x14ac:dyDescent="0.3">
      <c r="B2032" s="10">
        <f t="shared" si="62"/>
        <v>2018</v>
      </c>
      <c r="C2032" s="10">
        <f t="shared" si="63"/>
        <v>7</v>
      </c>
      <c r="D2032" s="20">
        <v>43307</v>
      </c>
      <c r="E2032">
        <v>361.5</v>
      </c>
      <c r="F2032">
        <v>861.25</v>
      </c>
      <c r="G2032">
        <v>332.6</v>
      </c>
      <c r="H2032">
        <v>536.5</v>
      </c>
      <c r="I2032">
        <v>28.15</v>
      </c>
      <c r="J2032">
        <v>3.7454000000000001</v>
      </c>
    </row>
    <row r="2033" spans="2:10" x14ac:dyDescent="0.3">
      <c r="B2033" s="10">
        <f t="shared" si="62"/>
        <v>2018</v>
      </c>
      <c r="C2033" s="10">
        <f t="shared" si="63"/>
        <v>7</v>
      </c>
      <c r="D2033" s="20">
        <v>43306</v>
      </c>
      <c r="E2033">
        <v>359.25</v>
      </c>
      <c r="F2033">
        <v>860.75</v>
      </c>
      <c r="G2033">
        <v>330</v>
      </c>
      <c r="H2033">
        <v>542.75</v>
      </c>
      <c r="I2033">
        <v>28.41</v>
      </c>
      <c r="J2033">
        <v>3.6877</v>
      </c>
    </row>
    <row r="2034" spans="2:10" x14ac:dyDescent="0.3">
      <c r="B2034" s="10">
        <f t="shared" si="62"/>
        <v>2018</v>
      </c>
      <c r="C2034" s="10">
        <f t="shared" si="63"/>
        <v>7</v>
      </c>
      <c r="D2034" s="20">
        <v>43305</v>
      </c>
      <c r="E2034">
        <v>352</v>
      </c>
      <c r="F2034">
        <v>858</v>
      </c>
      <c r="G2034">
        <v>328.9</v>
      </c>
      <c r="H2034">
        <v>510.25</v>
      </c>
      <c r="I2034">
        <v>28.24</v>
      </c>
      <c r="J2034">
        <v>3.7471000000000001</v>
      </c>
    </row>
    <row r="2035" spans="2:10" x14ac:dyDescent="0.3">
      <c r="B2035" s="10">
        <f t="shared" si="62"/>
        <v>2018</v>
      </c>
      <c r="C2035" s="10">
        <f t="shared" si="63"/>
        <v>7</v>
      </c>
      <c r="D2035" s="20">
        <v>43304</v>
      </c>
      <c r="E2035">
        <v>357.25</v>
      </c>
      <c r="F2035">
        <v>847.75</v>
      </c>
      <c r="G2035">
        <v>328</v>
      </c>
      <c r="H2035">
        <v>513.75</v>
      </c>
      <c r="I2035">
        <v>27.97</v>
      </c>
      <c r="J2035">
        <v>3.7823000000000002</v>
      </c>
    </row>
    <row r="2036" spans="2:10" x14ac:dyDescent="0.3">
      <c r="B2036" s="10">
        <f t="shared" si="62"/>
        <v>2018</v>
      </c>
      <c r="C2036" s="10">
        <f t="shared" si="63"/>
        <v>7</v>
      </c>
      <c r="D2036" s="20">
        <v>43301</v>
      </c>
      <c r="E2036">
        <v>355.25</v>
      </c>
      <c r="F2036">
        <v>849.75</v>
      </c>
      <c r="G2036">
        <v>326.89999999999998</v>
      </c>
      <c r="H2036">
        <v>516</v>
      </c>
      <c r="I2036">
        <v>28.22</v>
      </c>
      <c r="J2036">
        <v>3.7671000000000001</v>
      </c>
    </row>
    <row r="2037" spans="2:10" x14ac:dyDescent="0.3">
      <c r="B2037" s="10">
        <f t="shared" si="62"/>
        <v>2018</v>
      </c>
      <c r="C2037" s="10">
        <f t="shared" si="63"/>
        <v>7</v>
      </c>
      <c r="D2037" s="20">
        <v>43300</v>
      </c>
      <c r="E2037">
        <v>351.25</v>
      </c>
      <c r="F2037">
        <v>846</v>
      </c>
      <c r="G2037">
        <v>328.8</v>
      </c>
      <c r="H2037">
        <v>504.25</v>
      </c>
      <c r="I2037">
        <v>27.83</v>
      </c>
      <c r="J2037">
        <v>3.8290000000000002</v>
      </c>
    </row>
    <row r="2038" spans="2:10" x14ac:dyDescent="0.3">
      <c r="B2038" s="10">
        <f t="shared" si="62"/>
        <v>2018</v>
      </c>
      <c r="C2038" s="10">
        <f t="shared" si="63"/>
        <v>7</v>
      </c>
      <c r="D2038" s="20">
        <v>43299</v>
      </c>
      <c r="E2038">
        <v>347.25</v>
      </c>
      <c r="F2038">
        <v>842.25</v>
      </c>
      <c r="G2038">
        <v>328.2</v>
      </c>
      <c r="H2038">
        <v>494.5</v>
      </c>
      <c r="I2038">
        <v>28.07</v>
      </c>
      <c r="J2038">
        <v>3.8509000000000002</v>
      </c>
    </row>
    <row r="2039" spans="2:10" x14ac:dyDescent="0.3">
      <c r="B2039" s="10">
        <f t="shared" si="62"/>
        <v>2018</v>
      </c>
      <c r="C2039" s="10">
        <f t="shared" si="63"/>
        <v>7</v>
      </c>
      <c r="D2039" s="20">
        <v>43298</v>
      </c>
      <c r="E2039">
        <v>346.25</v>
      </c>
      <c r="F2039">
        <v>839.5</v>
      </c>
      <c r="G2039">
        <v>329.1</v>
      </c>
      <c r="H2039">
        <v>497.75</v>
      </c>
      <c r="I2039">
        <v>27.73</v>
      </c>
      <c r="J2039">
        <v>3.8374999999999999</v>
      </c>
    </row>
    <row r="2040" spans="2:10" x14ac:dyDescent="0.3">
      <c r="B2040" s="10">
        <f t="shared" si="62"/>
        <v>2018</v>
      </c>
      <c r="C2040" s="10">
        <f t="shared" si="63"/>
        <v>7</v>
      </c>
      <c r="D2040" s="20">
        <v>43297</v>
      </c>
      <c r="E2040">
        <v>341.75</v>
      </c>
      <c r="F2040">
        <v>829.5</v>
      </c>
      <c r="G2040">
        <v>329.1</v>
      </c>
      <c r="H2040">
        <v>488.5</v>
      </c>
      <c r="I2040">
        <v>27.64</v>
      </c>
      <c r="J2040">
        <v>3.8597000000000001</v>
      </c>
    </row>
    <row r="2041" spans="2:10" x14ac:dyDescent="0.3">
      <c r="B2041" s="10">
        <f t="shared" si="62"/>
        <v>2018</v>
      </c>
      <c r="C2041" s="10">
        <f t="shared" si="63"/>
        <v>7</v>
      </c>
      <c r="D2041" s="20">
        <v>43294</v>
      </c>
      <c r="E2041">
        <v>330.25</v>
      </c>
      <c r="F2041">
        <v>814</v>
      </c>
      <c r="G2041">
        <v>328.8</v>
      </c>
      <c r="H2041">
        <v>481.5</v>
      </c>
      <c r="I2041">
        <v>27.8</v>
      </c>
      <c r="J2041">
        <v>3.8513999999999999</v>
      </c>
    </row>
    <row r="2042" spans="2:10" x14ac:dyDescent="0.3">
      <c r="B2042" s="10">
        <f t="shared" si="62"/>
        <v>2018</v>
      </c>
      <c r="C2042" s="10">
        <f t="shared" si="63"/>
        <v>7</v>
      </c>
      <c r="D2042" s="20">
        <v>43293</v>
      </c>
      <c r="E2042">
        <v>336.5</v>
      </c>
      <c r="F2042">
        <v>830</v>
      </c>
      <c r="G2042">
        <v>333.4</v>
      </c>
      <c r="H2042">
        <v>482.5</v>
      </c>
      <c r="I2042">
        <v>28.17</v>
      </c>
      <c r="J2042">
        <v>3.8809</v>
      </c>
    </row>
    <row r="2043" spans="2:10" x14ac:dyDescent="0.3">
      <c r="B2043" s="10">
        <f t="shared" si="62"/>
        <v>2018</v>
      </c>
      <c r="C2043" s="10">
        <f t="shared" si="63"/>
        <v>7</v>
      </c>
      <c r="D2043" s="20">
        <v>43292</v>
      </c>
      <c r="E2043">
        <v>331.25</v>
      </c>
      <c r="F2043">
        <v>829.75</v>
      </c>
      <c r="G2043">
        <v>333</v>
      </c>
      <c r="H2043">
        <v>469.75</v>
      </c>
      <c r="I2043">
        <v>28.33</v>
      </c>
      <c r="J2043">
        <v>3.8763999999999998</v>
      </c>
    </row>
    <row r="2044" spans="2:10" x14ac:dyDescent="0.3">
      <c r="B2044" s="10">
        <f t="shared" si="62"/>
        <v>2018</v>
      </c>
      <c r="C2044" s="10">
        <f t="shared" si="63"/>
        <v>7</v>
      </c>
      <c r="D2044" s="20">
        <v>43291</v>
      </c>
      <c r="E2044">
        <v>339.75</v>
      </c>
      <c r="F2044">
        <v>852.25</v>
      </c>
      <c r="G2044">
        <v>334.4</v>
      </c>
      <c r="H2044">
        <v>489.5</v>
      </c>
      <c r="I2044">
        <v>28.88</v>
      </c>
      <c r="J2044">
        <v>3.8142999999999998</v>
      </c>
    </row>
    <row r="2045" spans="2:10" x14ac:dyDescent="0.3">
      <c r="B2045" s="10">
        <f t="shared" si="62"/>
        <v>2018</v>
      </c>
      <c r="C2045" s="10">
        <f t="shared" si="63"/>
        <v>7</v>
      </c>
      <c r="D2045" s="20">
        <v>43290</v>
      </c>
      <c r="E2045">
        <v>345.75</v>
      </c>
      <c r="F2045">
        <v>851.75</v>
      </c>
      <c r="G2045">
        <v>331.8</v>
      </c>
      <c r="H2045">
        <v>507.75</v>
      </c>
      <c r="I2045">
        <v>28.74</v>
      </c>
      <c r="J2045">
        <v>3.8714</v>
      </c>
    </row>
    <row r="2046" spans="2:10" x14ac:dyDescent="0.3">
      <c r="B2046" s="10">
        <f t="shared" si="62"/>
        <v>2018</v>
      </c>
      <c r="C2046" s="10">
        <f t="shared" si="63"/>
        <v>7</v>
      </c>
      <c r="D2046" s="20">
        <v>43287</v>
      </c>
      <c r="E2046">
        <v>351.75</v>
      </c>
      <c r="F2046">
        <v>874</v>
      </c>
      <c r="G2046">
        <v>339.8</v>
      </c>
      <c r="H2046">
        <v>512.75</v>
      </c>
      <c r="I2046">
        <v>28.9</v>
      </c>
      <c r="J2046">
        <v>3.8624000000000001</v>
      </c>
    </row>
    <row r="2047" spans="2:10" x14ac:dyDescent="0.3">
      <c r="B2047" s="10">
        <f t="shared" si="62"/>
        <v>2018</v>
      </c>
      <c r="C2047" s="10">
        <f t="shared" si="63"/>
        <v>7</v>
      </c>
      <c r="D2047" s="20">
        <v>43286</v>
      </c>
      <c r="E2047">
        <v>343.5</v>
      </c>
      <c r="F2047">
        <v>835.5</v>
      </c>
      <c r="G2047">
        <v>328.2</v>
      </c>
      <c r="H2047">
        <v>504</v>
      </c>
      <c r="I2047">
        <v>28.47</v>
      </c>
      <c r="J2047">
        <v>3.9323999999999999</v>
      </c>
    </row>
    <row r="2048" spans="2:10" x14ac:dyDescent="0.3">
      <c r="B2048" s="10">
        <f t="shared" ref="B2048:B2111" si="64">YEAR(D2048)</f>
        <v>2018</v>
      </c>
      <c r="C2048" s="10">
        <f t="shared" ref="C2048:C2111" si="65">MONTH(D2048)</f>
        <v>7</v>
      </c>
      <c r="D2048" s="20">
        <v>43285</v>
      </c>
      <c r="J2048">
        <v>3.9135</v>
      </c>
    </row>
    <row r="2049" spans="2:10" x14ac:dyDescent="0.3">
      <c r="B2049" s="10">
        <f t="shared" si="64"/>
        <v>2018</v>
      </c>
      <c r="C2049" s="10">
        <f t="shared" si="65"/>
        <v>7</v>
      </c>
      <c r="D2049" s="20">
        <v>43284</v>
      </c>
      <c r="E2049">
        <v>342.75</v>
      </c>
      <c r="F2049">
        <v>844</v>
      </c>
      <c r="G2049">
        <v>327.8</v>
      </c>
      <c r="H2049">
        <v>491.5</v>
      </c>
      <c r="I2049">
        <v>28.62</v>
      </c>
      <c r="J2049">
        <v>3.8965999999999998</v>
      </c>
    </row>
    <row r="2050" spans="2:10" x14ac:dyDescent="0.3">
      <c r="B2050" s="10">
        <f t="shared" si="64"/>
        <v>2018</v>
      </c>
      <c r="C2050" s="10">
        <f t="shared" si="65"/>
        <v>7</v>
      </c>
      <c r="D2050" s="20">
        <v>43283</v>
      </c>
      <c r="E2050">
        <v>337.5</v>
      </c>
      <c r="F2050">
        <v>848.5</v>
      </c>
      <c r="G2050">
        <v>329.5</v>
      </c>
      <c r="H2050">
        <v>480.25</v>
      </c>
      <c r="I2050">
        <v>28.77</v>
      </c>
      <c r="J2050">
        <v>3.9117000000000002</v>
      </c>
    </row>
    <row r="2051" spans="2:10" x14ac:dyDescent="0.3">
      <c r="B2051" s="10">
        <f t="shared" si="64"/>
        <v>2018</v>
      </c>
      <c r="C2051" s="10">
        <f t="shared" si="65"/>
        <v>6</v>
      </c>
      <c r="D2051" s="20">
        <v>43280</v>
      </c>
      <c r="E2051">
        <v>350.25</v>
      </c>
      <c r="F2051">
        <v>858.5</v>
      </c>
      <c r="G2051">
        <v>332.8</v>
      </c>
      <c r="H2051">
        <v>497.5</v>
      </c>
      <c r="I2051">
        <v>29.12</v>
      </c>
      <c r="J2051">
        <v>3.8765000000000001</v>
      </c>
    </row>
    <row r="2052" spans="2:10" x14ac:dyDescent="0.3">
      <c r="B2052" s="10">
        <f t="shared" si="64"/>
        <v>2018</v>
      </c>
      <c r="C2052" s="10">
        <f t="shared" si="65"/>
        <v>6</v>
      </c>
      <c r="D2052" s="20">
        <v>43279</v>
      </c>
      <c r="E2052">
        <v>345</v>
      </c>
      <c r="F2052">
        <v>861.25</v>
      </c>
      <c r="G2052">
        <v>331.4</v>
      </c>
      <c r="H2052">
        <v>479.5</v>
      </c>
      <c r="I2052">
        <v>29.01</v>
      </c>
      <c r="J2052">
        <v>3.8612000000000002</v>
      </c>
    </row>
    <row r="2053" spans="2:10" x14ac:dyDescent="0.3">
      <c r="B2053" s="10">
        <f t="shared" si="64"/>
        <v>2018</v>
      </c>
      <c r="C2053" s="10">
        <f t="shared" si="65"/>
        <v>6</v>
      </c>
      <c r="D2053" s="20">
        <v>43278</v>
      </c>
      <c r="E2053">
        <v>352.5</v>
      </c>
      <c r="F2053">
        <v>867.5</v>
      </c>
      <c r="G2053">
        <v>333.9</v>
      </c>
      <c r="H2053">
        <v>479.5</v>
      </c>
      <c r="I2053">
        <v>29.01</v>
      </c>
      <c r="J2053">
        <v>3.8624999999999998</v>
      </c>
    </row>
    <row r="2054" spans="2:10" x14ac:dyDescent="0.3">
      <c r="B2054" s="10">
        <f t="shared" si="64"/>
        <v>2018</v>
      </c>
      <c r="C2054" s="10">
        <f t="shared" si="65"/>
        <v>6</v>
      </c>
      <c r="D2054" s="20">
        <v>43277</v>
      </c>
      <c r="E2054">
        <v>352.5</v>
      </c>
      <c r="F2054">
        <v>867.25</v>
      </c>
      <c r="G2054">
        <v>333.7</v>
      </c>
      <c r="H2054">
        <v>469.5</v>
      </c>
      <c r="I2054">
        <v>28.94</v>
      </c>
      <c r="J2054">
        <v>3.8010999999999999</v>
      </c>
    </row>
    <row r="2055" spans="2:10" x14ac:dyDescent="0.3">
      <c r="B2055" s="10">
        <f t="shared" si="64"/>
        <v>2018</v>
      </c>
      <c r="C2055" s="10">
        <f t="shared" si="65"/>
        <v>6</v>
      </c>
      <c r="D2055" s="20">
        <v>43276</v>
      </c>
      <c r="E2055">
        <v>350.5</v>
      </c>
      <c r="F2055">
        <v>874.5</v>
      </c>
      <c r="G2055">
        <v>332.9</v>
      </c>
      <c r="H2055">
        <v>476.75</v>
      </c>
      <c r="I2055">
        <v>28.94</v>
      </c>
      <c r="J2055">
        <v>3.7753000000000001</v>
      </c>
    </row>
    <row r="2056" spans="2:10" x14ac:dyDescent="0.3">
      <c r="B2056" s="10">
        <f t="shared" si="64"/>
        <v>2018</v>
      </c>
      <c r="C2056" s="10">
        <f t="shared" si="65"/>
        <v>6</v>
      </c>
      <c r="D2056" s="20">
        <v>43273</v>
      </c>
      <c r="E2056">
        <v>357.25</v>
      </c>
      <c r="F2056">
        <v>894.5</v>
      </c>
      <c r="G2056">
        <v>339.1</v>
      </c>
      <c r="H2056">
        <v>491.25</v>
      </c>
      <c r="I2056">
        <v>29.21</v>
      </c>
      <c r="J2056">
        <v>3.7852000000000001</v>
      </c>
    </row>
    <row r="2057" spans="2:10" x14ac:dyDescent="0.3">
      <c r="B2057" s="10">
        <f t="shared" si="64"/>
        <v>2018</v>
      </c>
      <c r="C2057" s="10">
        <f t="shared" si="65"/>
        <v>6</v>
      </c>
      <c r="D2057" s="20">
        <v>43272</v>
      </c>
      <c r="E2057">
        <v>357</v>
      </c>
      <c r="F2057">
        <v>880.5</v>
      </c>
      <c r="G2057">
        <v>331.8</v>
      </c>
      <c r="H2057">
        <v>495.25</v>
      </c>
      <c r="I2057">
        <v>29.19</v>
      </c>
      <c r="J2057">
        <v>3.7675999999999998</v>
      </c>
    </row>
    <row r="2058" spans="2:10" x14ac:dyDescent="0.3">
      <c r="B2058" s="10">
        <f t="shared" si="64"/>
        <v>2018</v>
      </c>
      <c r="C2058" s="10">
        <f t="shared" si="65"/>
        <v>6</v>
      </c>
      <c r="D2058" s="20">
        <v>43271</v>
      </c>
      <c r="E2058">
        <v>354.25</v>
      </c>
      <c r="F2058">
        <v>889.5</v>
      </c>
      <c r="G2058">
        <v>333.2</v>
      </c>
      <c r="H2058">
        <v>488.25</v>
      </c>
      <c r="I2058">
        <v>29.37</v>
      </c>
      <c r="J2058">
        <v>3.7711999999999999</v>
      </c>
    </row>
    <row r="2059" spans="2:10" x14ac:dyDescent="0.3">
      <c r="B2059" s="10">
        <f t="shared" si="64"/>
        <v>2018</v>
      </c>
      <c r="C2059" s="10">
        <f t="shared" si="65"/>
        <v>6</v>
      </c>
      <c r="D2059" s="20">
        <v>43270</v>
      </c>
      <c r="E2059">
        <v>353.75</v>
      </c>
      <c r="F2059">
        <v>889</v>
      </c>
      <c r="G2059">
        <v>334.5</v>
      </c>
      <c r="H2059">
        <v>477.75</v>
      </c>
      <c r="I2059">
        <v>28.85</v>
      </c>
      <c r="J2059">
        <v>3.7461000000000002</v>
      </c>
    </row>
    <row r="2060" spans="2:10" x14ac:dyDescent="0.3">
      <c r="B2060" s="10">
        <f t="shared" si="64"/>
        <v>2018</v>
      </c>
      <c r="C2060" s="10">
        <f t="shared" si="65"/>
        <v>6</v>
      </c>
      <c r="D2060" s="20">
        <v>43269</v>
      </c>
      <c r="E2060">
        <v>356</v>
      </c>
      <c r="F2060">
        <v>908.5</v>
      </c>
      <c r="G2060">
        <v>335.5</v>
      </c>
      <c r="H2060">
        <v>490</v>
      </c>
      <c r="I2060">
        <v>29.57</v>
      </c>
      <c r="J2060">
        <v>3.746</v>
      </c>
    </row>
    <row r="2061" spans="2:10" x14ac:dyDescent="0.3">
      <c r="B2061" s="10">
        <f t="shared" si="64"/>
        <v>2018</v>
      </c>
      <c r="C2061" s="10">
        <f t="shared" si="65"/>
        <v>6</v>
      </c>
      <c r="D2061" s="20">
        <v>43266</v>
      </c>
      <c r="E2061">
        <v>361.25</v>
      </c>
      <c r="F2061">
        <v>905.5</v>
      </c>
      <c r="G2061">
        <v>338.9</v>
      </c>
      <c r="H2061">
        <v>499.5</v>
      </c>
      <c r="I2061">
        <v>29.5</v>
      </c>
      <c r="J2061">
        <v>3.7294</v>
      </c>
    </row>
    <row r="2062" spans="2:10" x14ac:dyDescent="0.3">
      <c r="B2062" s="10">
        <f t="shared" si="64"/>
        <v>2018</v>
      </c>
      <c r="C2062" s="10">
        <f t="shared" si="65"/>
        <v>6</v>
      </c>
      <c r="D2062" s="20">
        <v>43265</v>
      </c>
      <c r="E2062">
        <v>363</v>
      </c>
      <c r="F2062">
        <v>927.25</v>
      </c>
      <c r="G2062">
        <v>343.2</v>
      </c>
      <c r="H2062">
        <v>501.5</v>
      </c>
      <c r="I2062">
        <v>30.14</v>
      </c>
      <c r="J2062">
        <v>3.8052000000000001</v>
      </c>
    </row>
    <row r="2063" spans="2:10" x14ac:dyDescent="0.3">
      <c r="B2063" s="10">
        <f t="shared" si="64"/>
        <v>2018</v>
      </c>
      <c r="C2063" s="10">
        <f t="shared" si="65"/>
        <v>6</v>
      </c>
      <c r="D2063" s="20">
        <v>43264</v>
      </c>
      <c r="E2063">
        <v>376</v>
      </c>
      <c r="F2063">
        <v>936</v>
      </c>
      <c r="G2063">
        <v>347.7</v>
      </c>
      <c r="H2063">
        <v>516.5</v>
      </c>
      <c r="I2063">
        <v>30.08</v>
      </c>
      <c r="J2063">
        <v>3.7195</v>
      </c>
    </row>
    <row r="2064" spans="2:10" x14ac:dyDescent="0.3">
      <c r="B2064" s="10">
        <f t="shared" si="64"/>
        <v>2018</v>
      </c>
      <c r="C2064" s="10">
        <f t="shared" si="65"/>
        <v>6</v>
      </c>
      <c r="D2064" s="20">
        <v>43263</v>
      </c>
      <c r="E2064">
        <v>377.5</v>
      </c>
      <c r="F2064">
        <v>954</v>
      </c>
      <c r="G2064">
        <v>353.5</v>
      </c>
      <c r="H2064">
        <v>534.5</v>
      </c>
      <c r="I2064">
        <v>30.05</v>
      </c>
      <c r="J2064">
        <v>3.7174</v>
      </c>
    </row>
    <row r="2065" spans="2:10" x14ac:dyDescent="0.3">
      <c r="B2065" s="10">
        <f t="shared" si="64"/>
        <v>2018</v>
      </c>
      <c r="C2065" s="10">
        <f t="shared" si="65"/>
        <v>6</v>
      </c>
      <c r="D2065" s="20">
        <v>43262</v>
      </c>
      <c r="E2065">
        <v>367.25</v>
      </c>
      <c r="F2065">
        <v>953.75</v>
      </c>
      <c r="G2065">
        <v>351.2</v>
      </c>
      <c r="H2065">
        <v>514.5</v>
      </c>
      <c r="I2065">
        <v>30.58</v>
      </c>
      <c r="J2065">
        <v>3.7086999999999999</v>
      </c>
    </row>
    <row r="2066" spans="2:10" x14ac:dyDescent="0.3">
      <c r="B2066" s="10">
        <f t="shared" si="64"/>
        <v>2018</v>
      </c>
      <c r="C2066" s="10">
        <f t="shared" si="65"/>
        <v>6</v>
      </c>
      <c r="D2066" s="20">
        <v>43259</v>
      </c>
      <c r="E2066">
        <v>377.75</v>
      </c>
      <c r="F2066">
        <v>969.25</v>
      </c>
      <c r="G2066">
        <v>357.8</v>
      </c>
      <c r="H2066">
        <v>520</v>
      </c>
      <c r="I2066">
        <v>30.52</v>
      </c>
      <c r="J2066">
        <v>3.7090999999999998</v>
      </c>
    </row>
    <row r="2067" spans="2:10" x14ac:dyDescent="0.3">
      <c r="B2067" s="10">
        <f t="shared" si="64"/>
        <v>2018</v>
      </c>
      <c r="C2067" s="10">
        <f t="shared" si="65"/>
        <v>6</v>
      </c>
      <c r="D2067" s="20">
        <v>43258</v>
      </c>
      <c r="E2067">
        <v>376.25</v>
      </c>
      <c r="F2067">
        <v>974.25</v>
      </c>
      <c r="G2067">
        <v>358.4</v>
      </c>
      <c r="H2067">
        <v>526.75</v>
      </c>
      <c r="I2067">
        <v>30.6</v>
      </c>
      <c r="J2067">
        <v>3.9064999999999999</v>
      </c>
    </row>
    <row r="2068" spans="2:10" x14ac:dyDescent="0.3">
      <c r="B2068" s="10">
        <f t="shared" si="64"/>
        <v>2018</v>
      </c>
      <c r="C2068" s="10">
        <f t="shared" si="65"/>
        <v>6</v>
      </c>
      <c r="D2068" s="20">
        <v>43257</v>
      </c>
      <c r="E2068">
        <v>378.25</v>
      </c>
      <c r="F2068">
        <v>994.25</v>
      </c>
      <c r="G2068">
        <v>365</v>
      </c>
      <c r="H2068">
        <v>519.75</v>
      </c>
      <c r="I2068">
        <v>30.65</v>
      </c>
      <c r="J2068">
        <v>3.8477000000000001</v>
      </c>
    </row>
    <row r="2069" spans="2:10" x14ac:dyDescent="0.3">
      <c r="B2069" s="10">
        <f t="shared" si="64"/>
        <v>2018</v>
      </c>
      <c r="C2069" s="10">
        <f t="shared" si="65"/>
        <v>6</v>
      </c>
      <c r="D2069" s="20">
        <v>43256</v>
      </c>
      <c r="E2069">
        <v>383.75</v>
      </c>
      <c r="F2069">
        <v>1001.25</v>
      </c>
      <c r="G2069">
        <v>367.3</v>
      </c>
      <c r="H2069">
        <v>510</v>
      </c>
      <c r="I2069">
        <v>30.79</v>
      </c>
      <c r="J2069">
        <v>3.806</v>
      </c>
    </row>
    <row r="2070" spans="2:10" x14ac:dyDescent="0.3">
      <c r="B2070" s="10">
        <f t="shared" si="64"/>
        <v>2018</v>
      </c>
      <c r="C2070" s="10">
        <f t="shared" si="65"/>
        <v>6</v>
      </c>
      <c r="D2070" s="20">
        <v>43255</v>
      </c>
      <c r="E2070">
        <v>380.75</v>
      </c>
      <c r="F2070">
        <v>1001.75</v>
      </c>
      <c r="G2070">
        <v>368.9</v>
      </c>
      <c r="H2070">
        <v>505.25</v>
      </c>
      <c r="I2070">
        <v>30.93</v>
      </c>
      <c r="J2070">
        <v>3.7462</v>
      </c>
    </row>
    <row r="2071" spans="2:10" x14ac:dyDescent="0.3">
      <c r="B2071" s="10">
        <f t="shared" si="64"/>
        <v>2018</v>
      </c>
      <c r="C2071" s="10">
        <f t="shared" si="65"/>
        <v>6</v>
      </c>
      <c r="D2071" s="20">
        <v>43252</v>
      </c>
      <c r="E2071">
        <v>391.5</v>
      </c>
      <c r="F2071">
        <v>1021.25</v>
      </c>
      <c r="G2071">
        <v>374.2</v>
      </c>
      <c r="H2071">
        <v>523.25</v>
      </c>
      <c r="I2071">
        <v>31.19</v>
      </c>
      <c r="J2071">
        <v>3.7629999999999999</v>
      </c>
    </row>
    <row r="2072" spans="2:10" x14ac:dyDescent="0.3">
      <c r="B2072" s="10">
        <f t="shared" si="64"/>
        <v>2018</v>
      </c>
      <c r="C2072" s="10">
        <f t="shared" si="65"/>
        <v>5</v>
      </c>
      <c r="D2072" s="20">
        <v>43251</v>
      </c>
      <c r="E2072">
        <v>394</v>
      </c>
      <c r="F2072">
        <v>1018.5</v>
      </c>
      <c r="G2072">
        <v>375.3</v>
      </c>
      <c r="H2072">
        <v>526.25</v>
      </c>
      <c r="I2072">
        <v>31.12</v>
      </c>
      <c r="J2072">
        <v>3.7225000000000001</v>
      </c>
    </row>
    <row r="2073" spans="2:10" x14ac:dyDescent="0.3">
      <c r="B2073" s="10">
        <f t="shared" si="64"/>
        <v>2018</v>
      </c>
      <c r="C2073" s="10">
        <f t="shared" si="65"/>
        <v>5</v>
      </c>
      <c r="D2073" s="20">
        <v>43250</v>
      </c>
      <c r="E2073">
        <v>393.5</v>
      </c>
      <c r="F2073">
        <v>1023</v>
      </c>
      <c r="G2073">
        <v>376.9</v>
      </c>
      <c r="H2073">
        <v>522</v>
      </c>
      <c r="I2073">
        <v>31.48</v>
      </c>
      <c r="J2073">
        <v>3.7240000000000002</v>
      </c>
    </row>
    <row r="2074" spans="2:10" x14ac:dyDescent="0.3">
      <c r="B2074" s="10">
        <f t="shared" si="64"/>
        <v>2018</v>
      </c>
      <c r="C2074" s="10">
        <f t="shared" si="65"/>
        <v>5</v>
      </c>
      <c r="D2074" s="20">
        <v>43249</v>
      </c>
      <c r="E2074">
        <v>400</v>
      </c>
      <c r="F2074">
        <v>1030.5</v>
      </c>
      <c r="G2074">
        <v>380.2</v>
      </c>
      <c r="H2074">
        <v>536.5</v>
      </c>
      <c r="I2074">
        <v>31.21</v>
      </c>
      <c r="J2074">
        <v>3.7252000000000001</v>
      </c>
    </row>
    <row r="2075" spans="2:10" x14ac:dyDescent="0.3">
      <c r="B2075" s="10">
        <f t="shared" si="64"/>
        <v>2018</v>
      </c>
      <c r="C2075" s="10">
        <f t="shared" si="65"/>
        <v>5</v>
      </c>
      <c r="D2075" s="20">
        <v>43248</v>
      </c>
      <c r="J2075">
        <v>3.7341000000000002</v>
      </c>
    </row>
    <row r="2076" spans="2:10" x14ac:dyDescent="0.3">
      <c r="B2076" s="10">
        <f t="shared" si="64"/>
        <v>2018</v>
      </c>
      <c r="C2076" s="10">
        <f t="shared" si="65"/>
        <v>5</v>
      </c>
      <c r="D2076" s="20">
        <v>43245</v>
      </c>
      <c r="E2076">
        <v>406</v>
      </c>
      <c r="F2076">
        <v>1041.5</v>
      </c>
      <c r="G2076">
        <v>380.3</v>
      </c>
      <c r="H2076">
        <v>543</v>
      </c>
      <c r="I2076">
        <v>31.34</v>
      </c>
      <c r="J2076">
        <v>3.6514000000000002</v>
      </c>
    </row>
    <row r="2077" spans="2:10" x14ac:dyDescent="0.3">
      <c r="B2077" s="10">
        <f t="shared" si="64"/>
        <v>2018</v>
      </c>
      <c r="C2077" s="10">
        <f t="shared" si="65"/>
        <v>5</v>
      </c>
      <c r="D2077" s="20">
        <v>43244</v>
      </c>
      <c r="E2077">
        <v>404.25</v>
      </c>
      <c r="F2077">
        <v>1035.75</v>
      </c>
      <c r="G2077">
        <v>377.3</v>
      </c>
      <c r="H2077">
        <v>530.25</v>
      </c>
      <c r="I2077">
        <v>31.71</v>
      </c>
      <c r="J2077">
        <v>3.6490999999999998</v>
      </c>
    </row>
    <row r="2078" spans="2:10" x14ac:dyDescent="0.3">
      <c r="B2078" s="10">
        <f t="shared" si="64"/>
        <v>2018</v>
      </c>
      <c r="C2078" s="10">
        <f t="shared" si="65"/>
        <v>5</v>
      </c>
      <c r="D2078" s="20">
        <v>43243</v>
      </c>
      <c r="E2078">
        <v>408.5</v>
      </c>
      <c r="F2078">
        <v>1039.25</v>
      </c>
      <c r="G2078">
        <v>380.7</v>
      </c>
      <c r="H2078">
        <v>531</v>
      </c>
      <c r="I2078">
        <v>31.7</v>
      </c>
      <c r="J2078">
        <v>3.6278999999999999</v>
      </c>
    </row>
    <row r="2079" spans="2:10" x14ac:dyDescent="0.3">
      <c r="B2079" s="10">
        <f t="shared" si="64"/>
        <v>2018</v>
      </c>
      <c r="C2079" s="10">
        <f t="shared" si="65"/>
        <v>5</v>
      </c>
      <c r="D2079" s="20">
        <v>43242</v>
      </c>
      <c r="E2079">
        <v>404.75</v>
      </c>
      <c r="F2079">
        <v>1030.5</v>
      </c>
      <c r="G2079">
        <v>377.5</v>
      </c>
      <c r="H2079">
        <v>521.5</v>
      </c>
      <c r="I2079">
        <v>31.51</v>
      </c>
      <c r="J2079">
        <v>3.6440999999999999</v>
      </c>
    </row>
    <row r="2080" spans="2:10" x14ac:dyDescent="0.3">
      <c r="B2080" s="10">
        <f t="shared" si="64"/>
        <v>2018</v>
      </c>
      <c r="C2080" s="10">
        <f t="shared" si="65"/>
        <v>5</v>
      </c>
      <c r="D2080" s="20">
        <v>43241</v>
      </c>
      <c r="E2080">
        <v>402.75</v>
      </c>
      <c r="F2080">
        <v>1025.25</v>
      </c>
      <c r="G2080">
        <v>379.1</v>
      </c>
      <c r="H2080">
        <v>507.25</v>
      </c>
      <c r="I2080">
        <v>31.42</v>
      </c>
      <c r="J2080">
        <v>3.6768999999999998</v>
      </c>
    </row>
    <row r="2081" spans="2:10" x14ac:dyDescent="0.3">
      <c r="B2081" s="10">
        <f t="shared" si="64"/>
        <v>2018</v>
      </c>
      <c r="C2081" s="10">
        <f t="shared" si="65"/>
        <v>5</v>
      </c>
      <c r="D2081" s="20">
        <v>43238</v>
      </c>
      <c r="E2081">
        <v>402.5</v>
      </c>
      <c r="F2081">
        <v>998.5</v>
      </c>
      <c r="G2081">
        <v>376.3</v>
      </c>
      <c r="H2081">
        <v>518.25</v>
      </c>
      <c r="I2081">
        <v>30.98</v>
      </c>
      <c r="J2081">
        <v>3.7360000000000002</v>
      </c>
    </row>
    <row r="2082" spans="2:10" x14ac:dyDescent="0.3">
      <c r="B2082" s="10">
        <f t="shared" si="64"/>
        <v>2018</v>
      </c>
      <c r="C2082" s="10">
        <f t="shared" si="65"/>
        <v>5</v>
      </c>
      <c r="D2082" s="20">
        <v>43237</v>
      </c>
      <c r="E2082">
        <v>395.25</v>
      </c>
      <c r="F2082">
        <v>995</v>
      </c>
      <c r="G2082">
        <v>375.1</v>
      </c>
      <c r="H2082">
        <v>497.5</v>
      </c>
      <c r="I2082">
        <v>30.94</v>
      </c>
      <c r="J2082">
        <v>3.6960000000000002</v>
      </c>
    </row>
    <row r="2083" spans="2:10" x14ac:dyDescent="0.3">
      <c r="B2083" s="10">
        <f t="shared" si="64"/>
        <v>2018</v>
      </c>
      <c r="C2083" s="10">
        <f t="shared" si="65"/>
        <v>5</v>
      </c>
      <c r="D2083" s="20">
        <v>43236</v>
      </c>
      <c r="E2083">
        <v>399.25</v>
      </c>
      <c r="F2083">
        <v>999.75</v>
      </c>
      <c r="G2083">
        <v>376.6</v>
      </c>
      <c r="H2083">
        <v>494.25</v>
      </c>
      <c r="I2083">
        <v>30.59</v>
      </c>
      <c r="J2083">
        <v>3.6753999999999998</v>
      </c>
    </row>
    <row r="2084" spans="2:10" x14ac:dyDescent="0.3">
      <c r="B2084" s="10">
        <f t="shared" si="64"/>
        <v>2018</v>
      </c>
      <c r="C2084" s="10">
        <f t="shared" si="65"/>
        <v>5</v>
      </c>
      <c r="D2084" s="20">
        <v>43235</v>
      </c>
      <c r="E2084">
        <v>402.25</v>
      </c>
      <c r="F2084">
        <v>1018.75</v>
      </c>
      <c r="G2084">
        <v>382.3</v>
      </c>
      <c r="H2084">
        <v>493.5</v>
      </c>
      <c r="I2084">
        <v>31.12</v>
      </c>
      <c r="J2084">
        <v>3.653</v>
      </c>
    </row>
    <row r="2085" spans="2:10" x14ac:dyDescent="0.3">
      <c r="B2085" s="10">
        <f t="shared" si="64"/>
        <v>2018</v>
      </c>
      <c r="C2085" s="10">
        <f t="shared" si="65"/>
        <v>5</v>
      </c>
      <c r="D2085" s="20">
        <v>43234</v>
      </c>
      <c r="E2085">
        <v>389</v>
      </c>
      <c r="F2085">
        <v>1013</v>
      </c>
      <c r="G2085">
        <v>389.8</v>
      </c>
      <c r="H2085">
        <v>480.5</v>
      </c>
      <c r="I2085">
        <v>31.12</v>
      </c>
      <c r="J2085">
        <v>3.6221000000000001</v>
      </c>
    </row>
    <row r="2086" spans="2:10" x14ac:dyDescent="0.3">
      <c r="B2086" s="10">
        <f t="shared" si="64"/>
        <v>2018</v>
      </c>
      <c r="C2086" s="10">
        <f t="shared" si="65"/>
        <v>5</v>
      </c>
      <c r="D2086" s="20">
        <v>43231</v>
      </c>
      <c r="E2086">
        <v>389.75</v>
      </c>
      <c r="F2086">
        <v>994.75</v>
      </c>
      <c r="G2086">
        <v>382.7</v>
      </c>
      <c r="H2086">
        <v>489.5</v>
      </c>
      <c r="I2086">
        <v>31.17</v>
      </c>
      <c r="J2086">
        <v>3.5991</v>
      </c>
    </row>
    <row r="2087" spans="2:10" x14ac:dyDescent="0.3">
      <c r="B2087" s="10">
        <f t="shared" si="64"/>
        <v>2018</v>
      </c>
      <c r="C2087" s="10">
        <f t="shared" si="65"/>
        <v>5</v>
      </c>
      <c r="D2087" s="20">
        <v>43230</v>
      </c>
      <c r="E2087">
        <v>394.75</v>
      </c>
      <c r="F2087">
        <v>1013.25</v>
      </c>
      <c r="G2087">
        <v>390.5</v>
      </c>
      <c r="H2087">
        <v>507.75</v>
      </c>
      <c r="I2087">
        <v>30.98</v>
      </c>
      <c r="J2087">
        <v>3.5495999999999999</v>
      </c>
    </row>
    <row r="2088" spans="2:10" x14ac:dyDescent="0.3">
      <c r="B2088" s="10">
        <f t="shared" si="64"/>
        <v>2018</v>
      </c>
      <c r="C2088" s="10">
        <f t="shared" si="65"/>
        <v>5</v>
      </c>
      <c r="D2088" s="20">
        <v>43229</v>
      </c>
      <c r="E2088">
        <v>394.75</v>
      </c>
      <c r="F2088">
        <v>1007.25</v>
      </c>
      <c r="G2088">
        <v>389.2</v>
      </c>
      <c r="H2088">
        <v>514.5</v>
      </c>
      <c r="I2088">
        <v>30.87</v>
      </c>
      <c r="J2088">
        <v>3.5918000000000001</v>
      </c>
    </row>
    <row r="2089" spans="2:10" x14ac:dyDescent="0.3">
      <c r="B2089" s="10">
        <f t="shared" si="64"/>
        <v>2018</v>
      </c>
      <c r="C2089" s="10">
        <f t="shared" si="65"/>
        <v>5</v>
      </c>
      <c r="D2089" s="20">
        <v>43228</v>
      </c>
      <c r="E2089">
        <v>395.5</v>
      </c>
      <c r="F2089">
        <v>1011.25</v>
      </c>
      <c r="G2089">
        <v>388.7</v>
      </c>
      <c r="H2089">
        <v>517.75</v>
      </c>
      <c r="I2089">
        <v>30.49</v>
      </c>
      <c r="J2089">
        <v>3.5632000000000001</v>
      </c>
    </row>
    <row r="2090" spans="2:10" x14ac:dyDescent="0.3">
      <c r="B2090" s="10">
        <f t="shared" si="64"/>
        <v>2018</v>
      </c>
      <c r="C2090" s="10">
        <f t="shared" si="65"/>
        <v>5</v>
      </c>
      <c r="D2090" s="20">
        <v>43227</v>
      </c>
      <c r="E2090">
        <v>393.25</v>
      </c>
      <c r="F2090">
        <v>1002.25</v>
      </c>
      <c r="G2090">
        <v>384.8</v>
      </c>
      <c r="H2090">
        <v>514</v>
      </c>
      <c r="I2090">
        <v>30.67</v>
      </c>
      <c r="J2090">
        <v>3.5524</v>
      </c>
    </row>
    <row r="2091" spans="2:10" x14ac:dyDescent="0.3">
      <c r="B2091" s="10">
        <f t="shared" si="64"/>
        <v>2018</v>
      </c>
      <c r="C2091" s="10">
        <f t="shared" si="65"/>
        <v>5</v>
      </c>
      <c r="D2091" s="20">
        <v>43224</v>
      </c>
      <c r="E2091">
        <v>398.75</v>
      </c>
      <c r="F2091">
        <v>1027.25</v>
      </c>
      <c r="G2091">
        <v>394.4</v>
      </c>
      <c r="H2091">
        <v>527.5</v>
      </c>
      <c r="I2091">
        <v>30.56</v>
      </c>
      <c r="J2091">
        <v>3.5291000000000001</v>
      </c>
    </row>
    <row r="2092" spans="2:10" x14ac:dyDescent="0.3">
      <c r="B2092" s="10">
        <f t="shared" si="64"/>
        <v>2018</v>
      </c>
      <c r="C2092" s="10">
        <f t="shared" si="65"/>
        <v>5</v>
      </c>
      <c r="D2092" s="20">
        <v>43223</v>
      </c>
      <c r="E2092">
        <v>399.5</v>
      </c>
      <c r="F2092">
        <v>1043.25</v>
      </c>
      <c r="G2092">
        <v>398.4</v>
      </c>
      <c r="H2092">
        <v>540.5</v>
      </c>
      <c r="I2092">
        <v>30.58</v>
      </c>
      <c r="J2092">
        <v>3.5276000000000001</v>
      </c>
    </row>
    <row r="2093" spans="2:10" x14ac:dyDescent="0.3">
      <c r="B2093" s="10">
        <f t="shared" si="64"/>
        <v>2018</v>
      </c>
      <c r="C2093" s="10">
        <f t="shared" si="65"/>
        <v>5</v>
      </c>
      <c r="D2093" s="20">
        <v>43222</v>
      </c>
      <c r="E2093">
        <v>396</v>
      </c>
      <c r="F2093">
        <v>1032.75</v>
      </c>
      <c r="G2093">
        <v>400</v>
      </c>
      <c r="H2093">
        <v>525.75</v>
      </c>
      <c r="I2093">
        <v>30.37</v>
      </c>
      <c r="J2093">
        <v>3.5512999999999999</v>
      </c>
    </row>
    <row r="2094" spans="2:10" x14ac:dyDescent="0.3">
      <c r="B2094" s="10">
        <f t="shared" si="64"/>
        <v>2018</v>
      </c>
      <c r="C2094" s="10">
        <f t="shared" si="65"/>
        <v>5</v>
      </c>
      <c r="D2094" s="20">
        <v>43221</v>
      </c>
      <c r="E2094">
        <v>396.75</v>
      </c>
      <c r="F2094">
        <v>1042.5</v>
      </c>
      <c r="G2094">
        <v>403</v>
      </c>
      <c r="H2094">
        <v>529.75</v>
      </c>
      <c r="I2094">
        <v>30.08</v>
      </c>
      <c r="J2094">
        <v>3.5070999999999999</v>
      </c>
    </row>
    <row r="2095" spans="2:10" x14ac:dyDescent="0.3">
      <c r="B2095" s="10">
        <f t="shared" si="64"/>
        <v>2018</v>
      </c>
      <c r="C2095" s="10">
        <f t="shared" si="65"/>
        <v>4</v>
      </c>
      <c r="D2095" s="20">
        <v>43220</v>
      </c>
      <c r="E2095">
        <v>392.5</v>
      </c>
      <c r="F2095">
        <v>1037.75</v>
      </c>
      <c r="G2095">
        <v>392.1</v>
      </c>
      <c r="H2095">
        <v>512.5</v>
      </c>
      <c r="I2095">
        <v>30.35</v>
      </c>
      <c r="J2095">
        <v>3.5066000000000002</v>
      </c>
    </row>
    <row r="2096" spans="2:10" x14ac:dyDescent="0.3">
      <c r="B2096" s="10">
        <f t="shared" si="64"/>
        <v>2018</v>
      </c>
      <c r="C2096" s="10">
        <f t="shared" si="65"/>
        <v>4</v>
      </c>
      <c r="D2096" s="20">
        <v>43217</v>
      </c>
      <c r="E2096">
        <v>389.5</v>
      </c>
      <c r="F2096">
        <v>1045</v>
      </c>
      <c r="G2096">
        <v>393.2</v>
      </c>
      <c r="H2096">
        <v>495.5</v>
      </c>
      <c r="I2096">
        <v>30.43</v>
      </c>
      <c r="J2096">
        <v>3.4559000000000002</v>
      </c>
    </row>
    <row r="2097" spans="2:10" x14ac:dyDescent="0.3">
      <c r="B2097" s="10">
        <f t="shared" si="64"/>
        <v>2018</v>
      </c>
      <c r="C2097" s="10">
        <f t="shared" si="65"/>
        <v>4</v>
      </c>
      <c r="D2097" s="20">
        <v>43216</v>
      </c>
      <c r="E2097">
        <v>386</v>
      </c>
      <c r="F2097">
        <v>1028</v>
      </c>
      <c r="G2097">
        <v>379.2</v>
      </c>
      <c r="H2097">
        <v>480.75</v>
      </c>
      <c r="I2097">
        <v>30.81</v>
      </c>
      <c r="J2097">
        <v>3.4744999999999999</v>
      </c>
    </row>
    <row r="2098" spans="2:10" x14ac:dyDescent="0.3">
      <c r="B2098" s="10">
        <f t="shared" si="64"/>
        <v>2018</v>
      </c>
      <c r="C2098" s="10">
        <f t="shared" si="65"/>
        <v>4</v>
      </c>
      <c r="D2098" s="20">
        <v>43215</v>
      </c>
      <c r="E2098">
        <v>386.5</v>
      </c>
      <c r="F2098">
        <v>1027.5</v>
      </c>
      <c r="G2098">
        <v>376.2</v>
      </c>
      <c r="H2098">
        <v>486.25</v>
      </c>
      <c r="I2098">
        <v>30.79</v>
      </c>
      <c r="J2098">
        <v>3.4843000000000002</v>
      </c>
    </row>
    <row r="2099" spans="2:10" x14ac:dyDescent="0.3">
      <c r="B2099" s="10">
        <f t="shared" si="64"/>
        <v>2018</v>
      </c>
      <c r="C2099" s="10">
        <f t="shared" si="65"/>
        <v>4</v>
      </c>
      <c r="D2099" s="20">
        <v>43214</v>
      </c>
      <c r="E2099">
        <v>381.25</v>
      </c>
      <c r="F2099">
        <v>1022.25</v>
      </c>
      <c r="G2099">
        <v>372.1</v>
      </c>
      <c r="H2099">
        <v>472.5</v>
      </c>
      <c r="I2099">
        <v>31.01</v>
      </c>
      <c r="J2099">
        <v>3.4708999999999999</v>
      </c>
    </row>
    <row r="2100" spans="2:10" x14ac:dyDescent="0.3">
      <c r="B2100" s="10">
        <f t="shared" si="64"/>
        <v>2018</v>
      </c>
      <c r="C2100" s="10">
        <f t="shared" si="65"/>
        <v>4</v>
      </c>
      <c r="D2100" s="20">
        <v>43213</v>
      </c>
      <c r="E2100">
        <v>378.5</v>
      </c>
      <c r="F2100">
        <v>1020.75</v>
      </c>
      <c r="G2100">
        <v>371.8</v>
      </c>
      <c r="H2100">
        <v>461.5</v>
      </c>
      <c r="I2100">
        <v>31.04</v>
      </c>
      <c r="J2100">
        <v>3.4521000000000002</v>
      </c>
    </row>
    <row r="2101" spans="2:10" x14ac:dyDescent="0.3">
      <c r="B2101" s="10">
        <f t="shared" si="64"/>
        <v>2018</v>
      </c>
      <c r="C2101" s="10">
        <f t="shared" si="65"/>
        <v>4</v>
      </c>
      <c r="D2101" s="20">
        <v>43210</v>
      </c>
      <c r="E2101">
        <v>376.5</v>
      </c>
      <c r="F2101">
        <v>1028.75</v>
      </c>
      <c r="G2101">
        <v>374.1</v>
      </c>
      <c r="H2101">
        <v>463.25</v>
      </c>
      <c r="I2101">
        <v>31.3</v>
      </c>
      <c r="J2101">
        <v>3.4123999999999999</v>
      </c>
    </row>
    <row r="2102" spans="2:10" x14ac:dyDescent="0.3">
      <c r="B2102" s="10">
        <f t="shared" si="64"/>
        <v>2018</v>
      </c>
      <c r="C2102" s="10">
        <f t="shared" si="65"/>
        <v>4</v>
      </c>
      <c r="D2102" s="20">
        <v>43209</v>
      </c>
      <c r="E2102">
        <v>382</v>
      </c>
      <c r="F2102">
        <v>1037.25</v>
      </c>
      <c r="G2102">
        <v>373.3</v>
      </c>
      <c r="H2102">
        <v>476.75</v>
      </c>
      <c r="I2102">
        <v>31.41</v>
      </c>
      <c r="J2102">
        <v>3.3875000000000002</v>
      </c>
    </row>
    <row r="2103" spans="2:10" x14ac:dyDescent="0.3">
      <c r="B2103" s="10">
        <f t="shared" si="64"/>
        <v>2018</v>
      </c>
      <c r="C2103" s="10">
        <f t="shared" si="65"/>
        <v>4</v>
      </c>
      <c r="D2103" s="20">
        <v>43208</v>
      </c>
      <c r="E2103">
        <v>383</v>
      </c>
      <c r="F2103">
        <v>1041.75</v>
      </c>
      <c r="G2103">
        <v>376.6</v>
      </c>
      <c r="H2103">
        <v>475.25</v>
      </c>
      <c r="I2103">
        <v>31.43</v>
      </c>
      <c r="J2103">
        <v>3.3801999999999999</v>
      </c>
    </row>
    <row r="2104" spans="2:10" x14ac:dyDescent="0.3">
      <c r="B2104" s="10">
        <f t="shared" si="64"/>
        <v>2018</v>
      </c>
      <c r="C2104" s="10">
        <f t="shared" si="65"/>
        <v>4</v>
      </c>
      <c r="D2104" s="20">
        <v>43207</v>
      </c>
      <c r="E2104">
        <v>380.25</v>
      </c>
      <c r="F2104">
        <v>1046</v>
      </c>
      <c r="G2104">
        <v>381.1</v>
      </c>
      <c r="H2104">
        <v>466.25</v>
      </c>
      <c r="I2104">
        <v>31.19</v>
      </c>
      <c r="J2104">
        <v>3.4070999999999998</v>
      </c>
    </row>
    <row r="2105" spans="2:10" x14ac:dyDescent="0.3">
      <c r="B2105" s="10">
        <f t="shared" si="64"/>
        <v>2018</v>
      </c>
      <c r="C2105" s="10">
        <f t="shared" si="65"/>
        <v>4</v>
      </c>
      <c r="D2105" s="20">
        <v>43206</v>
      </c>
      <c r="E2105">
        <v>382.5</v>
      </c>
      <c r="F2105">
        <v>1042</v>
      </c>
      <c r="G2105">
        <v>377.8</v>
      </c>
      <c r="H2105">
        <v>462.25</v>
      </c>
      <c r="I2105">
        <v>31.18</v>
      </c>
      <c r="J2105">
        <v>3.4190999999999998</v>
      </c>
    </row>
    <row r="2106" spans="2:10" x14ac:dyDescent="0.3">
      <c r="B2106" s="10">
        <f t="shared" si="64"/>
        <v>2018</v>
      </c>
      <c r="C2106" s="10">
        <f t="shared" si="65"/>
        <v>4</v>
      </c>
      <c r="D2106" s="20">
        <v>43203</v>
      </c>
      <c r="E2106">
        <v>386.25</v>
      </c>
      <c r="F2106">
        <v>1054.25</v>
      </c>
      <c r="G2106">
        <v>382.8</v>
      </c>
      <c r="H2106">
        <v>472.5</v>
      </c>
      <c r="I2106">
        <v>31.48</v>
      </c>
      <c r="J2106">
        <v>3.4220000000000002</v>
      </c>
    </row>
    <row r="2107" spans="2:10" x14ac:dyDescent="0.3">
      <c r="B2107" s="10">
        <f t="shared" si="64"/>
        <v>2018</v>
      </c>
      <c r="C2107" s="10">
        <f t="shared" si="65"/>
        <v>4</v>
      </c>
      <c r="D2107" s="20">
        <v>43202</v>
      </c>
      <c r="E2107">
        <v>388.75</v>
      </c>
      <c r="F2107">
        <v>1060.75</v>
      </c>
      <c r="G2107">
        <v>383.4</v>
      </c>
      <c r="H2107">
        <v>481</v>
      </c>
      <c r="I2107">
        <v>31.63</v>
      </c>
      <c r="J2107">
        <v>3.4123999999999999</v>
      </c>
    </row>
    <row r="2108" spans="2:10" x14ac:dyDescent="0.3">
      <c r="B2108" s="10">
        <f t="shared" si="64"/>
        <v>2018</v>
      </c>
      <c r="C2108" s="10">
        <f t="shared" si="65"/>
        <v>4</v>
      </c>
      <c r="D2108" s="20">
        <v>43201</v>
      </c>
      <c r="E2108">
        <v>387</v>
      </c>
      <c r="F2108">
        <v>1047.75</v>
      </c>
      <c r="G2108">
        <v>380.2</v>
      </c>
      <c r="H2108">
        <v>487.25</v>
      </c>
      <c r="I2108">
        <v>31.53</v>
      </c>
      <c r="J2108">
        <v>3.3734000000000002</v>
      </c>
    </row>
    <row r="2109" spans="2:10" x14ac:dyDescent="0.3">
      <c r="B2109" s="10">
        <f t="shared" si="64"/>
        <v>2018</v>
      </c>
      <c r="C2109" s="10">
        <f t="shared" si="65"/>
        <v>4</v>
      </c>
      <c r="D2109" s="20">
        <v>43200</v>
      </c>
      <c r="E2109">
        <v>389.25</v>
      </c>
      <c r="F2109">
        <v>1050</v>
      </c>
      <c r="G2109">
        <v>383.9</v>
      </c>
      <c r="H2109">
        <v>492</v>
      </c>
      <c r="I2109">
        <v>31.85</v>
      </c>
      <c r="J2109">
        <v>3.4087000000000001</v>
      </c>
    </row>
    <row r="2110" spans="2:10" x14ac:dyDescent="0.3">
      <c r="B2110" s="10">
        <f t="shared" si="64"/>
        <v>2018</v>
      </c>
      <c r="C2110" s="10">
        <f t="shared" si="65"/>
        <v>4</v>
      </c>
      <c r="D2110" s="20">
        <v>43199</v>
      </c>
      <c r="E2110">
        <v>390.75</v>
      </c>
      <c r="F2110">
        <v>1047</v>
      </c>
      <c r="G2110">
        <v>389.6</v>
      </c>
      <c r="H2110">
        <v>490.75</v>
      </c>
      <c r="I2110">
        <v>31.52</v>
      </c>
      <c r="J2110">
        <v>3.4186999999999999</v>
      </c>
    </row>
    <row r="2111" spans="2:10" x14ac:dyDescent="0.3">
      <c r="B2111" s="10">
        <f t="shared" si="64"/>
        <v>2018</v>
      </c>
      <c r="C2111" s="10">
        <f t="shared" si="65"/>
        <v>4</v>
      </c>
      <c r="D2111" s="20">
        <v>43196</v>
      </c>
      <c r="E2111">
        <v>388.5</v>
      </c>
      <c r="F2111">
        <v>1033.75</v>
      </c>
      <c r="G2111">
        <v>386.3</v>
      </c>
      <c r="H2111">
        <v>472.25</v>
      </c>
      <c r="I2111">
        <v>31.53</v>
      </c>
      <c r="J2111">
        <v>3.3689</v>
      </c>
    </row>
    <row r="2112" spans="2:10" x14ac:dyDescent="0.3">
      <c r="B2112" s="10">
        <f t="shared" ref="B2112:B2175" si="66">YEAR(D2112)</f>
        <v>2018</v>
      </c>
      <c r="C2112" s="10">
        <f t="shared" ref="C2112:C2175" si="67">MONTH(D2112)</f>
        <v>4</v>
      </c>
      <c r="D2112" s="20">
        <v>43195</v>
      </c>
      <c r="E2112">
        <v>389.5</v>
      </c>
      <c r="F2112">
        <v>1031.25</v>
      </c>
      <c r="G2112">
        <v>383.6</v>
      </c>
      <c r="H2112">
        <v>464.75</v>
      </c>
      <c r="I2112">
        <v>31.78</v>
      </c>
      <c r="J2112">
        <v>3.3439000000000001</v>
      </c>
    </row>
    <row r="2113" spans="2:10" x14ac:dyDescent="0.3">
      <c r="B2113" s="10">
        <f t="shared" si="66"/>
        <v>2018</v>
      </c>
      <c r="C2113" s="10">
        <f t="shared" si="67"/>
        <v>4</v>
      </c>
      <c r="D2113" s="20">
        <v>43194</v>
      </c>
      <c r="E2113">
        <v>381</v>
      </c>
      <c r="F2113">
        <v>1015.25</v>
      </c>
      <c r="G2113">
        <v>381.8</v>
      </c>
      <c r="H2113">
        <v>455.75</v>
      </c>
      <c r="I2113">
        <v>31.68</v>
      </c>
      <c r="J2113">
        <v>3.3290000000000002</v>
      </c>
    </row>
    <row r="2114" spans="2:10" x14ac:dyDescent="0.3">
      <c r="B2114" s="10">
        <f t="shared" si="66"/>
        <v>2018</v>
      </c>
      <c r="C2114" s="10">
        <f t="shared" si="67"/>
        <v>4</v>
      </c>
      <c r="D2114" s="20">
        <v>43193</v>
      </c>
      <c r="E2114">
        <v>388.5</v>
      </c>
      <c r="F2114">
        <v>1038</v>
      </c>
      <c r="G2114">
        <v>380</v>
      </c>
      <c r="H2114">
        <v>457.5</v>
      </c>
      <c r="I2114">
        <v>32.340000000000003</v>
      </c>
      <c r="J2114">
        <v>3.3412000000000002</v>
      </c>
    </row>
    <row r="2115" spans="2:10" x14ac:dyDescent="0.3">
      <c r="B2115" s="10">
        <f t="shared" si="66"/>
        <v>2018</v>
      </c>
      <c r="C2115" s="10">
        <f t="shared" si="67"/>
        <v>4</v>
      </c>
      <c r="D2115" s="20">
        <v>43192</v>
      </c>
      <c r="E2115">
        <v>387.25</v>
      </c>
      <c r="F2115">
        <v>1035.5</v>
      </c>
      <c r="G2115">
        <v>377.3</v>
      </c>
      <c r="H2115">
        <v>446.25</v>
      </c>
      <c r="I2115">
        <v>32.04</v>
      </c>
      <c r="J2115">
        <v>3.3098999999999998</v>
      </c>
    </row>
    <row r="2116" spans="2:10" x14ac:dyDescent="0.3">
      <c r="B2116" s="10">
        <f t="shared" si="66"/>
        <v>2018</v>
      </c>
      <c r="C2116" s="10">
        <f t="shared" si="67"/>
        <v>3</v>
      </c>
      <c r="D2116" s="20">
        <v>43189</v>
      </c>
      <c r="J2116">
        <v>3.3046000000000002</v>
      </c>
    </row>
    <row r="2117" spans="2:10" x14ac:dyDescent="0.3">
      <c r="B2117" s="10">
        <f t="shared" si="66"/>
        <v>2018</v>
      </c>
      <c r="C2117" s="10">
        <f t="shared" si="67"/>
        <v>3</v>
      </c>
      <c r="D2117" s="20">
        <v>43188</v>
      </c>
      <c r="E2117">
        <v>387.75</v>
      </c>
      <c r="F2117">
        <v>1044.75</v>
      </c>
      <c r="G2117">
        <v>384</v>
      </c>
      <c r="H2117">
        <v>451</v>
      </c>
      <c r="I2117">
        <v>31.87</v>
      </c>
      <c r="J2117">
        <v>3.3054000000000001</v>
      </c>
    </row>
    <row r="2118" spans="2:10" x14ac:dyDescent="0.3">
      <c r="B2118" s="10">
        <f t="shared" si="66"/>
        <v>2018</v>
      </c>
      <c r="C2118" s="10">
        <f t="shared" si="67"/>
        <v>3</v>
      </c>
      <c r="D2118" s="20">
        <v>43187</v>
      </c>
      <c r="E2118">
        <v>373.5</v>
      </c>
      <c r="F2118">
        <v>1018</v>
      </c>
      <c r="G2118">
        <v>371.3</v>
      </c>
      <c r="H2118">
        <v>445.5</v>
      </c>
      <c r="I2118">
        <v>31.62</v>
      </c>
      <c r="J2118">
        <v>3.3195000000000001</v>
      </c>
    </row>
    <row r="2119" spans="2:10" x14ac:dyDescent="0.3">
      <c r="B2119" s="10">
        <f t="shared" si="66"/>
        <v>2018</v>
      </c>
      <c r="C2119" s="10">
        <f t="shared" si="67"/>
        <v>3</v>
      </c>
      <c r="D2119" s="20">
        <v>43186</v>
      </c>
      <c r="E2119">
        <v>374</v>
      </c>
      <c r="F2119">
        <v>1019.5</v>
      </c>
      <c r="G2119">
        <v>372.4</v>
      </c>
      <c r="H2119">
        <v>449</v>
      </c>
      <c r="I2119">
        <v>31.58</v>
      </c>
      <c r="J2119">
        <v>3.3277999999999999</v>
      </c>
    </row>
    <row r="2120" spans="2:10" x14ac:dyDescent="0.3">
      <c r="B2120" s="10">
        <f t="shared" si="66"/>
        <v>2018</v>
      </c>
      <c r="C2120" s="10">
        <f t="shared" si="67"/>
        <v>3</v>
      </c>
      <c r="D2120" s="20">
        <v>43185</v>
      </c>
      <c r="E2120">
        <v>374</v>
      </c>
      <c r="F2120">
        <v>1025.5</v>
      </c>
      <c r="G2120">
        <v>375</v>
      </c>
      <c r="H2120">
        <v>454.25</v>
      </c>
      <c r="I2120">
        <v>31.46</v>
      </c>
      <c r="J2120">
        <v>3.3113000000000001</v>
      </c>
    </row>
    <row r="2121" spans="2:10" x14ac:dyDescent="0.3">
      <c r="B2121" s="10">
        <f t="shared" si="66"/>
        <v>2018</v>
      </c>
      <c r="C2121" s="10">
        <f t="shared" si="67"/>
        <v>3</v>
      </c>
      <c r="D2121" s="20">
        <v>43182</v>
      </c>
      <c r="E2121">
        <v>377.25</v>
      </c>
      <c r="F2121">
        <v>1028.25</v>
      </c>
      <c r="G2121">
        <v>377.9</v>
      </c>
      <c r="H2121">
        <v>460.25</v>
      </c>
      <c r="I2121">
        <v>31.42</v>
      </c>
      <c r="J2121">
        <v>3.3119000000000001</v>
      </c>
    </row>
    <row r="2122" spans="2:10" x14ac:dyDescent="0.3">
      <c r="B2122" s="10">
        <f t="shared" si="66"/>
        <v>2018</v>
      </c>
      <c r="C2122" s="10">
        <f t="shared" si="67"/>
        <v>3</v>
      </c>
      <c r="D2122" s="20">
        <v>43181</v>
      </c>
      <c r="E2122">
        <v>376</v>
      </c>
      <c r="F2122">
        <v>1029.75</v>
      </c>
      <c r="G2122">
        <v>368</v>
      </c>
      <c r="H2122">
        <v>455.75</v>
      </c>
      <c r="I2122">
        <v>31.88</v>
      </c>
      <c r="J2122">
        <v>3.3151999999999999</v>
      </c>
    </row>
    <row r="2123" spans="2:10" x14ac:dyDescent="0.3">
      <c r="B2123" s="10">
        <f t="shared" si="66"/>
        <v>2018</v>
      </c>
      <c r="C2123" s="10">
        <f t="shared" si="67"/>
        <v>3</v>
      </c>
      <c r="D2123" s="20">
        <v>43180</v>
      </c>
      <c r="E2123">
        <v>375</v>
      </c>
      <c r="F2123">
        <v>1029.75</v>
      </c>
      <c r="G2123">
        <v>364.5</v>
      </c>
      <c r="H2123">
        <v>453.5</v>
      </c>
      <c r="I2123">
        <v>32.369999999999997</v>
      </c>
      <c r="J2123">
        <v>3.2717000000000001</v>
      </c>
    </row>
    <row r="2124" spans="2:10" x14ac:dyDescent="0.3">
      <c r="B2124" s="10">
        <f t="shared" si="66"/>
        <v>2018</v>
      </c>
      <c r="C2124" s="10">
        <f t="shared" si="67"/>
        <v>3</v>
      </c>
      <c r="D2124" s="20">
        <v>43179</v>
      </c>
      <c r="E2124">
        <v>374.5</v>
      </c>
      <c r="F2124">
        <v>1028.25</v>
      </c>
      <c r="G2124">
        <v>361.7</v>
      </c>
      <c r="H2124">
        <v>453</v>
      </c>
      <c r="I2124">
        <v>31.74</v>
      </c>
      <c r="J2124">
        <v>3.3113999999999999</v>
      </c>
    </row>
    <row r="2125" spans="2:10" x14ac:dyDescent="0.3">
      <c r="B2125" s="10">
        <f t="shared" si="66"/>
        <v>2018</v>
      </c>
      <c r="C2125" s="10">
        <f t="shared" si="67"/>
        <v>3</v>
      </c>
      <c r="D2125" s="20">
        <v>43178</v>
      </c>
      <c r="E2125">
        <v>375</v>
      </c>
      <c r="F2125">
        <v>1022.5</v>
      </c>
      <c r="G2125">
        <v>358.6</v>
      </c>
      <c r="H2125">
        <v>450.75</v>
      </c>
      <c r="I2125">
        <v>32.06</v>
      </c>
      <c r="J2125">
        <v>3.2852999999999999</v>
      </c>
    </row>
    <row r="2126" spans="2:10" x14ac:dyDescent="0.3">
      <c r="B2126" s="10">
        <f t="shared" si="66"/>
        <v>2018</v>
      </c>
      <c r="C2126" s="10">
        <f t="shared" si="67"/>
        <v>3</v>
      </c>
      <c r="D2126" s="20">
        <v>43175</v>
      </c>
      <c r="E2126">
        <v>382.75</v>
      </c>
      <c r="F2126">
        <v>1049.5</v>
      </c>
      <c r="G2126">
        <v>372.9</v>
      </c>
      <c r="H2126">
        <v>467.75</v>
      </c>
      <c r="I2126">
        <v>31.98</v>
      </c>
      <c r="J2126">
        <v>3.2806999999999999</v>
      </c>
    </row>
    <row r="2127" spans="2:10" x14ac:dyDescent="0.3">
      <c r="B2127" s="10">
        <f t="shared" si="66"/>
        <v>2018</v>
      </c>
      <c r="C2127" s="10">
        <f t="shared" si="67"/>
        <v>3</v>
      </c>
      <c r="D2127" s="20">
        <v>43174</v>
      </c>
      <c r="E2127">
        <v>386.75</v>
      </c>
      <c r="F2127">
        <v>1040.75</v>
      </c>
      <c r="G2127">
        <v>371</v>
      </c>
      <c r="H2127">
        <v>478.75</v>
      </c>
      <c r="I2127">
        <v>32.06</v>
      </c>
      <c r="J2127">
        <v>3.2848999999999999</v>
      </c>
    </row>
    <row r="2128" spans="2:10" x14ac:dyDescent="0.3">
      <c r="B2128" s="10">
        <f t="shared" si="66"/>
        <v>2018</v>
      </c>
      <c r="C2128" s="10">
        <f t="shared" si="67"/>
        <v>3</v>
      </c>
      <c r="D2128" s="20">
        <v>43173</v>
      </c>
      <c r="E2128">
        <v>383.5</v>
      </c>
      <c r="F2128">
        <v>1028.5</v>
      </c>
      <c r="G2128">
        <v>368.3</v>
      </c>
      <c r="H2128">
        <v>495.75</v>
      </c>
      <c r="I2128">
        <v>31.78</v>
      </c>
      <c r="J2128">
        <v>3.2597999999999998</v>
      </c>
    </row>
    <row r="2129" spans="2:10" x14ac:dyDescent="0.3">
      <c r="B2129" s="10">
        <f t="shared" si="66"/>
        <v>2018</v>
      </c>
      <c r="C2129" s="10">
        <f t="shared" si="67"/>
        <v>3</v>
      </c>
      <c r="D2129" s="20">
        <v>43172</v>
      </c>
      <c r="E2129">
        <v>385.5</v>
      </c>
      <c r="F2129">
        <v>1040.5</v>
      </c>
      <c r="G2129">
        <v>372.3</v>
      </c>
      <c r="H2129">
        <v>485.5</v>
      </c>
      <c r="I2129">
        <v>32.020000000000003</v>
      </c>
      <c r="J2129">
        <v>3.2602000000000002</v>
      </c>
    </row>
    <row r="2130" spans="2:10" x14ac:dyDescent="0.3">
      <c r="B2130" s="10">
        <f t="shared" si="66"/>
        <v>2018</v>
      </c>
      <c r="C2130" s="10">
        <f t="shared" si="67"/>
        <v>3</v>
      </c>
      <c r="D2130" s="20">
        <v>43171</v>
      </c>
      <c r="E2130">
        <v>384.25</v>
      </c>
      <c r="F2130">
        <v>1033.25</v>
      </c>
      <c r="G2130">
        <v>369.8</v>
      </c>
      <c r="H2130">
        <v>489.75</v>
      </c>
      <c r="I2130">
        <v>31.56</v>
      </c>
      <c r="J2130">
        <v>3.2610000000000001</v>
      </c>
    </row>
    <row r="2131" spans="2:10" x14ac:dyDescent="0.3">
      <c r="B2131" s="10">
        <f t="shared" si="66"/>
        <v>2018</v>
      </c>
      <c r="C2131" s="10">
        <f t="shared" si="67"/>
        <v>3</v>
      </c>
      <c r="D2131" s="20">
        <v>43168</v>
      </c>
      <c r="E2131">
        <v>383</v>
      </c>
      <c r="F2131">
        <v>1029.25</v>
      </c>
      <c r="G2131">
        <v>371.7</v>
      </c>
      <c r="H2131">
        <v>489</v>
      </c>
      <c r="I2131">
        <v>31.42</v>
      </c>
      <c r="J2131">
        <v>3.2547999999999999</v>
      </c>
    </row>
    <row r="2132" spans="2:10" x14ac:dyDescent="0.3">
      <c r="B2132" s="10">
        <f t="shared" si="66"/>
        <v>2018</v>
      </c>
      <c r="C2132" s="10">
        <f t="shared" si="67"/>
        <v>3</v>
      </c>
      <c r="D2132" s="20">
        <v>43167</v>
      </c>
      <c r="E2132">
        <v>385.75</v>
      </c>
      <c r="F2132">
        <v>1053.75</v>
      </c>
      <c r="G2132">
        <v>380.6</v>
      </c>
      <c r="H2132">
        <v>494.75</v>
      </c>
      <c r="I2132">
        <v>31.67</v>
      </c>
      <c r="J2132">
        <v>3.2664</v>
      </c>
    </row>
    <row r="2133" spans="2:10" x14ac:dyDescent="0.3">
      <c r="B2133" s="10">
        <f t="shared" si="66"/>
        <v>2018</v>
      </c>
      <c r="C2133" s="10">
        <f t="shared" si="67"/>
        <v>3</v>
      </c>
      <c r="D2133" s="20">
        <v>43166</v>
      </c>
      <c r="E2133">
        <v>379.25</v>
      </c>
      <c r="F2133">
        <v>1055</v>
      </c>
      <c r="G2133">
        <v>380.2</v>
      </c>
      <c r="H2133">
        <v>493</v>
      </c>
      <c r="I2133">
        <v>31.93</v>
      </c>
      <c r="J2133">
        <v>3.2448999999999999</v>
      </c>
    </row>
    <row r="2134" spans="2:10" x14ac:dyDescent="0.3">
      <c r="B2134" s="10">
        <f t="shared" si="66"/>
        <v>2018</v>
      </c>
      <c r="C2134" s="10">
        <f t="shared" si="67"/>
        <v>3</v>
      </c>
      <c r="D2134" s="20">
        <v>43165</v>
      </c>
      <c r="E2134">
        <v>379.75</v>
      </c>
      <c r="F2134">
        <v>1064.5</v>
      </c>
      <c r="G2134">
        <v>384.5</v>
      </c>
      <c r="H2134">
        <v>502</v>
      </c>
      <c r="I2134">
        <v>32.299999999999997</v>
      </c>
      <c r="J2134">
        <v>3.2111999999999998</v>
      </c>
    </row>
    <row r="2135" spans="2:10" x14ac:dyDescent="0.3">
      <c r="B2135" s="10">
        <f t="shared" si="66"/>
        <v>2018</v>
      </c>
      <c r="C2135" s="10">
        <f t="shared" si="67"/>
        <v>3</v>
      </c>
      <c r="D2135" s="20">
        <v>43164</v>
      </c>
      <c r="E2135">
        <v>378.25</v>
      </c>
      <c r="F2135">
        <v>1066.75</v>
      </c>
      <c r="G2135">
        <v>389.3</v>
      </c>
      <c r="H2135">
        <v>502.25</v>
      </c>
      <c r="I2135">
        <v>32.01</v>
      </c>
      <c r="J2135">
        <v>3.2425000000000002</v>
      </c>
    </row>
    <row r="2136" spans="2:10" x14ac:dyDescent="0.3">
      <c r="B2136" s="10">
        <f t="shared" si="66"/>
        <v>2018</v>
      </c>
      <c r="C2136" s="10">
        <f t="shared" si="67"/>
        <v>3</v>
      </c>
      <c r="D2136" s="20">
        <v>43161</v>
      </c>
      <c r="E2136">
        <v>377.25</v>
      </c>
      <c r="F2136">
        <v>1060.75</v>
      </c>
      <c r="G2136">
        <v>390.2</v>
      </c>
      <c r="H2136">
        <v>492</v>
      </c>
      <c r="I2136">
        <v>32.06</v>
      </c>
      <c r="J2136">
        <v>3.2523</v>
      </c>
    </row>
    <row r="2137" spans="2:10" x14ac:dyDescent="0.3">
      <c r="B2137" s="10">
        <f t="shared" si="66"/>
        <v>2018</v>
      </c>
      <c r="C2137" s="10">
        <f t="shared" si="67"/>
        <v>3</v>
      </c>
      <c r="D2137" s="20">
        <v>43160</v>
      </c>
      <c r="E2137">
        <v>378.75</v>
      </c>
      <c r="F2137">
        <v>1057.5</v>
      </c>
      <c r="G2137">
        <v>394</v>
      </c>
      <c r="H2137">
        <v>505.5</v>
      </c>
      <c r="I2137">
        <v>32.119999999999997</v>
      </c>
      <c r="J2137">
        <v>3.2511000000000001</v>
      </c>
    </row>
    <row r="2138" spans="2:10" x14ac:dyDescent="0.3">
      <c r="B2138" s="10">
        <f t="shared" si="66"/>
        <v>2018</v>
      </c>
      <c r="C2138" s="10">
        <f t="shared" si="67"/>
        <v>2</v>
      </c>
      <c r="D2138" s="20">
        <v>43159</v>
      </c>
      <c r="E2138">
        <v>374.5</v>
      </c>
      <c r="F2138">
        <v>1045</v>
      </c>
      <c r="G2138">
        <v>394.2</v>
      </c>
      <c r="H2138">
        <v>484.5</v>
      </c>
      <c r="I2138">
        <v>31.96</v>
      </c>
      <c r="J2138">
        <v>3.2458</v>
      </c>
    </row>
    <row r="2139" spans="2:10" x14ac:dyDescent="0.3">
      <c r="B2139" s="10">
        <f t="shared" si="66"/>
        <v>2018</v>
      </c>
      <c r="C2139" s="10">
        <f t="shared" si="67"/>
        <v>2</v>
      </c>
      <c r="D2139" s="20">
        <v>43158</v>
      </c>
      <c r="E2139">
        <v>370.5</v>
      </c>
      <c r="F2139">
        <v>1038</v>
      </c>
      <c r="G2139">
        <v>386.5</v>
      </c>
      <c r="H2139">
        <v>463.25</v>
      </c>
      <c r="I2139">
        <v>32.19</v>
      </c>
      <c r="J2139">
        <v>3.2511999999999999</v>
      </c>
    </row>
    <row r="2140" spans="2:10" x14ac:dyDescent="0.3">
      <c r="B2140" s="10">
        <f t="shared" si="66"/>
        <v>2018</v>
      </c>
      <c r="C2140" s="10">
        <f t="shared" si="67"/>
        <v>2</v>
      </c>
      <c r="D2140" s="20">
        <v>43157</v>
      </c>
      <c r="E2140">
        <v>368.5</v>
      </c>
      <c r="F2140">
        <v>1034.25</v>
      </c>
      <c r="G2140">
        <v>377.2</v>
      </c>
      <c r="H2140">
        <v>459.5</v>
      </c>
      <c r="I2140">
        <v>32.619999999999997</v>
      </c>
      <c r="J2140">
        <v>3.2252999999999998</v>
      </c>
    </row>
    <row r="2141" spans="2:10" x14ac:dyDescent="0.3">
      <c r="B2141" s="10">
        <f t="shared" si="66"/>
        <v>2018</v>
      </c>
      <c r="C2141" s="10">
        <f t="shared" si="67"/>
        <v>2</v>
      </c>
      <c r="D2141" s="20">
        <v>43154</v>
      </c>
      <c r="E2141">
        <v>366.25</v>
      </c>
      <c r="F2141">
        <v>1036.25</v>
      </c>
      <c r="G2141">
        <v>375.5</v>
      </c>
      <c r="H2141">
        <v>452.25</v>
      </c>
      <c r="I2141">
        <v>32.36</v>
      </c>
      <c r="J2141">
        <v>3.2374000000000001</v>
      </c>
    </row>
    <row r="2142" spans="2:10" x14ac:dyDescent="0.3">
      <c r="B2142" s="10">
        <f t="shared" si="66"/>
        <v>2018</v>
      </c>
      <c r="C2142" s="10">
        <f t="shared" si="67"/>
        <v>2</v>
      </c>
      <c r="D2142" s="20">
        <v>43153</v>
      </c>
      <c r="E2142">
        <v>366.75</v>
      </c>
      <c r="F2142">
        <v>1032</v>
      </c>
      <c r="G2142">
        <v>376.9</v>
      </c>
      <c r="H2142">
        <v>451.25</v>
      </c>
      <c r="I2142">
        <v>32.04</v>
      </c>
      <c r="J2142">
        <v>3.2496999999999998</v>
      </c>
    </row>
    <row r="2143" spans="2:10" x14ac:dyDescent="0.3">
      <c r="B2143" s="10">
        <f t="shared" si="66"/>
        <v>2018</v>
      </c>
      <c r="C2143" s="10">
        <f t="shared" si="67"/>
        <v>2</v>
      </c>
      <c r="D2143" s="20">
        <v>43152</v>
      </c>
      <c r="E2143">
        <v>365.75</v>
      </c>
      <c r="F2143">
        <v>1034.25</v>
      </c>
      <c r="G2143">
        <v>378</v>
      </c>
      <c r="H2143">
        <v>447.25</v>
      </c>
      <c r="I2143">
        <v>32.07</v>
      </c>
      <c r="J2143">
        <v>3.2682000000000002</v>
      </c>
    </row>
    <row r="2144" spans="2:10" x14ac:dyDescent="0.3">
      <c r="B2144" s="10">
        <f t="shared" si="66"/>
        <v>2018</v>
      </c>
      <c r="C2144" s="10">
        <f t="shared" si="67"/>
        <v>2</v>
      </c>
      <c r="D2144" s="20">
        <v>43151</v>
      </c>
      <c r="E2144">
        <v>365.5</v>
      </c>
      <c r="F2144">
        <v>1026.5</v>
      </c>
      <c r="G2144">
        <v>376.5</v>
      </c>
      <c r="H2144">
        <v>449.25</v>
      </c>
      <c r="I2144">
        <v>31.86</v>
      </c>
      <c r="J2144">
        <v>3.2553999999999998</v>
      </c>
    </row>
    <row r="2145" spans="2:10" x14ac:dyDescent="0.3">
      <c r="B2145" s="10">
        <f t="shared" si="66"/>
        <v>2018</v>
      </c>
      <c r="C2145" s="10">
        <f t="shared" si="67"/>
        <v>2</v>
      </c>
      <c r="D2145" s="20">
        <v>43150</v>
      </c>
      <c r="J2145">
        <v>3.2339000000000002</v>
      </c>
    </row>
    <row r="2146" spans="2:10" x14ac:dyDescent="0.3">
      <c r="B2146" s="10">
        <f t="shared" si="66"/>
        <v>2018</v>
      </c>
      <c r="C2146" s="10">
        <f t="shared" si="67"/>
        <v>2</v>
      </c>
      <c r="D2146" s="20">
        <v>43147</v>
      </c>
      <c r="E2146">
        <v>367.5</v>
      </c>
      <c r="F2146">
        <v>1021.5</v>
      </c>
      <c r="G2146">
        <v>373.3</v>
      </c>
      <c r="H2146">
        <v>457.75</v>
      </c>
      <c r="I2146">
        <v>31.54</v>
      </c>
      <c r="J2146">
        <v>3.2309999999999999</v>
      </c>
    </row>
    <row r="2147" spans="2:10" x14ac:dyDescent="0.3">
      <c r="B2147" s="10">
        <f t="shared" si="66"/>
        <v>2018</v>
      </c>
      <c r="C2147" s="10">
        <f t="shared" si="67"/>
        <v>2</v>
      </c>
      <c r="D2147" s="20">
        <v>43146</v>
      </c>
      <c r="E2147">
        <v>367.75</v>
      </c>
      <c r="F2147">
        <v>1024.25</v>
      </c>
      <c r="G2147">
        <v>373.7</v>
      </c>
      <c r="H2147">
        <v>461.75</v>
      </c>
      <c r="I2147">
        <v>31.7</v>
      </c>
      <c r="J2147">
        <v>3.2273999999999998</v>
      </c>
    </row>
    <row r="2148" spans="2:10" x14ac:dyDescent="0.3">
      <c r="B2148" s="10">
        <f t="shared" si="66"/>
        <v>2018</v>
      </c>
      <c r="C2148" s="10">
        <f t="shared" si="67"/>
        <v>2</v>
      </c>
      <c r="D2148" s="20">
        <v>43145</v>
      </c>
      <c r="E2148">
        <v>367.25</v>
      </c>
      <c r="F2148">
        <v>1017.25</v>
      </c>
      <c r="G2148">
        <v>369.9</v>
      </c>
      <c r="H2148">
        <v>455.75</v>
      </c>
      <c r="I2148">
        <v>31.8</v>
      </c>
      <c r="J2148">
        <v>3.2172000000000001</v>
      </c>
    </row>
    <row r="2149" spans="2:10" x14ac:dyDescent="0.3">
      <c r="B2149" s="10">
        <f t="shared" si="66"/>
        <v>2018</v>
      </c>
      <c r="C2149" s="10">
        <f t="shared" si="67"/>
        <v>2</v>
      </c>
      <c r="D2149" s="20">
        <v>43144</v>
      </c>
      <c r="E2149">
        <v>366.75</v>
      </c>
      <c r="F2149">
        <v>1011.75</v>
      </c>
      <c r="G2149">
        <v>365.2</v>
      </c>
      <c r="H2149">
        <v>460.75</v>
      </c>
      <c r="I2149">
        <v>31.57</v>
      </c>
      <c r="J2149">
        <v>3.2947000000000002</v>
      </c>
    </row>
    <row r="2150" spans="2:10" x14ac:dyDescent="0.3">
      <c r="B2150" s="10">
        <f t="shared" si="66"/>
        <v>2018</v>
      </c>
      <c r="C2150" s="10">
        <f t="shared" si="67"/>
        <v>2</v>
      </c>
      <c r="D2150" s="20">
        <v>43143</v>
      </c>
      <c r="E2150">
        <v>367</v>
      </c>
      <c r="F2150">
        <v>1001.75</v>
      </c>
      <c r="G2150">
        <v>357.8</v>
      </c>
      <c r="H2150">
        <v>464</v>
      </c>
      <c r="I2150">
        <v>31.85</v>
      </c>
      <c r="J2150">
        <v>3.2949000000000002</v>
      </c>
    </row>
    <row r="2151" spans="2:10" x14ac:dyDescent="0.3">
      <c r="B2151" s="10">
        <f t="shared" si="66"/>
        <v>2018</v>
      </c>
      <c r="C2151" s="10">
        <f t="shared" si="67"/>
        <v>2</v>
      </c>
      <c r="D2151" s="20">
        <v>43140</v>
      </c>
      <c r="E2151">
        <v>362</v>
      </c>
      <c r="F2151">
        <v>983</v>
      </c>
      <c r="G2151">
        <v>343.8</v>
      </c>
      <c r="H2151">
        <v>449</v>
      </c>
      <c r="I2151">
        <v>31.96</v>
      </c>
      <c r="J2151">
        <v>3.2938999999999998</v>
      </c>
    </row>
    <row r="2152" spans="2:10" x14ac:dyDescent="0.3">
      <c r="B2152" s="10">
        <f t="shared" si="66"/>
        <v>2018</v>
      </c>
      <c r="C2152" s="10">
        <f t="shared" si="67"/>
        <v>2</v>
      </c>
      <c r="D2152" s="20">
        <v>43139</v>
      </c>
      <c r="E2152">
        <v>365.75</v>
      </c>
      <c r="F2152">
        <v>987.75</v>
      </c>
      <c r="G2152">
        <v>341.7</v>
      </c>
      <c r="H2152">
        <v>456.25</v>
      </c>
      <c r="I2152">
        <v>32.21</v>
      </c>
      <c r="J2152">
        <v>3.2856999999999998</v>
      </c>
    </row>
    <row r="2153" spans="2:10" x14ac:dyDescent="0.3">
      <c r="B2153" s="10">
        <f t="shared" si="66"/>
        <v>2018</v>
      </c>
      <c r="C2153" s="10">
        <f t="shared" si="67"/>
        <v>2</v>
      </c>
      <c r="D2153" s="20">
        <v>43138</v>
      </c>
      <c r="E2153">
        <v>365.25</v>
      </c>
      <c r="F2153">
        <v>983</v>
      </c>
      <c r="G2153">
        <v>335.4</v>
      </c>
      <c r="H2153">
        <v>460.5</v>
      </c>
      <c r="I2153">
        <v>32.56</v>
      </c>
      <c r="J2153">
        <v>3.2713000000000001</v>
      </c>
    </row>
    <row r="2154" spans="2:10" x14ac:dyDescent="0.3">
      <c r="B2154" s="10">
        <f t="shared" si="66"/>
        <v>2018</v>
      </c>
      <c r="C2154" s="10">
        <f t="shared" si="67"/>
        <v>2</v>
      </c>
      <c r="D2154" s="20">
        <v>43137</v>
      </c>
      <c r="E2154">
        <v>363.5</v>
      </c>
      <c r="F2154">
        <v>986.25</v>
      </c>
      <c r="G2154">
        <v>331.7</v>
      </c>
      <c r="H2154">
        <v>446.25</v>
      </c>
      <c r="I2154">
        <v>33.159999999999997</v>
      </c>
      <c r="J2154">
        <v>3.2347000000000001</v>
      </c>
    </row>
    <row r="2155" spans="2:10" x14ac:dyDescent="0.3">
      <c r="B2155" s="10">
        <f t="shared" si="66"/>
        <v>2018</v>
      </c>
      <c r="C2155" s="10">
        <f t="shared" si="67"/>
        <v>2</v>
      </c>
      <c r="D2155" s="20">
        <v>43136</v>
      </c>
      <c r="E2155">
        <v>358.75</v>
      </c>
      <c r="F2155">
        <v>969.75</v>
      </c>
      <c r="G2155">
        <v>327</v>
      </c>
      <c r="H2155">
        <v>440.25</v>
      </c>
      <c r="I2155">
        <v>32.5</v>
      </c>
      <c r="J2155">
        <v>3.2624</v>
      </c>
    </row>
    <row r="2156" spans="2:10" x14ac:dyDescent="0.3">
      <c r="B2156" s="10">
        <f t="shared" si="66"/>
        <v>2018</v>
      </c>
      <c r="C2156" s="10">
        <f t="shared" si="67"/>
        <v>2</v>
      </c>
      <c r="D2156" s="20">
        <v>43133</v>
      </c>
      <c r="E2156">
        <v>361.5</v>
      </c>
      <c r="F2156">
        <v>978.75</v>
      </c>
      <c r="G2156">
        <v>331.4</v>
      </c>
      <c r="H2156">
        <v>446.75</v>
      </c>
      <c r="I2156">
        <v>32.51</v>
      </c>
      <c r="J2156">
        <v>3.218</v>
      </c>
    </row>
    <row r="2157" spans="2:10" x14ac:dyDescent="0.3">
      <c r="B2157" s="10">
        <f t="shared" si="66"/>
        <v>2018</v>
      </c>
      <c r="C2157" s="10">
        <f t="shared" si="67"/>
        <v>2</v>
      </c>
      <c r="D2157" s="20">
        <v>43132</v>
      </c>
      <c r="E2157">
        <v>361.75</v>
      </c>
      <c r="F2157">
        <v>985</v>
      </c>
      <c r="G2157">
        <v>334</v>
      </c>
      <c r="H2157">
        <v>451</v>
      </c>
      <c r="I2157">
        <v>32.9</v>
      </c>
      <c r="J2157">
        <v>3.1667999999999998</v>
      </c>
    </row>
    <row r="2158" spans="2:10" x14ac:dyDescent="0.3">
      <c r="B2158" s="10">
        <f t="shared" si="66"/>
        <v>2018</v>
      </c>
      <c r="C2158" s="10">
        <f t="shared" si="67"/>
        <v>1</v>
      </c>
      <c r="D2158" s="20">
        <v>43131</v>
      </c>
      <c r="E2158">
        <v>361.5</v>
      </c>
      <c r="F2158">
        <v>995.75</v>
      </c>
      <c r="G2158">
        <v>337.8</v>
      </c>
      <c r="H2158">
        <v>451.75</v>
      </c>
      <c r="I2158">
        <v>33.07</v>
      </c>
      <c r="J2158">
        <v>3.1858</v>
      </c>
    </row>
    <row r="2159" spans="2:10" x14ac:dyDescent="0.3">
      <c r="B2159" s="10">
        <f t="shared" si="66"/>
        <v>2018</v>
      </c>
      <c r="C2159" s="10">
        <f t="shared" si="67"/>
        <v>1</v>
      </c>
      <c r="D2159" s="20">
        <v>43130</v>
      </c>
      <c r="E2159">
        <v>361.5</v>
      </c>
      <c r="F2159">
        <v>1000.25</v>
      </c>
      <c r="G2159">
        <v>340.5</v>
      </c>
      <c r="H2159">
        <v>457.25</v>
      </c>
      <c r="I2159">
        <v>33.08</v>
      </c>
      <c r="J2159">
        <v>3.1810999999999998</v>
      </c>
    </row>
    <row r="2160" spans="2:10" x14ac:dyDescent="0.3">
      <c r="B2160" s="10">
        <f t="shared" si="66"/>
        <v>2018</v>
      </c>
      <c r="C2160" s="10">
        <f t="shared" si="67"/>
        <v>1</v>
      </c>
      <c r="D2160" s="20">
        <v>43129</v>
      </c>
      <c r="E2160">
        <v>358.75</v>
      </c>
      <c r="F2160">
        <v>991.5</v>
      </c>
      <c r="G2160">
        <v>337.4</v>
      </c>
      <c r="H2160">
        <v>449.25</v>
      </c>
      <c r="I2160">
        <v>32.869999999999997</v>
      </c>
      <c r="J2160">
        <v>3.1549</v>
      </c>
    </row>
    <row r="2161" spans="2:10" x14ac:dyDescent="0.3">
      <c r="B2161" s="10">
        <f t="shared" si="66"/>
        <v>2018</v>
      </c>
      <c r="C2161" s="10">
        <f t="shared" si="67"/>
        <v>1</v>
      </c>
      <c r="D2161" s="20">
        <v>43126</v>
      </c>
      <c r="E2161">
        <v>356.5</v>
      </c>
      <c r="F2161">
        <v>985.5</v>
      </c>
      <c r="G2161">
        <v>335.7</v>
      </c>
      <c r="H2161">
        <v>441</v>
      </c>
      <c r="I2161">
        <v>32.79</v>
      </c>
      <c r="J2161">
        <v>3.1509</v>
      </c>
    </row>
    <row r="2162" spans="2:10" x14ac:dyDescent="0.3">
      <c r="B2162" s="10">
        <f t="shared" si="66"/>
        <v>2018</v>
      </c>
      <c r="C2162" s="10">
        <f t="shared" si="67"/>
        <v>1</v>
      </c>
      <c r="D2162" s="20">
        <v>43125</v>
      </c>
      <c r="E2162">
        <v>355.25</v>
      </c>
      <c r="F2162">
        <v>992.25</v>
      </c>
      <c r="G2162">
        <v>340.4</v>
      </c>
      <c r="H2162">
        <v>434.5</v>
      </c>
      <c r="I2162">
        <v>32.5</v>
      </c>
      <c r="J2162">
        <v>3.1469999999999998</v>
      </c>
    </row>
    <row r="2163" spans="2:10" x14ac:dyDescent="0.3">
      <c r="B2163" s="10">
        <f t="shared" si="66"/>
        <v>2018</v>
      </c>
      <c r="C2163" s="10">
        <f t="shared" si="67"/>
        <v>1</v>
      </c>
      <c r="D2163" s="20">
        <v>43124</v>
      </c>
      <c r="E2163">
        <v>356.5</v>
      </c>
      <c r="F2163">
        <v>992.25</v>
      </c>
      <c r="G2163">
        <v>342</v>
      </c>
      <c r="H2163">
        <v>433</v>
      </c>
      <c r="I2163">
        <v>32.68</v>
      </c>
      <c r="J2163">
        <v>3.1463999999999999</v>
      </c>
    </row>
    <row r="2164" spans="2:10" x14ac:dyDescent="0.3">
      <c r="B2164" s="10">
        <f t="shared" si="66"/>
        <v>2018</v>
      </c>
      <c r="C2164" s="10">
        <f t="shared" si="67"/>
        <v>1</v>
      </c>
      <c r="D2164" s="20">
        <v>43123</v>
      </c>
      <c r="E2164">
        <v>351.25</v>
      </c>
      <c r="F2164">
        <v>986.25</v>
      </c>
      <c r="G2164">
        <v>339.6</v>
      </c>
      <c r="H2164">
        <v>421.5</v>
      </c>
      <c r="I2164">
        <v>32.520000000000003</v>
      </c>
      <c r="J2164">
        <v>3.2368999999999999</v>
      </c>
    </row>
    <row r="2165" spans="2:10" x14ac:dyDescent="0.3">
      <c r="B2165" s="10">
        <f t="shared" si="66"/>
        <v>2018</v>
      </c>
      <c r="C2165" s="10">
        <f t="shared" si="67"/>
        <v>1</v>
      </c>
      <c r="D2165" s="20">
        <v>43122</v>
      </c>
      <c r="E2165">
        <v>352</v>
      </c>
      <c r="F2165">
        <v>984.25</v>
      </c>
      <c r="G2165">
        <v>338.6</v>
      </c>
      <c r="H2165">
        <v>425.75</v>
      </c>
      <c r="I2165">
        <v>32.159999999999997</v>
      </c>
      <c r="J2165">
        <v>3.202</v>
      </c>
    </row>
    <row r="2166" spans="2:10" x14ac:dyDescent="0.3">
      <c r="B2166" s="10">
        <f t="shared" si="66"/>
        <v>2018</v>
      </c>
      <c r="C2166" s="10">
        <f t="shared" si="67"/>
        <v>1</v>
      </c>
      <c r="D2166" s="20">
        <v>43119</v>
      </c>
      <c r="E2166">
        <v>352.5</v>
      </c>
      <c r="F2166">
        <v>977.25</v>
      </c>
      <c r="G2166">
        <v>331.6</v>
      </c>
      <c r="H2166">
        <v>422.75</v>
      </c>
      <c r="I2166">
        <v>32.28</v>
      </c>
      <c r="J2166">
        <v>3.1960999999999999</v>
      </c>
    </row>
    <row r="2167" spans="2:10" x14ac:dyDescent="0.3">
      <c r="B2167" s="10">
        <f t="shared" si="66"/>
        <v>2018</v>
      </c>
      <c r="C2167" s="10">
        <f t="shared" si="67"/>
        <v>1</v>
      </c>
      <c r="D2167" s="20">
        <v>43118</v>
      </c>
      <c r="E2167">
        <v>351.5</v>
      </c>
      <c r="F2167">
        <v>973</v>
      </c>
      <c r="G2167">
        <v>328.4</v>
      </c>
      <c r="H2167">
        <v>425.25</v>
      </c>
      <c r="I2167">
        <v>32.229999999999997</v>
      </c>
      <c r="J2167">
        <v>3.2063999999999999</v>
      </c>
    </row>
    <row r="2168" spans="2:10" x14ac:dyDescent="0.3">
      <c r="B2168" s="10">
        <f t="shared" si="66"/>
        <v>2018</v>
      </c>
      <c r="C2168" s="10">
        <f t="shared" si="67"/>
        <v>1</v>
      </c>
      <c r="D2168" s="20">
        <v>43117</v>
      </c>
      <c r="E2168">
        <v>353</v>
      </c>
      <c r="F2168">
        <v>968.75</v>
      </c>
      <c r="G2168">
        <v>324.3</v>
      </c>
      <c r="H2168">
        <v>421.5</v>
      </c>
      <c r="I2168">
        <v>32.51</v>
      </c>
      <c r="J2168">
        <v>3.2237</v>
      </c>
    </row>
    <row r="2169" spans="2:10" x14ac:dyDescent="0.3">
      <c r="B2169" s="10">
        <f t="shared" si="66"/>
        <v>2018</v>
      </c>
      <c r="C2169" s="10">
        <f t="shared" si="67"/>
        <v>1</v>
      </c>
      <c r="D2169" s="20">
        <v>43116</v>
      </c>
      <c r="E2169">
        <v>348.25</v>
      </c>
      <c r="F2169">
        <v>968</v>
      </c>
      <c r="G2169">
        <v>322.8</v>
      </c>
      <c r="H2169">
        <v>416.5</v>
      </c>
      <c r="I2169">
        <v>32.79</v>
      </c>
      <c r="J2169">
        <v>3.2242000000000002</v>
      </c>
    </row>
    <row r="2170" spans="2:10" x14ac:dyDescent="0.3">
      <c r="B2170" s="10">
        <f t="shared" si="66"/>
        <v>2018</v>
      </c>
      <c r="C2170" s="10">
        <f t="shared" si="67"/>
        <v>1</v>
      </c>
      <c r="D2170" s="20">
        <v>43115</v>
      </c>
      <c r="J2170">
        <v>3.2162000000000002</v>
      </c>
    </row>
    <row r="2171" spans="2:10" x14ac:dyDescent="0.3">
      <c r="B2171" s="10">
        <f t="shared" si="66"/>
        <v>2018</v>
      </c>
      <c r="C2171" s="10">
        <f t="shared" si="67"/>
        <v>1</v>
      </c>
      <c r="D2171" s="20">
        <v>43112</v>
      </c>
      <c r="E2171">
        <v>346.25</v>
      </c>
      <c r="F2171">
        <v>944</v>
      </c>
      <c r="G2171">
        <v>309.8</v>
      </c>
      <c r="H2171">
        <v>420.5</v>
      </c>
      <c r="I2171">
        <v>32.93</v>
      </c>
      <c r="J2171">
        <v>3.2063000000000001</v>
      </c>
    </row>
    <row r="2172" spans="2:10" x14ac:dyDescent="0.3">
      <c r="B2172" s="10">
        <f t="shared" si="66"/>
        <v>2018</v>
      </c>
      <c r="C2172" s="10">
        <f t="shared" si="67"/>
        <v>1</v>
      </c>
      <c r="D2172" s="20">
        <v>43111</v>
      </c>
      <c r="E2172">
        <v>348.75</v>
      </c>
      <c r="F2172">
        <v>940.5</v>
      </c>
      <c r="G2172">
        <v>309.60000000000002</v>
      </c>
      <c r="H2172">
        <v>433.25</v>
      </c>
      <c r="I2172">
        <v>32.97</v>
      </c>
      <c r="J2172">
        <v>3.2153999999999998</v>
      </c>
    </row>
    <row r="2173" spans="2:10" x14ac:dyDescent="0.3">
      <c r="B2173" s="10">
        <f t="shared" si="66"/>
        <v>2018</v>
      </c>
      <c r="C2173" s="10">
        <f t="shared" si="67"/>
        <v>1</v>
      </c>
      <c r="D2173" s="20">
        <v>43110</v>
      </c>
      <c r="E2173">
        <v>349</v>
      </c>
      <c r="F2173">
        <v>947</v>
      </c>
      <c r="G2173">
        <v>312.89999999999998</v>
      </c>
      <c r="H2173">
        <v>434.25</v>
      </c>
      <c r="I2173">
        <v>33.29</v>
      </c>
      <c r="J2173">
        <v>3.2280000000000002</v>
      </c>
    </row>
    <row r="2174" spans="2:10" x14ac:dyDescent="0.3">
      <c r="B2174" s="10">
        <f t="shared" si="66"/>
        <v>2018</v>
      </c>
      <c r="C2174" s="10">
        <f t="shared" si="67"/>
        <v>1</v>
      </c>
      <c r="D2174" s="20">
        <v>43109</v>
      </c>
      <c r="E2174">
        <v>349</v>
      </c>
      <c r="F2174">
        <v>955.75</v>
      </c>
      <c r="G2174">
        <v>314.5</v>
      </c>
      <c r="H2174">
        <v>432.25</v>
      </c>
      <c r="I2174">
        <v>33.549999999999997</v>
      </c>
      <c r="J2174">
        <v>3.2482000000000002</v>
      </c>
    </row>
    <row r="2175" spans="2:10" x14ac:dyDescent="0.3">
      <c r="B2175" s="10">
        <f t="shared" si="66"/>
        <v>2018</v>
      </c>
      <c r="C2175" s="10">
        <f t="shared" si="67"/>
        <v>1</v>
      </c>
      <c r="D2175" s="20">
        <v>43108</v>
      </c>
      <c r="E2175">
        <v>347.25</v>
      </c>
      <c r="F2175">
        <v>958.25</v>
      </c>
      <c r="G2175">
        <v>317.5</v>
      </c>
      <c r="H2175">
        <v>427.75</v>
      </c>
      <c r="I2175">
        <v>33.43</v>
      </c>
      <c r="J2175">
        <v>3.2406000000000001</v>
      </c>
    </row>
    <row r="2176" spans="2:10" x14ac:dyDescent="0.3">
      <c r="B2176" s="10">
        <f t="shared" ref="B2176:B2239" si="68">YEAR(D2176)</f>
        <v>2018</v>
      </c>
      <c r="C2176" s="10">
        <f t="shared" ref="C2176:C2239" si="69">MONTH(D2176)</f>
        <v>1</v>
      </c>
      <c r="D2176" s="20">
        <v>43105</v>
      </c>
      <c r="E2176">
        <v>351.25</v>
      </c>
      <c r="F2176">
        <v>961.5</v>
      </c>
      <c r="G2176">
        <v>317.89999999999998</v>
      </c>
      <c r="H2176">
        <v>430.75</v>
      </c>
      <c r="I2176">
        <v>33.65</v>
      </c>
      <c r="J2176">
        <v>3.2288000000000001</v>
      </c>
    </row>
    <row r="2177" spans="2:10" x14ac:dyDescent="0.3">
      <c r="B2177" s="10">
        <f t="shared" si="68"/>
        <v>2018</v>
      </c>
      <c r="C2177" s="10">
        <f t="shared" si="69"/>
        <v>1</v>
      </c>
      <c r="D2177" s="20">
        <v>43104</v>
      </c>
      <c r="E2177">
        <v>351</v>
      </c>
      <c r="F2177">
        <v>959.25</v>
      </c>
      <c r="G2177">
        <v>315.8</v>
      </c>
      <c r="H2177">
        <v>434</v>
      </c>
      <c r="I2177">
        <v>33.74</v>
      </c>
      <c r="J2177">
        <v>3.2343999999999999</v>
      </c>
    </row>
    <row r="2178" spans="2:10" x14ac:dyDescent="0.3">
      <c r="B2178" s="10">
        <f t="shared" si="68"/>
        <v>2018</v>
      </c>
      <c r="C2178" s="10">
        <f t="shared" si="69"/>
        <v>1</v>
      </c>
      <c r="D2178" s="20">
        <v>43103</v>
      </c>
      <c r="E2178">
        <v>353</v>
      </c>
      <c r="F2178">
        <v>959.75</v>
      </c>
      <c r="G2178">
        <v>314.39999999999998</v>
      </c>
      <c r="H2178">
        <v>436</v>
      </c>
      <c r="I2178">
        <v>33.76</v>
      </c>
      <c r="J2178">
        <v>3.2368999999999999</v>
      </c>
    </row>
    <row r="2179" spans="2:10" x14ac:dyDescent="0.3">
      <c r="B2179" s="10">
        <f t="shared" si="68"/>
        <v>2018</v>
      </c>
      <c r="C2179" s="10">
        <f t="shared" si="69"/>
        <v>1</v>
      </c>
      <c r="D2179" s="20">
        <v>43102</v>
      </c>
      <c r="E2179">
        <v>353.25</v>
      </c>
      <c r="F2179">
        <v>955</v>
      </c>
      <c r="G2179">
        <v>313.5</v>
      </c>
      <c r="H2179">
        <v>433.5</v>
      </c>
      <c r="I2179">
        <v>33.380000000000003</v>
      </c>
      <c r="J2179">
        <v>3.2587999999999999</v>
      </c>
    </row>
    <row r="2180" spans="2:10" x14ac:dyDescent="0.3">
      <c r="B2180" s="10">
        <f t="shared" si="68"/>
        <v>2018</v>
      </c>
      <c r="C2180" s="10">
        <f t="shared" si="69"/>
        <v>1</v>
      </c>
      <c r="D2180" s="20">
        <v>43101</v>
      </c>
      <c r="J2180">
        <v>3.3121</v>
      </c>
    </row>
    <row r="2181" spans="2:10" x14ac:dyDescent="0.3">
      <c r="B2181" s="10">
        <f t="shared" si="68"/>
        <v>2017</v>
      </c>
      <c r="C2181" s="10">
        <f t="shared" si="69"/>
        <v>12</v>
      </c>
      <c r="D2181" s="20">
        <v>43098</v>
      </c>
      <c r="E2181">
        <v>350.75</v>
      </c>
      <c r="F2181">
        <v>951.75</v>
      </c>
      <c r="G2181">
        <v>312.60000000000002</v>
      </c>
      <c r="H2181">
        <v>427</v>
      </c>
      <c r="I2181">
        <v>33.08</v>
      </c>
      <c r="J2181">
        <v>3.3121</v>
      </c>
    </row>
    <row r="2182" spans="2:10" x14ac:dyDescent="0.3">
      <c r="B2182" s="10">
        <f t="shared" si="68"/>
        <v>2017</v>
      </c>
      <c r="C2182" s="10">
        <f t="shared" si="69"/>
        <v>12</v>
      </c>
      <c r="D2182" s="20">
        <v>43097</v>
      </c>
      <c r="E2182">
        <v>352</v>
      </c>
      <c r="F2182">
        <v>945.75</v>
      </c>
      <c r="G2182">
        <v>311.8</v>
      </c>
      <c r="H2182">
        <v>427.75</v>
      </c>
      <c r="I2182">
        <v>32.5</v>
      </c>
      <c r="J2182">
        <v>3.3121</v>
      </c>
    </row>
    <row r="2183" spans="2:10" x14ac:dyDescent="0.3">
      <c r="B2183" s="10">
        <f t="shared" si="68"/>
        <v>2017</v>
      </c>
      <c r="C2183" s="10">
        <f t="shared" si="69"/>
        <v>12</v>
      </c>
      <c r="D2183" s="20">
        <v>43096</v>
      </c>
      <c r="E2183">
        <v>353.75</v>
      </c>
      <c r="F2183">
        <v>955.5</v>
      </c>
      <c r="G2183">
        <v>314.2</v>
      </c>
      <c r="H2183">
        <v>428</v>
      </c>
      <c r="I2183">
        <v>33.07</v>
      </c>
      <c r="J2183">
        <v>3.3149000000000002</v>
      </c>
    </row>
    <row r="2184" spans="2:10" x14ac:dyDescent="0.3">
      <c r="B2184" s="10">
        <f t="shared" si="68"/>
        <v>2017</v>
      </c>
      <c r="C2184" s="10">
        <f t="shared" si="69"/>
        <v>12</v>
      </c>
      <c r="D2184" s="20">
        <v>43095</v>
      </c>
      <c r="E2184">
        <v>352.75</v>
      </c>
      <c r="F2184">
        <v>959.25</v>
      </c>
      <c r="G2184">
        <v>315.2</v>
      </c>
      <c r="H2184">
        <v>422.25</v>
      </c>
      <c r="I2184">
        <v>33.200000000000003</v>
      </c>
      <c r="J2184">
        <v>3.3109999999999999</v>
      </c>
    </row>
    <row r="2185" spans="2:10" x14ac:dyDescent="0.3">
      <c r="B2185" s="10">
        <f t="shared" si="68"/>
        <v>2017</v>
      </c>
      <c r="C2185" s="10">
        <f t="shared" si="69"/>
        <v>12</v>
      </c>
      <c r="D2185" s="20">
        <v>43094</v>
      </c>
      <c r="J2185">
        <v>3.3369</v>
      </c>
    </row>
    <row r="2186" spans="2:10" x14ac:dyDescent="0.3">
      <c r="B2186" s="10">
        <f t="shared" si="68"/>
        <v>2017</v>
      </c>
      <c r="C2186" s="10">
        <f t="shared" si="69"/>
        <v>12</v>
      </c>
      <c r="D2186" s="20">
        <v>43091</v>
      </c>
      <c r="E2186">
        <v>352</v>
      </c>
      <c r="F2186">
        <v>949.5</v>
      </c>
      <c r="G2186">
        <v>312.8</v>
      </c>
      <c r="H2186">
        <v>424.75</v>
      </c>
      <c r="I2186">
        <v>32.74</v>
      </c>
      <c r="J2186">
        <v>3.3369</v>
      </c>
    </row>
    <row r="2187" spans="2:10" x14ac:dyDescent="0.3">
      <c r="B2187" s="10">
        <f t="shared" si="68"/>
        <v>2017</v>
      </c>
      <c r="C2187" s="10">
        <f t="shared" si="69"/>
        <v>12</v>
      </c>
      <c r="D2187" s="20">
        <v>43090</v>
      </c>
      <c r="E2187">
        <v>351.25</v>
      </c>
      <c r="F2187">
        <v>948.75</v>
      </c>
      <c r="G2187">
        <v>314.2</v>
      </c>
      <c r="H2187">
        <v>427</v>
      </c>
      <c r="I2187">
        <v>32.67</v>
      </c>
      <c r="J2187">
        <v>3.3083</v>
      </c>
    </row>
    <row r="2188" spans="2:10" x14ac:dyDescent="0.3">
      <c r="B2188" s="10">
        <f t="shared" si="68"/>
        <v>2017</v>
      </c>
      <c r="C2188" s="10">
        <f t="shared" si="69"/>
        <v>12</v>
      </c>
      <c r="D2188" s="20">
        <v>43089</v>
      </c>
      <c r="E2188">
        <v>349.25</v>
      </c>
      <c r="F2188">
        <v>954</v>
      </c>
      <c r="G2188">
        <v>315.7</v>
      </c>
      <c r="H2188">
        <v>423.5</v>
      </c>
      <c r="I2188">
        <v>32.96</v>
      </c>
      <c r="J2188">
        <v>3.2976999999999999</v>
      </c>
    </row>
    <row r="2189" spans="2:10" x14ac:dyDescent="0.3">
      <c r="B2189" s="10">
        <f t="shared" si="68"/>
        <v>2017</v>
      </c>
      <c r="C2189" s="10">
        <f t="shared" si="69"/>
        <v>12</v>
      </c>
      <c r="D2189" s="20">
        <v>43088</v>
      </c>
      <c r="E2189">
        <v>347.5</v>
      </c>
      <c r="F2189">
        <v>956</v>
      </c>
      <c r="G2189">
        <v>315.2</v>
      </c>
      <c r="H2189">
        <v>419.5</v>
      </c>
      <c r="I2189">
        <v>33.22</v>
      </c>
      <c r="J2189">
        <v>3.2898999999999998</v>
      </c>
    </row>
    <row r="2190" spans="2:10" x14ac:dyDescent="0.3">
      <c r="B2190" s="10">
        <f t="shared" si="68"/>
        <v>2017</v>
      </c>
      <c r="C2190" s="10">
        <f t="shared" si="69"/>
        <v>12</v>
      </c>
      <c r="D2190" s="20">
        <v>43087</v>
      </c>
      <c r="E2190">
        <v>347</v>
      </c>
      <c r="F2190">
        <v>961.5</v>
      </c>
      <c r="G2190">
        <v>318.5</v>
      </c>
      <c r="H2190">
        <v>420.5</v>
      </c>
      <c r="I2190">
        <v>33.020000000000003</v>
      </c>
      <c r="J2190">
        <v>3.2921999999999998</v>
      </c>
    </row>
    <row r="2191" spans="2:10" x14ac:dyDescent="0.3">
      <c r="B2191" s="10">
        <f t="shared" si="68"/>
        <v>2017</v>
      </c>
      <c r="C2191" s="10">
        <f t="shared" si="69"/>
        <v>12</v>
      </c>
      <c r="D2191" s="20">
        <v>43084</v>
      </c>
      <c r="E2191">
        <v>347.5</v>
      </c>
      <c r="F2191">
        <v>967.25</v>
      </c>
      <c r="G2191">
        <v>320.60000000000002</v>
      </c>
      <c r="H2191">
        <v>418.25</v>
      </c>
      <c r="I2191">
        <v>33.159999999999997</v>
      </c>
      <c r="J2191">
        <v>3.2946</v>
      </c>
    </row>
    <row r="2192" spans="2:10" x14ac:dyDescent="0.3">
      <c r="B2192" s="10">
        <f t="shared" si="68"/>
        <v>2017</v>
      </c>
      <c r="C2192" s="10">
        <f t="shared" si="69"/>
        <v>12</v>
      </c>
      <c r="D2192" s="20">
        <v>43083</v>
      </c>
      <c r="E2192">
        <v>336.25</v>
      </c>
      <c r="F2192">
        <v>967.75</v>
      </c>
      <c r="G2192">
        <v>321.2</v>
      </c>
      <c r="H2192">
        <v>395</v>
      </c>
      <c r="I2192">
        <v>33.020000000000003</v>
      </c>
      <c r="J2192">
        <v>3.3418000000000001</v>
      </c>
    </row>
    <row r="2193" spans="2:10" x14ac:dyDescent="0.3">
      <c r="B2193" s="10">
        <f t="shared" si="68"/>
        <v>2017</v>
      </c>
      <c r="C2193" s="10">
        <f t="shared" si="69"/>
        <v>12</v>
      </c>
      <c r="D2193" s="20">
        <v>43082</v>
      </c>
      <c r="E2193">
        <v>336.75</v>
      </c>
      <c r="F2193">
        <v>979.25</v>
      </c>
      <c r="G2193">
        <v>325.10000000000002</v>
      </c>
      <c r="H2193">
        <v>392.25</v>
      </c>
      <c r="I2193">
        <v>33.11</v>
      </c>
      <c r="J2193">
        <v>3.3098999999999998</v>
      </c>
    </row>
    <row r="2194" spans="2:10" x14ac:dyDescent="0.3">
      <c r="B2194" s="10">
        <f t="shared" si="68"/>
        <v>2017</v>
      </c>
      <c r="C2194" s="10">
        <f t="shared" si="69"/>
        <v>12</v>
      </c>
      <c r="D2194" s="20">
        <v>43081</v>
      </c>
      <c r="E2194">
        <v>335.75</v>
      </c>
      <c r="F2194">
        <v>975.75</v>
      </c>
      <c r="G2194">
        <v>322.89999999999998</v>
      </c>
      <c r="H2194">
        <v>387.25</v>
      </c>
      <c r="I2194">
        <v>33.36</v>
      </c>
      <c r="J2194">
        <v>3.3064</v>
      </c>
    </row>
    <row r="2195" spans="2:10" x14ac:dyDescent="0.3">
      <c r="B2195" s="10">
        <f t="shared" si="68"/>
        <v>2017</v>
      </c>
      <c r="C2195" s="10">
        <f t="shared" si="69"/>
        <v>12</v>
      </c>
      <c r="D2195" s="20">
        <v>43080</v>
      </c>
      <c r="E2195">
        <v>336.5</v>
      </c>
      <c r="F2195">
        <v>982.5</v>
      </c>
      <c r="G2195">
        <v>326</v>
      </c>
      <c r="H2195">
        <v>387.75</v>
      </c>
      <c r="I2195">
        <v>33.4</v>
      </c>
      <c r="J2195">
        <v>3.3047</v>
      </c>
    </row>
    <row r="2196" spans="2:10" x14ac:dyDescent="0.3">
      <c r="B2196" s="10">
        <f t="shared" si="68"/>
        <v>2017</v>
      </c>
      <c r="C2196" s="10">
        <f t="shared" si="69"/>
        <v>12</v>
      </c>
      <c r="D2196" s="20">
        <v>43077</v>
      </c>
      <c r="E2196">
        <v>340</v>
      </c>
      <c r="F2196">
        <v>989.75</v>
      </c>
      <c r="G2196">
        <v>330</v>
      </c>
      <c r="H2196">
        <v>392</v>
      </c>
      <c r="I2196">
        <v>33.54</v>
      </c>
      <c r="J2196">
        <v>3.2917999999999998</v>
      </c>
    </row>
    <row r="2197" spans="2:10" x14ac:dyDescent="0.3">
      <c r="B2197" s="10">
        <f t="shared" si="68"/>
        <v>2017</v>
      </c>
      <c r="C2197" s="10">
        <f t="shared" si="69"/>
        <v>12</v>
      </c>
      <c r="D2197" s="20">
        <v>43076</v>
      </c>
      <c r="E2197">
        <v>338.75</v>
      </c>
      <c r="F2197">
        <v>992</v>
      </c>
      <c r="G2197">
        <v>333.5</v>
      </c>
      <c r="H2197">
        <v>394.25</v>
      </c>
      <c r="I2197">
        <v>33.25</v>
      </c>
      <c r="J2197">
        <v>3.2906</v>
      </c>
    </row>
    <row r="2198" spans="2:10" x14ac:dyDescent="0.3">
      <c r="B2198" s="10">
        <f t="shared" si="68"/>
        <v>2017</v>
      </c>
      <c r="C2198" s="10">
        <f t="shared" si="69"/>
        <v>12</v>
      </c>
      <c r="D2198" s="20">
        <v>43075</v>
      </c>
      <c r="E2198">
        <v>339.25</v>
      </c>
      <c r="F2198">
        <v>1002.75</v>
      </c>
      <c r="G2198">
        <v>340.4</v>
      </c>
      <c r="H2198">
        <v>398.5</v>
      </c>
      <c r="I2198">
        <v>33.090000000000003</v>
      </c>
      <c r="J2198">
        <v>3.2355999999999998</v>
      </c>
    </row>
    <row r="2199" spans="2:10" x14ac:dyDescent="0.3">
      <c r="B2199" s="10">
        <f t="shared" si="68"/>
        <v>2017</v>
      </c>
      <c r="C2199" s="10">
        <f t="shared" si="69"/>
        <v>12</v>
      </c>
      <c r="D2199" s="20">
        <v>43074</v>
      </c>
      <c r="E2199">
        <v>339.75</v>
      </c>
      <c r="F2199">
        <v>1008.5</v>
      </c>
      <c r="G2199">
        <v>341.3</v>
      </c>
      <c r="H2199">
        <v>406</v>
      </c>
      <c r="I2199">
        <v>33.409999999999997</v>
      </c>
      <c r="J2199">
        <v>3.2414000000000001</v>
      </c>
    </row>
    <row r="2200" spans="2:10" x14ac:dyDescent="0.3">
      <c r="B2200" s="10">
        <f t="shared" si="68"/>
        <v>2017</v>
      </c>
      <c r="C2200" s="10">
        <f t="shared" si="69"/>
        <v>12</v>
      </c>
      <c r="D2200" s="20">
        <v>43073</v>
      </c>
      <c r="E2200">
        <v>339.5</v>
      </c>
      <c r="F2200">
        <v>998.5</v>
      </c>
      <c r="G2200">
        <v>335.4</v>
      </c>
      <c r="H2200">
        <v>410.25</v>
      </c>
      <c r="I2200">
        <v>33.36</v>
      </c>
      <c r="J2200">
        <v>3.2441</v>
      </c>
    </row>
    <row r="2201" spans="2:10" x14ac:dyDescent="0.3">
      <c r="B2201" s="10">
        <f t="shared" si="68"/>
        <v>2017</v>
      </c>
      <c r="C2201" s="10">
        <f t="shared" si="69"/>
        <v>12</v>
      </c>
      <c r="D2201" s="20">
        <v>43070</v>
      </c>
      <c r="E2201">
        <v>344.75</v>
      </c>
      <c r="F2201">
        <v>994.25</v>
      </c>
      <c r="G2201">
        <v>328.2</v>
      </c>
      <c r="H2201">
        <v>414.5</v>
      </c>
      <c r="I2201">
        <v>33.6</v>
      </c>
      <c r="J2201">
        <v>3.258</v>
      </c>
    </row>
    <row r="2202" spans="2:10" x14ac:dyDescent="0.3">
      <c r="B2202" s="10">
        <f t="shared" si="68"/>
        <v>2017</v>
      </c>
      <c r="C2202" s="10">
        <f t="shared" si="69"/>
        <v>11</v>
      </c>
      <c r="D2202" s="20">
        <v>43069</v>
      </c>
      <c r="E2202">
        <v>341.75</v>
      </c>
      <c r="F2202">
        <v>985.75</v>
      </c>
      <c r="G2202">
        <v>324.5</v>
      </c>
      <c r="H2202">
        <v>409.25</v>
      </c>
      <c r="I2202">
        <v>33.75</v>
      </c>
      <c r="J2202">
        <v>3.2726000000000002</v>
      </c>
    </row>
    <row r="2203" spans="2:10" x14ac:dyDescent="0.3">
      <c r="B2203" s="10">
        <f t="shared" si="68"/>
        <v>2017</v>
      </c>
      <c r="C2203" s="10">
        <f t="shared" si="69"/>
        <v>11</v>
      </c>
      <c r="D2203" s="20">
        <v>43068</v>
      </c>
      <c r="E2203">
        <v>339</v>
      </c>
      <c r="F2203">
        <v>992.5</v>
      </c>
      <c r="G2203">
        <v>325</v>
      </c>
      <c r="H2203">
        <v>416.5</v>
      </c>
      <c r="I2203">
        <v>33.950000000000003</v>
      </c>
      <c r="J2203">
        <v>3.246</v>
      </c>
    </row>
    <row r="2204" spans="2:10" x14ac:dyDescent="0.3">
      <c r="B2204" s="10">
        <f t="shared" si="68"/>
        <v>2017</v>
      </c>
      <c r="C2204" s="10">
        <f t="shared" si="69"/>
        <v>11</v>
      </c>
      <c r="D2204" s="20">
        <v>43067</v>
      </c>
      <c r="E2204">
        <v>336.25</v>
      </c>
      <c r="F2204">
        <v>993</v>
      </c>
      <c r="G2204">
        <v>323.5</v>
      </c>
      <c r="H2204">
        <v>410.75</v>
      </c>
      <c r="I2204">
        <v>34</v>
      </c>
      <c r="J2204">
        <v>3.2126999999999999</v>
      </c>
    </row>
    <row r="2205" spans="2:10" x14ac:dyDescent="0.3">
      <c r="B2205" s="10">
        <f t="shared" si="68"/>
        <v>2017</v>
      </c>
      <c r="C2205" s="10">
        <f t="shared" si="69"/>
        <v>11</v>
      </c>
      <c r="D2205" s="20">
        <v>43066</v>
      </c>
      <c r="E2205">
        <v>338.75</v>
      </c>
      <c r="F2205">
        <v>996</v>
      </c>
      <c r="G2205">
        <v>327.10000000000002</v>
      </c>
      <c r="H2205">
        <v>409.5</v>
      </c>
      <c r="I2205">
        <v>33.6</v>
      </c>
      <c r="J2205">
        <v>3.2277</v>
      </c>
    </row>
    <row r="2206" spans="2:10" x14ac:dyDescent="0.3">
      <c r="B2206" s="10">
        <f t="shared" si="68"/>
        <v>2017</v>
      </c>
      <c r="C2206" s="10">
        <f t="shared" si="69"/>
        <v>11</v>
      </c>
      <c r="D2206" s="20">
        <v>43063</v>
      </c>
      <c r="E2206">
        <v>342.25</v>
      </c>
      <c r="F2206">
        <v>993.25</v>
      </c>
      <c r="G2206">
        <v>323.8</v>
      </c>
      <c r="H2206">
        <v>415.75</v>
      </c>
      <c r="I2206">
        <v>33.94</v>
      </c>
      <c r="J2206">
        <v>3.2328999999999999</v>
      </c>
    </row>
    <row r="2207" spans="2:10" x14ac:dyDescent="0.3">
      <c r="B2207" s="10">
        <f t="shared" si="68"/>
        <v>2017</v>
      </c>
      <c r="C2207" s="10">
        <f t="shared" si="69"/>
        <v>11</v>
      </c>
      <c r="D2207" s="20">
        <v>43062</v>
      </c>
      <c r="J2207">
        <v>3.2218</v>
      </c>
    </row>
    <row r="2208" spans="2:10" x14ac:dyDescent="0.3">
      <c r="B2208" s="10">
        <f t="shared" si="68"/>
        <v>2017</v>
      </c>
      <c r="C2208" s="10">
        <f t="shared" si="69"/>
        <v>11</v>
      </c>
      <c r="D2208" s="20">
        <v>43061</v>
      </c>
      <c r="E2208">
        <v>345.25</v>
      </c>
      <c r="F2208">
        <v>997.25</v>
      </c>
      <c r="G2208">
        <v>324.39999999999998</v>
      </c>
      <c r="H2208">
        <v>422.75</v>
      </c>
      <c r="I2208">
        <v>34.049999999999997</v>
      </c>
      <c r="J2208">
        <v>3.2242000000000002</v>
      </c>
    </row>
    <row r="2209" spans="2:10" x14ac:dyDescent="0.3">
      <c r="B2209" s="10">
        <f t="shared" si="68"/>
        <v>2017</v>
      </c>
      <c r="C2209" s="10">
        <f t="shared" si="69"/>
        <v>11</v>
      </c>
      <c r="D2209" s="20">
        <v>43060</v>
      </c>
      <c r="E2209">
        <v>345</v>
      </c>
      <c r="F2209">
        <v>989</v>
      </c>
      <c r="G2209">
        <v>318.3</v>
      </c>
      <c r="H2209">
        <v>424.75</v>
      </c>
      <c r="I2209">
        <v>34.17</v>
      </c>
      <c r="J2209">
        <v>3.2587000000000002</v>
      </c>
    </row>
    <row r="2210" spans="2:10" x14ac:dyDescent="0.3">
      <c r="B2210" s="10">
        <f t="shared" si="68"/>
        <v>2017</v>
      </c>
      <c r="C2210" s="10">
        <f t="shared" si="69"/>
        <v>11</v>
      </c>
      <c r="D2210" s="20">
        <v>43059</v>
      </c>
      <c r="E2210">
        <v>345</v>
      </c>
      <c r="F2210">
        <v>990</v>
      </c>
      <c r="G2210">
        <v>319.8</v>
      </c>
      <c r="H2210">
        <v>422</v>
      </c>
      <c r="I2210">
        <v>33.950000000000003</v>
      </c>
      <c r="J2210">
        <v>3.2572000000000001</v>
      </c>
    </row>
    <row r="2211" spans="2:10" x14ac:dyDescent="0.3">
      <c r="B2211" s="10">
        <f t="shared" si="68"/>
        <v>2017</v>
      </c>
      <c r="C2211" s="10">
        <f t="shared" si="69"/>
        <v>11</v>
      </c>
      <c r="D2211" s="20">
        <v>43056</v>
      </c>
      <c r="E2211">
        <v>343</v>
      </c>
      <c r="F2211">
        <v>990.5</v>
      </c>
      <c r="G2211">
        <v>318.2</v>
      </c>
      <c r="H2211">
        <v>427.25</v>
      </c>
      <c r="I2211">
        <v>34.44</v>
      </c>
      <c r="J2211">
        <v>3.2572999999999999</v>
      </c>
    </row>
    <row r="2212" spans="2:10" x14ac:dyDescent="0.3">
      <c r="B2212" s="10">
        <f t="shared" si="68"/>
        <v>2017</v>
      </c>
      <c r="C2212" s="10">
        <f t="shared" si="69"/>
        <v>11</v>
      </c>
      <c r="D2212" s="20">
        <v>43055</v>
      </c>
      <c r="E2212">
        <v>336.5</v>
      </c>
      <c r="F2212">
        <v>972</v>
      </c>
      <c r="G2212">
        <v>310.5</v>
      </c>
      <c r="H2212">
        <v>421.5</v>
      </c>
      <c r="I2212">
        <v>34.43</v>
      </c>
      <c r="J2212">
        <v>3.2738999999999998</v>
      </c>
    </row>
    <row r="2213" spans="2:10" x14ac:dyDescent="0.3">
      <c r="B2213" s="10">
        <f t="shared" si="68"/>
        <v>2017</v>
      </c>
      <c r="C2213" s="10">
        <f t="shared" si="69"/>
        <v>11</v>
      </c>
      <c r="D2213" s="20">
        <v>43054</v>
      </c>
      <c r="E2213">
        <v>338.25</v>
      </c>
      <c r="F2213">
        <v>976.25</v>
      </c>
      <c r="G2213">
        <v>311.3</v>
      </c>
      <c r="H2213">
        <v>420</v>
      </c>
      <c r="I2213">
        <v>34.75</v>
      </c>
      <c r="J2213">
        <v>3.3132000000000001</v>
      </c>
    </row>
    <row r="2214" spans="2:10" x14ac:dyDescent="0.3">
      <c r="B2214" s="10">
        <f t="shared" si="68"/>
        <v>2017</v>
      </c>
      <c r="C2214" s="10">
        <f t="shared" si="69"/>
        <v>11</v>
      </c>
      <c r="D2214" s="20">
        <v>43053</v>
      </c>
      <c r="E2214">
        <v>337.5</v>
      </c>
      <c r="F2214">
        <v>959</v>
      </c>
      <c r="G2214">
        <v>310.3</v>
      </c>
      <c r="H2214">
        <v>428</v>
      </c>
      <c r="I2214">
        <v>34.01</v>
      </c>
      <c r="J2214">
        <v>3.3127</v>
      </c>
    </row>
    <row r="2215" spans="2:10" x14ac:dyDescent="0.3">
      <c r="B2215" s="10">
        <f t="shared" si="68"/>
        <v>2017</v>
      </c>
      <c r="C2215" s="10">
        <f t="shared" si="69"/>
        <v>11</v>
      </c>
      <c r="D2215" s="20">
        <v>43052</v>
      </c>
      <c r="E2215">
        <v>342.25</v>
      </c>
      <c r="F2215">
        <v>963.5</v>
      </c>
      <c r="G2215">
        <v>311.3</v>
      </c>
      <c r="H2215">
        <v>424.25</v>
      </c>
      <c r="I2215">
        <v>34.33</v>
      </c>
      <c r="J2215">
        <v>3.2793000000000001</v>
      </c>
    </row>
    <row r="2216" spans="2:10" x14ac:dyDescent="0.3">
      <c r="B2216" s="10">
        <f t="shared" si="68"/>
        <v>2017</v>
      </c>
      <c r="C2216" s="10">
        <f t="shared" si="69"/>
        <v>11</v>
      </c>
      <c r="D2216" s="20">
        <v>43049</v>
      </c>
      <c r="E2216">
        <v>343.5</v>
      </c>
      <c r="F2216">
        <v>977.25</v>
      </c>
      <c r="G2216">
        <v>314.5</v>
      </c>
      <c r="H2216">
        <v>431.5</v>
      </c>
      <c r="I2216">
        <v>34.81</v>
      </c>
      <c r="J2216">
        <v>3.2778</v>
      </c>
    </row>
    <row r="2217" spans="2:10" x14ac:dyDescent="0.3">
      <c r="B2217" s="10">
        <f t="shared" si="68"/>
        <v>2017</v>
      </c>
      <c r="C2217" s="10">
        <f t="shared" si="69"/>
        <v>11</v>
      </c>
      <c r="D2217" s="20">
        <v>43048</v>
      </c>
      <c r="E2217">
        <v>341.5</v>
      </c>
      <c r="F2217">
        <v>975.25</v>
      </c>
      <c r="G2217">
        <v>311.8</v>
      </c>
      <c r="H2217">
        <v>429</v>
      </c>
      <c r="I2217">
        <v>35.14</v>
      </c>
      <c r="J2217">
        <v>3.2519999999999998</v>
      </c>
    </row>
    <row r="2218" spans="2:10" x14ac:dyDescent="0.3">
      <c r="B2218" s="10">
        <f t="shared" si="68"/>
        <v>2017</v>
      </c>
      <c r="C2218" s="10">
        <f t="shared" si="69"/>
        <v>11</v>
      </c>
      <c r="D2218" s="20">
        <v>43047</v>
      </c>
      <c r="E2218">
        <v>348.25</v>
      </c>
      <c r="F2218">
        <v>988</v>
      </c>
      <c r="G2218">
        <v>315.2</v>
      </c>
      <c r="H2218">
        <v>426.75</v>
      </c>
      <c r="I2218">
        <v>35.369999999999997</v>
      </c>
      <c r="J2218">
        <v>3.2547000000000001</v>
      </c>
    </row>
    <row r="2219" spans="2:10" x14ac:dyDescent="0.3">
      <c r="B2219" s="10">
        <f t="shared" si="68"/>
        <v>2017</v>
      </c>
      <c r="C2219" s="10">
        <f t="shared" si="69"/>
        <v>11</v>
      </c>
      <c r="D2219" s="20">
        <v>43046</v>
      </c>
      <c r="E2219">
        <v>347.75</v>
      </c>
      <c r="F2219">
        <v>986</v>
      </c>
      <c r="G2219">
        <v>315.5</v>
      </c>
      <c r="H2219">
        <v>427.25</v>
      </c>
      <c r="I2219">
        <v>35.020000000000003</v>
      </c>
      <c r="J2219">
        <v>3.2713000000000001</v>
      </c>
    </row>
    <row r="2220" spans="2:10" x14ac:dyDescent="0.3">
      <c r="B2220" s="10">
        <f t="shared" si="68"/>
        <v>2017</v>
      </c>
      <c r="C2220" s="10">
        <f t="shared" si="69"/>
        <v>11</v>
      </c>
      <c r="D2220" s="20">
        <v>43045</v>
      </c>
      <c r="E2220">
        <v>348</v>
      </c>
      <c r="F2220">
        <v>984</v>
      </c>
      <c r="G2220">
        <v>316.10000000000002</v>
      </c>
      <c r="H2220">
        <v>430.75</v>
      </c>
      <c r="I2220">
        <v>34.729999999999997</v>
      </c>
      <c r="J2220">
        <v>3.2494000000000001</v>
      </c>
    </row>
    <row r="2221" spans="2:10" x14ac:dyDescent="0.3">
      <c r="B2221" s="10">
        <f t="shared" si="68"/>
        <v>2017</v>
      </c>
      <c r="C2221" s="10">
        <f t="shared" si="69"/>
        <v>11</v>
      </c>
      <c r="D2221" s="20">
        <v>43042</v>
      </c>
      <c r="E2221">
        <v>348.25</v>
      </c>
      <c r="F2221">
        <v>977</v>
      </c>
      <c r="G2221">
        <v>313.89999999999998</v>
      </c>
      <c r="H2221">
        <v>425.75</v>
      </c>
      <c r="I2221">
        <v>34.42</v>
      </c>
      <c r="J2221">
        <v>3.3142</v>
      </c>
    </row>
    <row r="2222" spans="2:10" x14ac:dyDescent="0.3">
      <c r="B2222" s="10">
        <f t="shared" si="68"/>
        <v>2017</v>
      </c>
      <c r="C2222" s="10">
        <f t="shared" si="69"/>
        <v>11</v>
      </c>
      <c r="D2222" s="20">
        <v>43041</v>
      </c>
      <c r="E2222">
        <v>350.5</v>
      </c>
      <c r="F2222">
        <v>989</v>
      </c>
      <c r="G2222">
        <v>317.39999999999998</v>
      </c>
      <c r="H2222">
        <v>426</v>
      </c>
      <c r="I2222">
        <v>34.86</v>
      </c>
      <c r="J2222">
        <v>3.2669999999999999</v>
      </c>
    </row>
    <row r="2223" spans="2:10" x14ac:dyDescent="0.3">
      <c r="B2223" s="10">
        <f t="shared" si="68"/>
        <v>2017</v>
      </c>
      <c r="C2223" s="10">
        <f t="shared" si="69"/>
        <v>11</v>
      </c>
      <c r="D2223" s="20">
        <v>43040</v>
      </c>
      <c r="E2223">
        <v>348.25</v>
      </c>
      <c r="F2223">
        <v>981</v>
      </c>
      <c r="G2223">
        <v>313.60000000000002</v>
      </c>
      <c r="H2223">
        <v>418</v>
      </c>
      <c r="I2223">
        <v>34.9</v>
      </c>
      <c r="J2223">
        <v>3.2673000000000001</v>
      </c>
    </row>
    <row r="2224" spans="2:10" x14ac:dyDescent="0.3">
      <c r="B2224" s="10">
        <f t="shared" si="68"/>
        <v>2017</v>
      </c>
      <c r="C2224" s="10">
        <f t="shared" si="69"/>
        <v>10</v>
      </c>
      <c r="D2224" s="20">
        <v>43039</v>
      </c>
      <c r="E2224">
        <v>345.75</v>
      </c>
      <c r="F2224">
        <v>973.75</v>
      </c>
      <c r="G2224">
        <v>311.8</v>
      </c>
      <c r="H2224">
        <v>418.5</v>
      </c>
      <c r="I2224">
        <v>34.75</v>
      </c>
      <c r="J2224">
        <v>3.2724000000000002</v>
      </c>
    </row>
    <row r="2225" spans="2:10" x14ac:dyDescent="0.3">
      <c r="B2225" s="10">
        <f t="shared" si="68"/>
        <v>2017</v>
      </c>
      <c r="C2225" s="10">
        <f t="shared" si="69"/>
        <v>10</v>
      </c>
      <c r="D2225" s="20">
        <v>43038</v>
      </c>
      <c r="E2225">
        <v>348.75</v>
      </c>
      <c r="F2225">
        <v>972.75</v>
      </c>
      <c r="G2225">
        <v>312.3</v>
      </c>
      <c r="H2225">
        <v>424.75</v>
      </c>
      <c r="I2225">
        <v>34.68</v>
      </c>
      <c r="J2225">
        <v>3.2888000000000002</v>
      </c>
    </row>
    <row r="2226" spans="2:10" x14ac:dyDescent="0.3">
      <c r="B2226" s="10">
        <f t="shared" si="68"/>
        <v>2017</v>
      </c>
      <c r="C2226" s="10">
        <f t="shared" si="69"/>
        <v>10</v>
      </c>
      <c r="D2226" s="20">
        <v>43035</v>
      </c>
      <c r="E2226">
        <v>348.75</v>
      </c>
      <c r="F2226">
        <v>975.25</v>
      </c>
      <c r="G2226">
        <v>312.10000000000002</v>
      </c>
      <c r="H2226">
        <v>427.25</v>
      </c>
      <c r="I2226">
        <v>34.840000000000003</v>
      </c>
      <c r="J2226">
        <v>3.2360000000000002</v>
      </c>
    </row>
    <row r="2227" spans="2:10" x14ac:dyDescent="0.3">
      <c r="B2227" s="10">
        <f t="shared" si="68"/>
        <v>2017</v>
      </c>
      <c r="C2227" s="10">
        <f t="shared" si="69"/>
        <v>10</v>
      </c>
      <c r="D2227" s="20">
        <v>43034</v>
      </c>
      <c r="E2227">
        <v>350.5</v>
      </c>
      <c r="F2227">
        <v>971.25</v>
      </c>
      <c r="G2227">
        <v>312.10000000000002</v>
      </c>
      <c r="H2227">
        <v>431.75</v>
      </c>
      <c r="I2227">
        <v>34.5</v>
      </c>
      <c r="J2227">
        <v>3.2902999999999998</v>
      </c>
    </row>
    <row r="2228" spans="2:10" x14ac:dyDescent="0.3">
      <c r="B2228" s="10">
        <f t="shared" si="68"/>
        <v>2017</v>
      </c>
      <c r="C2228" s="10">
        <f t="shared" si="69"/>
        <v>10</v>
      </c>
      <c r="D2228" s="20">
        <v>43033</v>
      </c>
      <c r="E2228">
        <v>351</v>
      </c>
      <c r="F2228">
        <v>975.5</v>
      </c>
      <c r="G2228">
        <v>315.39999999999998</v>
      </c>
      <c r="H2228">
        <v>435.5</v>
      </c>
      <c r="I2228">
        <v>34.26</v>
      </c>
      <c r="J2228">
        <v>3.2328999999999999</v>
      </c>
    </row>
    <row r="2229" spans="2:10" x14ac:dyDescent="0.3">
      <c r="B2229" s="10">
        <f t="shared" si="68"/>
        <v>2017</v>
      </c>
      <c r="C2229" s="10">
        <f t="shared" si="69"/>
        <v>10</v>
      </c>
      <c r="D2229" s="20">
        <v>43032</v>
      </c>
      <c r="E2229">
        <v>352.75</v>
      </c>
      <c r="F2229">
        <v>975.5</v>
      </c>
      <c r="G2229">
        <v>314.2</v>
      </c>
      <c r="H2229">
        <v>438</v>
      </c>
      <c r="I2229">
        <v>34.340000000000003</v>
      </c>
      <c r="J2229">
        <v>3.2431999999999999</v>
      </c>
    </row>
    <row r="2230" spans="2:10" x14ac:dyDescent="0.3">
      <c r="B2230" s="10">
        <f t="shared" si="68"/>
        <v>2017</v>
      </c>
      <c r="C2230" s="10">
        <f t="shared" si="69"/>
        <v>10</v>
      </c>
      <c r="D2230" s="20">
        <v>43031</v>
      </c>
      <c r="E2230">
        <v>351.25</v>
      </c>
      <c r="F2230">
        <v>980.75</v>
      </c>
      <c r="G2230">
        <v>315.89999999999998</v>
      </c>
      <c r="H2230">
        <v>436.75</v>
      </c>
      <c r="I2230">
        <v>34.630000000000003</v>
      </c>
      <c r="J2230">
        <v>3.2376</v>
      </c>
    </row>
    <row r="2231" spans="2:10" x14ac:dyDescent="0.3">
      <c r="B2231" s="10">
        <f t="shared" si="68"/>
        <v>2017</v>
      </c>
      <c r="C2231" s="10">
        <f t="shared" si="69"/>
        <v>10</v>
      </c>
      <c r="D2231" s="20">
        <v>43028</v>
      </c>
      <c r="E2231">
        <v>344.5</v>
      </c>
      <c r="F2231">
        <v>978.75</v>
      </c>
      <c r="G2231">
        <v>317.10000000000002</v>
      </c>
      <c r="H2231">
        <v>426</v>
      </c>
      <c r="I2231">
        <v>34.159999999999997</v>
      </c>
      <c r="J2231">
        <v>3.1922999999999999</v>
      </c>
    </row>
    <row r="2232" spans="2:10" x14ac:dyDescent="0.3">
      <c r="B2232" s="10">
        <f t="shared" si="68"/>
        <v>2017</v>
      </c>
      <c r="C2232" s="10">
        <f t="shared" si="69"/>
        <v>10</v>
      </c>
      <c r="D2232" s="20">
        <v>43027</v>
      </c>
      <c r="E2232">
        <v>349</v>
      </c>
      <c r="F2232">
        <v>986.5</v>
      </c>
      <c r="G2232">
        <v>321.39999999999998</v>
      </c>
      <c r="H2232">
        <v>432.75</v>
      </c>
      <c r="I2232">
        <v>33.83</v>
      </c>
      <c r="J2232">
        <v>3.1663000000000001</v>
      </c>
    </row>
    <row r="2233" spans="2:10" x14ac:dyDescent="0.3">
      <c r="B2233" s="10">
        <f t="shared" si="68"/>
        <v>2017</v>
      </c>
      <c r="C2233" s="10">
        <f t="shared" si="69"/>
        <v>10</v>
      </c>
      <c r="D2233" s="20">
        <v>43026</v>
      </c>
      <c r="E2233">
        <v>348.5</v>
      </c>
      <c r="F2233">
        <v>984.25</v>
      </c>
      <c r="G2233">
        <v>321.8</v>
      </c>
      <c r="H2233">
        <v>430</v>
      </c>
      <c r="I2233">
        <v>33.409999999999997</v>
      </c>
      <c r="J2233">
        <v>3.1705999999999999</v>
      </c>
    </row>
    <row r="2234" spans="2:10" x14ac:dyDescent="0.3">
      <c r="B2234" s="10">
        <f t="shared" si="68"/>
        <v>2017</v>
      </c>
      <c r="C2234" s="10">
        <f t="shared" si="69"/>
        <v>10</v>
      </c>
      <c r="D2234" s="20">
        <v>43025</v>
      </c>
      <c r="E2234">
        <v>350</v>
      </c>
      <c r="F2234">
        <v>984.75</v>
      </c>
      <c r="G2234">
        <v>321.60000000000002</v>
      </c>
      <c r="H2234">
        <v>434.75</v>
      </c>
      <c r="I2234">
        <v>33.590000000000003</v>
      </c>
      <c r="J2234">
        <v>3.1575000000000002</v>
      </c>
    </row>
    <row r="2235" spans="2:10" x14ac:dyDescent="0.3">
      <c r="B2235" s="10">
        <f t="shared" si="68"/>
        <v>2017</v>
      </c>
      <c r="C2235" s="10">
        <f t="shared" si="69"/>
        <v>10</v>
      </c>
      <c r="D2235" s="20">
        <v>43024</v>
      </c>
      <c r="E2235">
        <v>350.5</v>
      </c>
      <c r="F2235">
        <v>991</v>
      </c>
      <c r="G2235">
        <v>324.5</v>
      </c>
      <c r="H2235">
        <v>436.5</v>
      </c>
      <c r="I2235">
        <v>33.590000000000003</v>
      </c>
      <c r="J2235">
        <v>3.1707000000000001</v>
      </c>
    </row>
    <row r="2236" spans="2:10" x14ac:dyDescent="0.3">
      <c r="B2236" s="10">
        <f t="shared" si="68"/>
        <v>2017</v>
      </c>
      <c r="C2236" s="10">
        <f t="shared" si="69"/>
        <v>10</v>
      </c>
      <c r="D2236" s="20">
        <v>43021</v>
      </c>
      <c r="E2236">
        <v>352.75</v>
      </c>
      <c r="F2236">
        <v>1000.25</v>
      </c>
      <c r="G2236">
        <v>324.5</v>
      </c>
      <c r="H2236">
        <v>439.5</v>
      </c>
      <c r="I2236">
        <v>33.49</v>
      </c>
      <c r="J2236">
        <v>3.1446999999999998</v>
      </c>
    </row>
    <row r="2237" spans="2:10" x14ac:dyDescent="0.3">
      <c r="B2237" s="10">
        <f t="shared" si="68"/>
        <v>2017</v>
      </c>
      <c r="C2237" s="10">
        <f t="shared" si="69"/>
        <v>10</v>
      </c>
      <c r="D2237" s="20">
        <v>43020</v>
      </c>
      <c r="E2237">
        <v>349</v>
      </c>
      <c r="F2237">
        <v>992</v>
      </c>
      <c r="G2237">
        <v>322.7</v>
      </c>
      <c r="H2237">
        <v>430.5</v>
      </c>
      <c r="I2237">
        <v>33.07</v>
      </c>
      <c r="J2237">
        <v>3.1695000000000002</v>
      </c>
    </row>
    <row r="2238" spans="2:10" x14ac:dyDescent="0.3">
      <c r="B2238" s="10">
        <f t="shared" si="68"/>
        <v>2017</v>
      </c>
      <c r="C2238" s="10">
        <f t="shared" si="69"/>
        <v>10</v>
      </c>
      <c r="D2238" s="20">
        <v>43019</v>
      </c>
      <c r="E2238">
        <v>346</v>
      </c>
      <c r="F2238">
        <v>965.25</v>
      </c>
      <c r="G2238">
        <v>311.2</v>
      </c>
      <c r="H2238">
        <v>433.25</v>
      </c>
      <c r="I2238">
        <v>32.909999999999997</v>
      </c>
      <c r="J2238">
        <v>3.1722000000000001</v>
      </c>
    </row>
    <row r="2239" spans="2:10" x14ac:dyDescent="0.3">
      <c r="B2239" s="10">
        <f t="shared" si="68"/>
        <v>2017</v>
      </c>
      <c r="C2239" s="10">
        <f t="shared" si="69"/>
        <v>10</v>
      </c>
      <c r="D2239" s="20">
        <v>43018</v>
      </c>
      <c r="E2239">
        <v>349.25</v>
      </c>
      <c r="F2239">
        <v>966</v>
      </c>
      <c r="G2239">
        <v>312.5</v>
      </c>
      <c r="H2239">
        <v>435.25</v>
      </c>
      <c r="I2239">
        <v>32.86</v>
      </c>
      <c r="J2239">
        <v>3.1791</v>
      </c>
    </row>
    <row r="2240" spans="2:10" x14ac:dyDescent="0.3">
      <c r="B2240" s="10">
        <f t="shared" ref="B2240:B2303" si="70">YEAR(D2240)</f>
        <v>2017</v>
      </c>
      <c r="C2240" s="10">
        <f t="shared" ref="C2240:C2303" si="71">MONTH(D2240)</f>
        <v>10</v>
      </c>
      <c r="D2240" s="20">
        <v>43017</v>
      </c>
      <c r="E2240">
        <v>349.5</v>
      </c>
      <c r="F2240">
        <v>966.75</v>
      </c>
      <c r="G2240">
        <v>311.5</v>
      </c>
      <c r="H2240">
        <v>436</v>
      </c>
      <c r="I2240">
        <v>33.020000000000003</v>
      </c>
      <c r="J2240">
        <v>3.1882000000000001</v>
      </c>
    </row>
    <row r="2241" spans="2:10" x14ac:dyDescent="0.3">
      <c r="B2241" s="10">
        <f t="shared" si="70"/>
        <v>2017</v>
      </c>
      <c r="C2241" s="10">
        <f t="shared" si="71"/>
        <v>10</v>
      </c>
      <c r="D2241" s="20">
        <v>43014</v>
      </c>
      <c r="E2241">
        <v>350</v>
      </c>
      <c r="F2241">
        <v>972.25</v>
      </c>
      <c r="G2241">
        <v>315</v>
      </c>
      <c r="H2241">
        <v>443.5</v>
      </c>
      <c r="I2241">
        <v>32.71</v>
      </c>
      <c r="J2241">
        <v>3.1558000000000002</v>
      </c>
    </row>
    <row r="2242" spans="2:10" x14ac:dyDescent="0.3">
      <c r="B2242" s="10">
        <f t="shared" si="70"/>
        <v>2017</v>
      </c>
      <c r="C2242" s="10">
        <f t="shared" si="71"/>
        <v>10</v>
      </c>
      <c r="D2242" s="20">
        <v>43013</v>
      </c>
      <c r="E2242">
        <v>349.5</v>
      </c>
      <c r="F2242">
        <v>968.25</v>
      </c>
      <c r="G2242">
        <v>312.89999999999998</v>
      </c>
      <c r="H2242">
        <v>440.75</v>
      </c>
      <c r="I2242">
        <v>32.770000000000003</v>
      </c>
      <c r="J2242">
        <v>3.1539000000000001</v>
      </c>
    </row>
    <row r="2243" spans="2:10" x14ac:dyDescent="0.3">
      <c r="B2243" s="10">
        <f t="shared" si="70"/>
        <v>2017</v>
      </c>
      <c r="C2243" s="10">
        <f t="shared" si="71"/>
        <v>10</v>
      </c>
      <c r="D2243" s="20">
        <v>43012</v>
      </c>
      <c r="E2243">
        <v>348.25</v>
      </c>
      <c r="F2243">
        <v>958.25</v>
      </c>
      <c r="G2243">
        <v>306.89999999999998</v>
      </c>
      <c r="H2243">
        <v>442</v>
      </c>
      <c r="I2243">
        <v>32.99</v>
      </c>
      <c r="J2243">
        <v>3.1349</v>
      </c>
    </row>
    <row r="2244" spans="2:10" x14ac:dyDescent="0.3">
      <c r="B2244" s="10">
        <f t="shared" si="70"/>
        <v>2017</v>
      </c>
      <c r="C2244" s="10">
        <f t="shared" si="71"/>
        <v>10</v>
      </c>
      <c r="D2244" s="20">
        <v>43011</v>
      </c>
      <c r="E2244">
        <v>349.5</v>
      </c>
      <c r="F2244">
        <v>955.25</v>
      </c>
      <c r="G2244">
        <v>307.3</v>
      </c>
      <c r="H2244">
        <v>448</v>
      </c>
      <c r="I2244">
        <v>32.51</v>
      </c>
      <c r="J2244">
        <v>3.1425000000000001</v>
      </c>
    </row>
    <row r="2245" spans="2:10" x14ac:dyDescent="0.3">
      <c r="B2245" s="10">
        <f t="shared" si="70"/>
        <v>2017</v>
      </c>
      <c r="C2245" s="10">
        <f t="shared" si="71"/>
        <v>10</v>
      </c>
      <c r="D2245" s="20">
        <v>43010</v>
      </c>
      <c r="E2245">
        <v>351.5</v>
      </c>
      <c r="F2245">
        <v>957.25</v>
      </c>
      <c r="G2245">
        <v>309.10000000000002</v>
      </c>
      <c r="H2245">
        <v>444.75</v>
      </c>
      <c r="I2245">
        <v>32.28</v>
      </c>
      <c r="J2245">
        <v>3.1537999999999999</v>
      </c>
    </row>
    <row r="2246" spans="2:10" x14ac:dyDescent="0.3">
      <c r="B2246" s="10">
        <f t="shared" si="70"/>
        <v>2017</v>
      </c>
      <c r="C2246" s="10">
        <f t="shared" si="71"/>
        <v>9</v>
      </c>
      <c r="D2246" s="20">
        <v>43007</v>
      </c>
      <c r="E2246">
        <v>355.25</v>
      </c>
      <c r="F2246">
        <v>968.25</v>
      </c>
      <c r="G2246">
        <v>311.5</v>
      </c>
      <c r="H2246">
        <v>448.25</v>
      </c>
      <c r="I2246">
        <v>32.57</v>
      </c>
      <c r="J2246">
        <v>3.1614</v>
      </c>
    </row>
    <row r="2247" spans="2:10" x14ac:dyDescent="0.3">
      <c r="B2247" s="10">
        <f t="shared" si="70"/>
        <v>2017</v>
      </c>
      <c r="C2247" s="10">
        <f t="shared" si="71"/>
        <v>9</v>
      </c>
      <c r="D2247" s="20">
        <v>43006</v>
      </c>
      <c r="E2247">
        <v>352.5</v>
      </c>
      <c r="F2247">
        <v>959.5</v>
      </c>
      <c r="G2247">
        <v>306.8</v>
      </c>
      <c r="H2247">
        <v>455</v>
      </c>
      <c r="I2247">
        <v>32.590000000000003</v>
      </c>
      <c r="J2247">
        <v>3.1821999999999999</v>
      </c>
    </row>
    <row r="2248" spans="2:10" x14ac:dyDescent="0.3">
      <c r="B2248" s="10">
        <f t="shared" si="70"/>
        <v>2017</v>
      </c>
      <c r="C2248" s="10">
        <f t="shared" si="71"/>
        <v>9</v>
      </c>
      <c r="D2248" s="20">
        <v>43005</v>
      </c>
      <c r="E2248">
        <v>354</v>
      </c>
      <c r="F2248">
        <v>965.5</v>
      </c>
      <c r="G2248">
        <v>308.8</v>
      </c>
      <c r="H2248">
        <v>461.5</v>
      </c>
      <c r="I2248">
        <v>33.020000000000003</v>
      </c>
      <c r="J2248">
        <v>3.1928999999999998</v>
      </c>
    </row>
    <row r="2249" spans="2:10" x14ac:dyDescent="0.3">
      <c r="B2249" s="10">
        <f t="shared" si="70"/>
        <v>2017</v>
      </c>
      <c r="C2249" s="10">
        <f t="shared" si="71"/>
        <v>9</v>
      </c>
      <c r="D2249" s="20">
        <v>43004</v>
      </c>
      <c r="E2249">
        <v>352.25</v>
      </c>
      <c r="F2249">
        <v>963.5</v>
      </c>
      <c r="G2249">
        <v>308.8</v>
      </c>
      <c r="H2249">
        <v>453.75</v>
      </c>
      <c r="I2249">
        <v>33.229999999999997</v>
      </c>
      <c r="J2249">
        <v>3.1661000000000001</v>
      </c>
    </row>
    <row r="2250" spans="2:10" x14ac:dyDescent="0.3">
      <c r="B2250" s="10">
        <f t="shared" si="70"/>
        <v>2017</v>
      </c>
      <c r="C2250" s="10">
        <f t="shared" si="71"/>
        <v>9</v>
      </c>
      <c r="D2250" s="20">
        <v>43003</v>
      </c>
      <c r="E2250">
        <v>353.75</v>
      </c>
      <c r="F2250">
        <v>971.25</v>
      </c>
      <c r="G2250">
        <v>310.10000000000002</v>
      </c>
      <c r="H2250">
        <v>454</v>
      </c>
      <c r="I2250">
        <v>33.78</v>
      </c>
      <c r="J2250">
        <v>3.1593</v>
      </c>
    </row>
    <row r="2251" spans="2:10" x14ac:dyDescent="0.3">
      <c r="B2251" s="10">
        <f t="shared" si="70"/>
        <v>2017</v>
      </c>
      <c r="C2251" s="10">
        <f t="shared" si="71"/>
        <v>9</v>
      </c>
      <c r="D2251" s="20">
        <v>43000</v>
      </c>
      <c r="E2251">
        <v>353.5</v>
      </c>
      <c r="F2251">
        <v>984.25</v>
      </c>
      <c r="G2251">
        <v>315</v>
      </c>
      <c r="H2251">
        <v>449.5</v>
      </c>
      <c r="I2251">
        <v>33.99</v>
      </c>
      <c r="J2251">
        <v>3.1242999999999999</v>
      </c>
    </row>
    <row r="2252" spans="2:10" x14ac:dyDescent="0.3">
      <c r="B2252" s="10">
        <f t="shared" si="70"/>
        <v>2017</v>
      </c>
      <c r="C2252" s="10">
        <f t="shared" si="71"/>
        <v>9</v>
      </c>
      <c r="D2252" s="20">
        <v>42999</v>
      </c>
      <c r="E2252">
        <v>350.25</v>
      </c>
      <c r="F2252">
        <v>970.75</v>
      </c>
      <c r="G2252">
        <v>309</v>
      </c>
      <c r="H2252">
        <v>452.5</v>
      </c>
      <c r="I2252">
        <v>34.1</v>
      </c>
      <c r="J2252">
        <v>3.1368999999999998</v>
      </c>
    </row>
    <row r="2253" spans="2:10" x14ac:dyDescent="0.3">
      <c r="B2253" s="10">
        <f t="shared" si="70"/>
        <v>2017</v>
      </c>
      <c r="C2253" s="10">
        <f t="shared" si="71"/>
        <v>9</v>
      </c>
      <c r="D2253" s="20">
        <v>42998</v>
      </c>
      <c r="E2253">
        <v>350</v>
      </c>
      <c r="F2253">
        <v>970</v>
      </c>
      <c r="G2253">
        <v>306.3</v>
      </c>
      <c r="H2253">
        <v>449.75</v>
      </c>
      <c r="I2253">
        <v>34.67</v>
      </c>
      <c r="J2253">
        <v>3.1320000000000001</v>
      </c>
    </row>
    <row r="2254" spans="2:10" x14ac:dyDescent="0.3">
      <c r="B2254" s="10">
        <f t="shared" si="70"/>
        <v>2017</v>
      </c>
      <c r="C2254" s="10">
        <f t="shared" si="71"/>
        <v>9</v>
      </c>
      <c r="D2254" s="20">
        <v>42997</v>
      </c>
      <c r="E2254">
        <v>348.25</v>
      </c>
      <c r="F2254">
        <v>965.5</v>
      </c>
      <c r="G2254">
        <v>305</v>
      </c>
      <c r="H2254">
        <v>443</v>
      </c>
      <c r="I2254">
        <v>34.520000000000003</v>
      </c>
      <c r="J2254">
        <v>3.1345999999999998</v>
      </c>
    </row>
    <row r="2255" spans="2:10" x14ac:dyDescent="0.3">
      <c r="B2255" s="10">
        <f t="shared" si="70"/>
        <v>2017</v>
      </c>
      <c r="C2255" s="10">
        <f t="shared" si="71"/>
        <v>9</v>
      </c>
      <c r="D2255" s="20">
        <v>42996</v>
      </c>
      <c r="E2255">
        <v>351.5</v>
      </c>
      <c r="F2255">
        <v>967.75</v>
      </c>
      <c r="G2255">
        <v>309</v>
      </c>
      <c r="H2255">
        <v>443.5</v>
      </c>
      <c r="I2255">
        <v>34.19</v>
      </c>
      <c r="J2255">
        <v>3.1360000000000001</v>
      </c>
    </row>
    <row r="2256" spans="2:10" x14ac:dyDescent="0.3">
      <c r="B2256" s="10">
        <f t="shared" si="70"/>
        <v>2017</v>
      </c>
      <c r="C2256" s="10">
        <f t="shared" si="71"/>
        <v>9</v>
      </c>
      <c r="D2256" s="20">
        <v>42993</v>
      </c>
      <c r="E2256">
        <v>354.75</v>
      </c>
      <c r="F2256">
        <v>968.75</v>
      </c>
      <c r="G2256">
        <v>308</v>
      </c>
      <c r="H2256">
        <v>449</v>
      </c>
      <c r="I2256">
        <v>34.56</v>
      </c>
      <c r="J2256">
        <v>3.1078999999999999</v>
      </c>
    </row>
    <row r="2257" spans="2:10" x14ac:dyDescent="0.3">
      <c r="B2257" s="10">
        <f t="shared" si="70"/>
        <v>2017</v>
      </c>
      <c r="C2257" s="10">
        <f t="shared" si="71"/>
        <v>9</v>
      </c>
      <c r="D2257" s="20">
        <v>42992</v>
      </c>
      <c r="E2257">
        <v>341.75</v>
      </c>
      <c r="F2257">
        <v>967.25</v>
      </c>
      <c r="G2257">
        <v>308.7</v>
      </c>
      <c r="H2257">
        <v>428.25</v>
      </c>
      <c r="I2257">
        <v>34.659999999999997</v>
      </c>
      <c r="J2257">
        <v>3.1179000000000001</v>
      </c>
    </row>
    <row r="2258" spans="2:10" x14ac:dyDescent="0.3">
      <c r="B2258" s="10">
        <f t="shared" si="70"/>
        <v>2017</v>
      </c>
      <c r="C2258" s="10">
        <f t="shared" si="71"/>
        <v>9</v>
      </c>
      <c r="D2258" s="20">
        <v>42991</v>
      </c>
      <c r="E2258">
        <v>338.5</v>
      </c>
      <c r="F2258">
        <v>953</v>
      </c>
      <c r="G2258">
        <v>300.3</v>
      </c>
      <c r="H2258">
        <v>420.75</v>
      </c>
      <c r="I2258">
        <v>34.72</v>
      </c>
      <c r="J2258">
        <v>3.1349</v>
      </c>
    </row>
    <row r="2259" spans="2:10" x14ac:dyDescent="0.3">
      <c r="B2259" s="10">
        <f t="shared" si="70"/>
        <v>2017</v>
      </c>
      <c r="C2259" s="10">
        <f t="shared" si="71"/>
        <v>9</v>
      </c>
      <c r="D2259" s="20">
        <v>42990</v>
      </c>
      <c r="E2259">
        <v>340</v>
      </c>
      <c r="F2259">
        <v>944.25</v>
      </c>
      <c r="G2259">
        <v>295.10000000000002</v>
      </c>
      <c r="H2259">
        <v>419.5</v>
      </c>
      <c r="I2259">
        <v>34.840000000000003</v>
      </c>
      <c r="J2259">
        <v>3.1244999999999998</v>
      </c>
    </row>
    <row r="2260" spans="2:10" x14ac:dyDescent="0.3">
      <c r="B2260" s="10">
        <f t="shared" si="70"/>
        <v>2017</v>
      </c>
      <c r="C2260" s="10">
        <f t="shared" si="71"/>
        <v>9</v>
      </c>
      <c r="D2260" s="20">
        <v>42989</v>
      </c>
      <c r="E2260">
        <v>345.5</v>
      </c>
      <c r="F2260">
        <v>954.75</v>
      </c>
      <c r="G2260">
        <v>298.89999999999998</v>
      </c>
      <c r="H2260">
        <v>412.25</v>
      </c>
      <c r="I2260">
        <v>34.79</v>
      </c>
      <c r="J2260">
        <v>3.1023000000000001</v>
      </c>
    </row>
    <row r="2261" spans="2:10" x14ac:dyDescent="0.3">
      <c r="B2261" s="10">
        <f t="shared" si="70"/>
        <v>2017</v>
      </c>
      <c r="C2261" s="10">
        <f t="shared" si="71"/>
        <v>9</v>
      </c>
      <c r="D2261" s="20">
        <v>42986</v>
      </c>
      <c r="E2261">
        <v>344.25</v>
      </c>
      <c r="F2261">
        <v>956.5</v>
      </c>
      <c r="G2261">
        <v>300.89999999999998</v>
      </c>
      <c r="H2261">
        <v>413.75</v>
      </c>
      <c r="I2261">
        <v>34.590000000000003</v>
      </c>
      <c r="J2261">
        <v>3.0865</v>
      </c>
    </row>
    <row r="2262" spans="2:10" x14ac:dyDescent="0.3">
      <c r="B2262" s="10">
        <f t="shared" si="70"/>
        <v>2017</v>
      </c>
      <c r="C2262" s="10">
        <f t="shared" si="71"/>
        <v>9</v>
      </c>
      <c r="D2262" s="20">
        <v>42985</v>
      </c>
      <c r="E2262">
        <v>341.75</v>
      </c>
      <c r="F2262">
        <v>963.25</v>
      </c>
      <c r="G2262">
        <v>302.39999999999998</v>
      </c>
      <c r="H2262">
        <v>413.5</v>
      </c>
      <c r="I2262">
        <v>35.08</v>
      </c>
      <c r="J2262">
        <v>3.0985</v>
      </c>
    </row>
    <row r="2263" spans="2:10" x14ac:dyDescent="0.3">
      <c r="B2263" s="10">
        <f t="shared" si="70"/>
        <v>2017</v>
      </c>
      <c r="C2263" s="10">
        <f t="shared" si="71"/>
        <v>9</v>
      </c>
      <c r="D2263" s="20">
        <v>42984</v>
      </c>
      <c r="E2263">
        <v>347</v>
      </c>
      <c r="F2263">
        <v>964.5</v>
      </c>
      <c r="G2263">
        <v>303.60000000000002</v>
      </c>
      <c r="H2263">
        <v>421.75</v>
      </c>
      <c r="I2263">
        <v>35.21</v>
      </c>
      <c r="J2263">
        <v>3.0996000000000001</v>
      </c>
    </row>
    <row r="2264" spans="2:10" x14ac:dyDescent="0.3">
      <c r="B2264" s="10">
        <f t="shared" si="70"/>
        <v>2017</v>
      </c>
      <c r="C2264" s="10">
        <f t="shared" si="71"/>
        <v>9</v>
      </c>
      <c r="D2264" s="20">
        <v>42983</v>
      </c>
      <c r="E2264">
        <v>344.25</v>
      </c>
      <c r="F2264">
        <v>960.5</v>
      </c>
      <c r="G2264">
        <v>302.8</v>
      </c>
      <c r="H2264">
        <v>430.5</v>
      </c>
      <c r="I2264">
        <v>35.1</v>
      </c>
      <c r="J2264">
        <v>3.1162999999999998</v>
      </c>
    </row>
    <row r="2265" spans="2:10" x14ac:dyDescent="0.3">
      <c r="B2265" s="10">
        <f t="shared" si="70"/>
        <v>2017</v>
      </c>
      <c r="C2265" s="10">
        <f t="shared" si="71"/>
        <v>9</v>
      </c>
      <c r="D2265" s="20">
        <v>42982</v>
      </c>
      <c r="J2265">
        <v>3.1412</v>
      </c>
    </row>
    <row r="2266" spans="2:10" x14ac:dyDescent="0.3">
      <c r="B2266" s="10">
        <f t="shared" si="70"/>
        <v>2017</v>
      </c>
      <c r="C2266" s="10">
        <f t="shared" si="71"/>
        <v>9</v>
      </c>
      <c r="D2266" s="20">
        <v>42979</v>
      </c>
      <c r="E2266">
        <v>340</v>
      </c>
      <c r="F2266">
        <v>942</v>
      </c>
      <c r="G2266">
        <v>293.2</v>
      </c>
      <c r="H2266">
        <v>420.5</v>
      </c>
      <c r="I2266">
        <v>35.31</v>
      </c>
      <c r="J2266">
        <v>3.1408999999999998</v>
      </c>
    </row>
    <row r="2267" spans="2:10" x14ac:dyDescent="0.3">
      <c r="B2267" s="10">
        <f t="shared" si="70"/>
        <v>2017</v>
      </c>
      <c r="C2267" s="10">
        <f t="shared" si="71"/>
        <v>8</v>
      </c>
      <c r="D2267" s="20">
        <v>42978</v>
      </c>
      <c r="E2267">
        <v>342.25</v>
      </c>
      <c r="F2267">
        <v>936.25</v>
      </c>
      <c r="G2267">
        <v>294.3</v>
      </c>
      <c r="H2267">
        <v>410.25</v>
      </c>
      <c r="I2267">
        <v>34.71</v>
      </c>
      <c r="J2267">
        <v>3.1474000000000002</v>
      </c>
    </row>
    <row r="2268" spans="2:10" x14ac:dyDescent="0.3">
      <c r="B2268" s="10">
        <f t="shared" si="70"/>
        <v>2017</v>
      </c>
      <c r="C2268" s="10">
        <f t="shared" si="71"/>
        <v>8</v>
      </c>
      <c r="D2268" s="20">
        <v>42977</v>
      </c>
      <c r="E2268">
        <v>329.5</v>
      </c>
      <c r="F2268">
        <v>923</v>
      </c>
      <c r="G2268">
        <v>292.39999999999998</v>
      </c>
      <c r="H2268">
        <v>403.5</v>
      </c>
      <c r="I2268">
        <v>34.33</v>
      </c>
      <c r="J2268">
        <v>3.1596000000000002</v>
      </c>
    </row>
    <row r="2269" spans="2:10" x14ac:dyDescent="0.3">
      <c r="B2269" s="10">
        <f t="shared" si="70"/>
        <v>2017</v>
      </c>
      <c r="C2269" s="10">
        <f t="shared" si="71"/>
        <v>8</v>
      </c>
      <c r="D2269" s="20">
        <v>42976</v>
      </c>
      <c r="E2269">
        <v>333.5</v>
      </c>
      <c r="F2269">
        <v>930.75</v>
      </c>
      <c r="G2269">
        <v>294.60000000000002</v>
      </c>
      <c r="H2269">
        <v>402.75</v>
      </c>
      <c r="I2269">
        <v>34.28</v>
      </c>
      <c r="J2269">
        <v>3.1644000000000001</v>
      </c>
    </row>
    <row r="2270" spans="2:10" x14ac:dyDescent="0.3">
      <c r="B2270" s="10">
        <f t="shared" si="70"/>
        <v>2017</v>
      </c>
      <c r="C2270" s="10">
        <f t="shared" si="71"/>
        <v>8</v>
      </c>
      <c r="D2270" s="20">
        <v>42975</v>
      </c>
      <c r="E2270">
        <v>336</v>
      </c>
      <c r="F2270">
        <v>935.25</v>
      </c>
      <c r="G2270">
        <v>295.5</v>
      </c>
      <c r="H2270">
        <v>400</v>
      </c>
      <c r="I2270">
        <v>34.590000000000003</v>
      </c>
      <c r="J2270">
        <v>3.1663999999999999</v>
      </c>
    </row>
    <row r="2271" spans="2:10" x14ac:dyDescent="0.3">
      <c r="B2271" s="10">
        <f t="shared" si="70"/>
        <v>2017</v>
      </c>
      <c r="C2271" s="10">
        <f t="shared" si="71"/>
        <v>8</v>
      </c>
      <c r="D2271" s="20">
        <v>42972</v>
      </c>
      <c r="E2271">
        <v>338.75</v>
      </c>
      <c r="F2271">
        <v>939</v>
      </c>
      <c r="G2271">
        <v>296.39999999999998</v>
      </c>
      <c r="H2271">
        <v>409.5</v>
      </c>
      <c r="I2271">
        <v>34.61</v>
      </c>
      <c r="J2271">
        <v>3.1595</v>
      </c>
    </row>
    <row r="2272" spans="2:10" x14ac:dyDescent="0.3">
      <c r="B2272" s="10">
        <f t="shared" si="70"/>
        <v>2017</v>
      </c>
      <c r="C2272" s="10">
        <f t="shared" si="71"/>
        <v>8</v>
      </c>
      <c r="D2272" s="20">
        <v>42971</v>
      </c>
      <c r="E2272">
        <v>342</v>
      </c>
      <c r="F2272">
        <v>941.25</v>
      </c>
      <c r="G2272">
        <v>297.60000000000002</v>
      </c>
      <c r="H2272">
        <v>409</v>
      </c>
      <c r="I2272">
        <v>34.78</v>
      </c>
      <c r="J2272">
        <v>3.1473</v>
      </c>
    </row>
    <row r="2273" spans="2:10" x14ac:dyDescent="0.3">
      <c r="B2273" s="10">
        <f t="shared" si="70"/>
        <v>2017</v>
      </c>
      <c r="C2273" s="10">
        <f t="shared" si="71"/>
        <v>8</v>
      </c>
      <c r="D2273" s="20">
        <v>42970</v>
      </c>
      <c r="E2273">
        <v>342</v>
      </c>
      <c r="F2273">
        <v>935</v>
      </c>
      <c r="G2273">
        <v>293.3</v>
      </c>
      <c r="H2273">
        <v>403.25</v>
      </c>
      <c r="I2273">
        <v>34.72</v>
      </c>
      <c r="J2273">
        <v>3.1404999999999998</v>
      </c>
    </row>
    <row r="2274" spans="2:10" x14ac:dyDescent="0.3">
      <c r="B2274" s="10">
        <f t="shared" si="70"/>
        <v>2017</v>
      </c>
      <c r="C2274" s="10">
        <f t="shared" si="71"/>
        <v>8</v>
      </c>
      <c r="D2274" s="20">
        <v>42969</v>
      </c>
      <c r="E2274">
        <v>346</v>
      </c>
      <c r="F2274">
        <v>933.75</v>
      </c>
      <c r="G2274">
        <v>295.3</v>
      </c>
      <c r="H2274">
        <v>402.25</v>
      </c>
      <c r="I2274">
        <v>34.06</v>
      </c>
      <c r="J2274">
        <v>3.1602000000000001</v>
      </c>
    </row>
    <row r="2275" spans="2:10" x14ac:dyDescent="0.3">
      <c r="B2275" s="10">
        <f t="shared" si="70"/>
        <v>2017</v>
      </c>
      <c r="C2275" s="10">
        <f t="shared" si="71"/>
        <v>8</v>
      </c>
      <c r="D2275" s="20">
        <v>42968</v>
      </c>
      <c r="E2275">
        <v>349</v>
      </c>
      <c r="F2275">
        <v>932.5</v>
      </c>
      <c r="G2275">
        <v>295.8</v>
      </c>
      <c r="H2275">
        <v>409.5</v>
      </c>
      <c r="I2275">
        <v>33.799999999999997</v>
      </c>
      <c r="J2275">
        <v>3.1642000000000001</v>
      </c>
    </row>
    <row r="2276" spans="2:10" x14ac:dyDescent="0.3">
      <c r="B2276" s="10">
        <f t="shared" si="70"/>
        <v>2017</v>
      </c>
      <c r="C2276" s="10">
        <f t="shared" si="71"/>
        <v>8</v>
      </c>
      <c r="D2276" s="20">
        <v>42965</v>
      </c>
      <c r="E2276">
        <v>352</v>
      </c>
      <c r="F2276">
        <v>937.5</v>
      </c>
      <c r="G2276">
        <v>297.2</v>
      </c>
      <c r="H2276">
        <v>416</v>
      </c>
      <c r="I2276">
        <v>33.61</v>
      </c>
      <c r="J2276">
        <v>3.1461999999999999</v>
      </c>
    </row>
    <row r="2277" spans="2:10" x14ac:dyDescent="0.3">
      <c r="B2277" s="10">
        <f t="shared" si="70"/>
        <v>2017</v>
      </c>
      <c r="C2277" s="10">
        <f t="shared" si="71"/>
        <v>8</v>
      </c>
      <c r="D2277" s="20">
        <v>42964</v>
      </c>
      <c r="E2277">
        <v>350.5</v>
      </c>
      <c r="F2277">
        <v>930.25</v>
      </c>
      <c r="G2277">
        <v>296.10000000000002</v>
      </c>
      <c r="H2277">
        <v>414</v>
      </c>
      <c r="I2277">
        <v>33.21</v>
      </c>
      <c r="J2277">
        <v>3.1741000000000001</v>
      </c>
    </row>
    <row r="2278" spans="2:10" x14ac:dyDescent="0.3">
      <c r="B2278" s="10">
        <f t="shared" si="70"/>
        <v>2017</v>
      </c>
      <c r="C2278" s="10">
        <f t="shared" si="71"/>
        <v>8</v>
      </c>
      <c r="D2278" s="20">
        <v>42963</v>
      </c>
      <c r="E2278">
        <v>352.5</v>
      </c>
      <c r="F2278">
        <v>921.75</v>
      </c>
      <c r="G2278">
        <v>294.60000000000002</v>
      </c>
      <c r="H2278">
        <v>419.25</v>
      </c>
      <c r="I2278">
        <v>32.85</v>
      </c>
      <c r="J2278">
        <v>3.1518000000000002</v>
      </c>
    </row>
    <row r="2279" spans="2:10" x14ac:dyDescent="0.3">
      <c r="B2279" s="10">
        <f t="shared" si="70"/>
        <v>2017</v>
      </c>
      <c r="C2279" s="10">
        <f t="shared" si="71"/>
        <v>8</v>
      </c>
      <c r="D2279" s="20">
        <v>42962</v>
      </c>
      <c r="E2279">
        <v>355.25</v>
      </c>
      <c r="F2279">
        <v>921.75</v>
      </c>
      <c r="G2279">
        <v>295.8</v>
      </c>
      <c r="H2279">
        <v>429.5</v>
      </c>
      <c r="I2279">
        <v>32.71</v>
      </c>
      <c r="J2279">
        <v>3.1692</v>
      </c>
    </row>
    <row r="2280" spans="2:10" x14ac:dyDescent="0.3">
      <c r="B2280" s="10">
        <f t="shared" si="70"/>
        <v>2017</v>
      </c>
      <c r="C2280" s="10">
        <f t="shared" si="71"/>
        <v>8</v>
      </c>
      <c r="D2280" s="20">
        <v>42961</v>
      </c>
      <c r="E2280">
        <v>362.75</v>
      </c>
      <c r="F2280">
        <v>925.5</v>
      </c>
      <c r="G2280">
        <v>296.3</v>
      </c>
      <c r="H2280">
        <v>441</v>
      </c>
      <c r="I2280">
        <v>32.979999999999997</v>
      </c>
      <c r="J2280">
        <v>3.1884999999999999</v>
      </c>
    </row>
    <row r="2281" spans="2:10" x14ac:dyDescent="0.3">
      <c r="B2281" s="10">
        <f t="shared" si="70"/>
        <v>2017</v>
      </c>
      <c r="C2281" s="10">
        <f t="shared" si="71"/>
        <v>8</v>
      </c>
      <c r="D2281" s="20">
        <v>42958</v>
      </c>
      <c r="E2281">
        <v>360.75</v>
      </c>
      <c r="F2281">
        <v>935.5</v>
      </c>
      <c r="G2281">
        <v>298.10000000000002</v>
      </c>
      <c r="H2281">
        <v>439.25</v>
      </c>
      <c r="I2281">
        <v>33.53</v>
      </c>
      <c r="J2281">
        <v>3.1934</v>
      </c>
    </row>
    <row r="2282" spans="2:10" x14ac:dyDescent="0.3">
      <c r="B2282" s="10">
        <f t="shared" si="70"/>
        <v>2017</v>
      </c>
      <c r="C2282" s="10">
        <f t="shared" si="71"/>
        <v>8</v>
      </c>
      <c r="D2282" s="20">
        <v>42957</v>
      </c>
      <c r="E2282">
        <v>357.25</v>
      </c>
      <c r="F2282">
        <v>930.75</v>
      </c>
      <c r="G2282">
        <v>294.2</v>
      </c>
      <c r="H2282">
        <v>440.5</v>
      </c>
      <c r="I2282">
        <v>33.74</v>
      </c>
      <c r="J2282">
        <v>3.1753999999999998</v>
      </c>
    </row>
    <row r="2283" spans="2:10" x14ac:dyDescent="0.3">
      <c r="B2283" s="10">
        <f t="shared" si="70"/>
        <v>2017</v>
      </c>
      <c r="C2283" s="10">
        <f t="shared" si="71"/>
        <v>8</v>
      </c>
      <c r="D2283" s="20">
        <v>42956</v>
      </c>
      <c r="E2283">
        <v>372.25</v>
      </c>
      <c r="F2283">
        <v>963</v>
      </c>
      <c r="G2283">
        <v>306.60000000000002</v>
      </c>
      <c r="H2283">
        <v>459.5</v>
      </c>
      <c r="I2283">
        <v>34.130000000000003</v>
      </c>
      <c r="J2283">
        <v>3.1556000000000002</v>
      </c>
    </row>
    <row r="2284" spans="2:10" x14ac:dyDescent="0.3">
      <c r="B2284" s="10">
        <f t="shared" si="70"/>
        <v>2017</v>
      </c>
      <c r="C2284" s="10">
        <f t="shared" si="71"/>
        <v>8</v>
      </c>
      <c r="D2284" s="20">
        <v>42955</v>
      </c>
      <c r="E2284">
        <v>369.75</v>
      </c>
      <c r="F2284">
        <v>963</v>
      </c>
      <c r="G2284">
        <v>307.8</v>
      </c>
      <c r="H2284">
        <v>457</v>
      </c>
      <c r="I2284">
        <v>33.799999999999997</v>
      </c>
      <c r="J2284">
        <v>3.1265999999999998</v>
      </c>
    </row>
    <row r="2285" spans="2:10" x14ac:dyDescent="0.3">
      <c r="B2285" s="10">
        <f t="shared" si="70"/>
        <v>2017</v>
      </c>
      <c r="C2285" s="10">
        <f t="shared" si="71"/>
        <v>8</v>
      </c>
      <c r="D2285" s="20">
        <v>42954</v>
      </c>
      <c r="E2285">
        <v>372.25</v>
      </c>
      <c r="F2285">
        <v>959.75</v>
      </c>
      <c r="G2285">
        <v>308</v>
      </c>
      <c r="H2285">
        <v>463.5</v>
      </c>
      <c r="I2285">
        <v>33.51</v>
      </c>
      <c r="J2285">
        <v>3.1261000000000001</v>
      </c>
    </row>
    <row r="2286" spans="2:10" x14ac:dyDescent="0.3">
      <c r="B2286" s="10">
        <f t="shared" si="70"/>
        <v>2017</v>
      </c>
      <c r="C2286" s="10">
        <f t="shared" si="71"/>
        <v>8</v>
      </c>
      <c r="D2286" s="20">
        <v>42951</v>
      </c>
      <c r="E2286">
        <v>366.5</v>
      </c>
      <c r="F2286">
        <v>949.25</v>
      </c>
      <c r="G2286">
        <v>303.5</v>
      </c>
      <c r="H2286">
        <v>454.75</v>
      </c>
      <c r="I2286">
        <v>33.6</v>
      </c>
      <c r="J2286">
        <v>3.1305000000000001</v>
      </c>
    </row>
    <row r="2287" spans="2:10" x14ac:dyDescent="0.3">
      <c r="B2287" s="10">
        <f t="shared" si="70"/>
        <v>2017</v>
      </c>
      <c r="C2287" s="10">
        <f t="shared" si="71"/>
        <v>8</v>
      </c>
      <c r="D2287" s="20">
        <v>42950</v>
      </c>
      <c r="E2287">
        <v>363.5</v>
      </c>
      <c r="F2287">
        <v>950.5</v>
      </c>
      <c r="G2287">
        <v>306.3</v>
      </c>
      <c r="H2287">
        <v>457.75</v>
      </c>
      <c r="I2287">
        <v>33.380000000000003</v>
      </c>
      <c r="J2287">
        <v>3.1122999999999998</v>
      </c>
    </row>
    <row r="2288" spans="2:10" x14ac:dyDescent="0.3">
      <c r="B2288" s="10">
        <f t="shared" si="70"/>
        <v>2017</v>
      </c>
      <c r="C2288" s="10">
        <f t="shared" si="71"/>
        <v>8</v>
      </c>
      <c r="D2288" s="20">
        <v>42949</v>
      </c>
      <c r="E2288">
        <v>365</v>
      </c>
      <c r="F2288">
        <v>966.5</v>
      </c>
      <c r="G2288">
        <v>309</v>
      </c>
      <c r="H2288">
        <v>460.75</v>
      </c>
      <c r="I2288">
        <v>34.15</v>
      </c>
      <c r="J2288">
        <v>3.1131000000000002</v>
      </c>
    </row>
    <row r="2289" spans="2:10" x14ac:dyDescent="0.3">
      <c r="B2289" s="10">
        <f t="shared" si="70"/>
        <v>2017</v>
      </c>
      <c r="C2289" s="10">
        <f t="shared" si="71"/>
        <v>8</v>
      </c>
      <c r="D2289" s="20">
        <v>42948</v>
      </c>
      <c r="E2289">
        <v>362.5</v>
      </c>
      <c r="F2289">
        <v>959.5</v>
      </c>
      <c r="G2289">
        <v>308.3</v>
      </c>
      <c r="H2289">
        <v>461.25</v>
      </c>
      <c r="I2289">
        <v>33.86</v>
      </c>
      <c r="J2289">
        <v>3.1254</v>
      </c>
    </row>
    <row r="2290" spans="2:10" x14ac:dyDescent="0.3">
      <c r="B2290" s="10">
        <f t="shared" si="70"/>
        <v>2017</v>
      </c>
      <c r="C2290" s="10">
        <f t="shared" si="71"/>
        <v>7</v>
      </c>
      <c r="D2290" s="20">
        <v>42947</v>
      </c>
      <c r="E2290">
        <v>370.75</v>
      </c>
      <c r="F2290">
        <v>994.5</v>
      </c>
      <c r="G2290">
        <v>318.60000000000002</v>
      </c>
      <c r="H2290">
        <v>474.5</v>
      </c>
      <c r="I2290">
        <v>34.71</v>
      </c>
      <c r="J2290">
        <v>3.1259000000000001</v>
      </c>
    </row>
    <row r="2291" spans="2:10" x14ac:dyDescent="0.3">
      <c r="B2291" s="10">
        <f t="shared" si="70"/>
        <v>2017</v>
      </c>
      <c r="C2291" s="10">
        <f t="shared" si="71"/>
        <v>7</v>
      </c>
      <c r="D2291" s="20">
        <v>42944</v>
      </c>
      <c r="E2291">
        <v>374.25</v>
      </c>
      <c r="F2291">
        <v>1000.75</v>
      </c>
      <c r="G2291">
        <v>321</v>
      </c>
      <c r="H2291">
        <v>481</v>
      </c>
      <c r="I2291">
        <v>34.61</v>
      </c>
      <c r="J2291">
        <v>3.1316000000000002</v>
      </c>
    </row>
    <row r="2292" spans="2:10" x14ac:dyDescent="0.3">
      <c r="B2292" s="10">
        <f t="shared" si="70"/>
        <v>2017</v>
      </c>
      <c r="C2292" s="10">
        <f t="shared" si="71"/>
        <v>7</v>
      </c>
      <c r="D2292" s="20">
        <v>42943</v>
      </c>
      <c r="E2292">
        <v>374.25</v>
      </c>
      <c r="F2292">
        <v>994.75</v>
      </c>
      <c r="G2292">
        <v>322.3</v>
      </c>
      <c r="H2292">
        <v>479.75</v>
      </c>
      <c r="I2292">
        <v>33.85</v>
      </c>
      <c r="J2292">
        <v>3.1524000000000001</v>
      </c>
    </row>
    <row r="2293" spans="2:10" x14ac:dyDescent="0.3">
      <c r="B2293" s="10">
        <f t="shared" si="70"/>
        <v>2017</v>
      </c>
      <c r="C2293" s="10">
        <f t="shared" si="71"/>
        <v>7</v>
      </c>
      <c r="D2293" s="20">
        <v>42942</v>
      </c>
      <c r="E2293">
        <v>372.75</v>
      </c>
      <c r="F2293">
        <v>988.75</v>
      </c>
      <c r="G2293">
        <v>319.8</v>
      </c>
      <c r="H2293">
        <v>477.75</v>
      </c>
      <c r="I2293">
        <v>33.729999999999997</v>
      </c>
      <c r="J2293">
        <v>3.1385000000000001</v>
      </c>
    </row>
    <row r="2294" spans="2:10" x14ac:dyDescent="0.3">
      <c r="B2294" s="10">
        <f t="shared" si="70"/>
        <v>2017</v>
      </c>
      <c r="C2294" s="10">
        <f t="shared" si="71"/>
        <v>7</v>
      </c>
      <c r="D2294" s="20">
        <v>42941</v>
      </c>
      <c r="E2294">
        <v>368.75</v>
      </c>
      <c r="F2294">
        <v>981.5</v>
      </c>
      <c r="G2294">
        <v>318.3</v>
      </c>
      <c r="H2294">
        <v>474</v>
      </c>
      <c r="I2294">
        <v>33.5</v>
      </c>
      <c r="J2294">
        <v>3.1722000000000001</v>
      </c>
    </row>
    <row r="2295" spans="2:10" x14ac:dyDescent="0.3">
      <c r="B2295" s="10">
        <f t="shared" si="70"/>
        <v>2017</v>
      </c>
      <c r="C2295" s="10">
        <f t="shared" si="71"/>
        <v>7</v>
      </c>
      <c r="D2295" s="20">
        <v>42940</v>
      </c>
      <c r="E2295">
        <v>377.25</v>
      </c>
      <c r="F2295">
        <v>997.5</v>
      </c>
      <c r="G2295">
        <v>325.89999999999998</v>
      </c>
      <c r="H2295">
        <v>488.75</v>
      </c>
      <c r="I2295">
        <v>33.61</v>
      </c>
      <c r="J2295">
        <v>3.1455000000000002</v>
      </c>
    </row>
    <row r="2296" spans="2:10" x14ac:dyDescent="0.3">
      <c r="B2296" s="10">
        <f t="shared" si="70"/>
        <v>2017</v>
      </c>
      <c r="C2296" s="10">
        <f t="shared" si="71"/>
        <v>7</v>
      </c>
      <c r="D2296" s="20">
        <v>42937</v>
      </c>
      <c r="E2296">
        <v>379.75</v>
      </c>
      <c r="F2296">
        <v>1009</v>
      </c>
      <c r="G2296">
        <v>329.7</v>
      </c>
      <c r="H2296">
        <v>499.25</v>
      </c>
      <c r="I2296">
        <v>33.799999999999997</v>
      </c>
      <c r="J2296">
        <v>3.1415999999999999</v>
      </c>
    </row>
    <row r="2297" spans="2:10" x14ac:dyDescent="0.3">
      <c r="B2297" s="10">
        <f t="shared" si="70"/>
        <v>2017</v>
      </c>
      <c r="C2297" s="10">
        <f t="shared" si="71"/>
        <v>7</v>
      </c>
      <c r="D2297" s="20">
        <v>42936</v>
      </c>
      <c r="E2297">
        <v>391</v>
      </c>
      <c r="F2297">
        <v>1013.25</v>
      </c>
      <c r="G2297">
        <v>330.5</v>
      </c>
      <c r="H2297">
        <v>505.75</v>
      </c>
      <c r="I2297">
        <v>33.97</v>
      </c>
      <c r="J2297">
        <v>3.1206</v>
      </c>
    </row>
    <row r="2298" spans="2:10" x14ac:dyDescent="0.3">
      <c r="B2298" s="10">
        <f t="shared" si="70"/>
        <v>2017</v>
      </c>
      <c r="C2298" s="10">
        <f t="shared" si="71"/>
        <v>7</v>
      </c>
      <c r="D2298" s="20">
        <v>42935</v>
      </c>
      <c r="E2298">
        <v>382.5</v>
      </c>
      <c r="F2298">
        <v>999.75</v>
      </c>
      <c r="G2298">
        <v>326.60000000000002</v>
      </c>
      <c r="H2298">
        <v>503</v>
      </c>
      <c r="I2298">
        <v>33.46</v>
      </c>
      <c r="J2298">
        <v>3.1486000000000001</v>
      </c>
    </row>
    <row r="2299" spans="2:10" x14ac:dyDescent="0.3">
      <c r="B2299" s="10">
        <f t="shared" si="70"/>
        <v>2017</v>
      </c>
      <c r="C2299" s="10">
        <f t="shared" si="71"/>
        <v>7</v>
      </c>
      <c r="D2299" s="20">
        <v>42934</v>
      </c>
      <c r="E2299">
        <v>377</v>
      </c>
      <c r="F2299">
        <v>989.5</v>
      </c>
      <c r="G2299">
        <v>323.5</v>
      </c>
      <c r="H2299">
        <v>503.75</v>
      </c>
      <c r="I2299">
        <v>33.17</v>
      </c>
      <c r="J2299">
        <v>3.1541999999999999</v>
      </c>
    </row>
    <row r="2300" spans="2:10" x14ac:dyDescent="0.3">
      <c r="B2300" s="10">
        <f t="shared" si="70"/>
        <v>2017</v>
      </c>
      <c r="C2300" s="10">
        <f t="shared" si="71"/>
        <v>7</v>
      </c>
      <c r="D2300" s="20">
        <v>42933</v>
      </c>
      <c r="E2300">
        <v>375</v>
      </c>
      <c r="F2300">
        <v>985</v>
      </c>
      <c r="G2300">
        <v>321.8</v>
      </c>
      <c r="H2300">
        <v>506</v>
      </c>
      <c r="I2300">
        <v>33.01</v>
      </c>
      <c r="J2300">
        <v>3.1827999999999999</v>
      </c>
    </row>
    <row r="2301" spans="2:10" x14ac:dyDescent="0.3">
      <c r="B2301" s="10">
        <f t="shared" si="70"/>
        <v>2017</v>
      </c>
      <c r="C2301" s="10">
        <f t="shared" si="71"/>
        <v>7</v>
      </c>
      <c r="D2301" s="20">
        <v>42930</v>
      </c>
      <c r="E2301">
        <v>365.25</v>
      </c>
      <c r="F2301">
        <v>985.25</v>
      </c>
      <c r="G2301">
        <v>322.3</v>
      </c>
      <c r="H2301">
        <v>494.75</v>
      </c>
      <c r="I2301">
        <v>33.06</v>
      </c>
      <c r="J2301">
        <v>3.1793999999999998</v>
      </c>
    </row>
    <row r="2302" spans="2:10" x14ac:dyDescent="0.3">
      <c r="B2302" s="10">
        <f t="shared" si="70"/>
        <v>2017</v>
      </c>
      <c r="C2302" s="10">
        <f t="shared" si="71"/>
        <v>7</v>
      </c>
      <c r="D2302" s="20">
        <v>42929</v>
      </c>
      <c r="E2302">
        <v>361</v>
      </c>
      <c r="F2302">
        <v>972.5</v>
      </c>
      <c r="G2302">
        <v>316.8</v>
      </c>
      <c r="H2302">
        <v>495.5</v>
      </c>
      <c r="I2302">
        <v>33.01</v>
      </c>
      <c r="J2302">
        <v>3.2134</v>
      </c>
    </row>
    <row r="2303" spans="2:10" x14ac:dyDescent="0.3">
      <c r="B2303" s="10">
        <f t="shared" si="70"/>
        <v>2017</v>
      </c>
      <c r="C2303" s="10">
        <f t="shared" si="71"/>
        <v>7</v>
      </c>
      <c r="D2303" s="20">
        <v>42928</v>
      </c>
      <c r="E2303">
        <v>376.25</v>
      </c>
      <c r="F2303">
        <v>1016.75</v>
      </c>
      <c r="G2303">
        <v>334.4</v>
      </c>
      <c r="H2303">
        <v>522.5</v>
      </c>
      <c r="I2303">
        <v>33.43</v>
      </c>
      <c r="J2303">
        <v>3.2071999999999998</v>
      </c>
    </row>
    <row r="2304" spans="2:10" x14ac:dyDescent="0.3">
      <c r="B2304" s="10">
        <f t="shared" ref="B2304:B2367" si="72">YEAR(D2304)</f>
        <v>2017</v>
      </c>
      <c r="C2304" s="10">
        <f t="shared" ref="C2304:C2367" si="73">MONTH(D2304)</f>
        <v>7</v>
      </c>
      <c r="D2304" s="20">
        <v>42927</v>
      </c>
      <c r="E2304">
        <v>392.25</v>
      </c>
      <c r="F2304">
        <v>1025.25</v>
      </c>
      <c r="G2304">
        <v>336.8</v>
      </c>
      <c r="H2304">
        <v>535.5</v>
      </c>
      <c r="I2304">
        <v>33.729999999999997</v>
      </c>
      <c r="J2304">
        <v>3.2542</v>
      </c>
    </row>
    <row r="2305" spans="2:10" x14ac:dyDescent="0.3">
      <c r="B2305" s="10">
        <f t="shared" si="72"/>
        <v>2017</v>
      </c>
      <c r="C2305" s="10">
        <f t="shared" si="73"/>
        <v>7</v>
      </c>
      <c r="D2305" s="20">
        <v>42926</v>
      </c>
      <c r="E2305">
        <v>391.75</v>
      </c>
      <c r="F2305">
        <v>1020.25</v>
      </c>
      <c r="G2305">
        <v>336.4</v>
      </c>
      <c r="H2305">
        <v>530.5</v>
      </c>
      <c r="I2305">
        <v>33.619999999999997</v>
      </c>
      <c r="J2305">
        <v>3.2547999999999999</v>
      </c>
    </row>
    <row r="2306" spans="2:10" x14ac:dyDescent="0.3">
      <c r="B2306" s="10">
        <f t="shared" si="72"/>
        <v>2017</v>
      </c>
      <c r="C2306" s="10">
        <f t="shared" si="73"/>
        <v>7</v>
      </c>
      <c r="D2306" s="20">
        <v>42923</v>
      </c>
      <c r="E2306">
        <v>382.25</v>
      </c>
      <c r="F2306">
        <v>996</v>
      </c>
      <c r="G2306">
        <v>328.5</v>
      </c>
      <c r="H2306">
        <v>515.25</v>
      </c>
      <c r="I2306">
        <v>32.78</v>
      </c>
      <c r="J2306">
        <v>3.2803</v>
      </c>
    </row>
    <row r="2307" spans="2:10" x14ac:dyDescent="0.3">
      <c r="B2307" s="10">
        <f t="shared" si="72"/>
        <v>2017</v>
      </c>
      <c r="C2307" s="10">
        <f t="shared" si="73"/>
        <v>7</v>
      </c>
      <c r="D2307" s="20">
        <v>42922</v>
      </c>
      <c r="E2307">
        <v>380.25</v>
      </c>
      <c r="F2307">
        <v>980.75</v>
      </c>
      <c r="G2307">
        <v>320</v>
      </c>
      <c r="H2307">
        <v>519</v>
      </c>
      <c r="I2307">
        <v>32.83</v>
      </c>
      <c r="J2307">
        <v>3.2959000000000001</v>
      </c>
    </row>
    <row r="2308" spans="2:10" x14ac:dyDescent="0.3">
      <c r="B2308" s="10">
        <f t="shared" si="72"/>
        <v>2017</v>
      </c>
      <c r="C2308" s="10">
        <f t="shared" si="73"/>
        <v>7</v>
      </c>
      <c r="D2308" s="20">
        <v>42921</v>
      </c>
      <c r="E2308">
        <v>381.75</v>
      </c>
      <c r="F2308">
        <v>976.25</v>
      </c>
      <c r="G2308">
        <v>316.5</v>
      </c>
      <c r="H2308">
        <v>539.25</v>
      </c>
      <c r="I2308">
        <v>33.15</v>
      </c>
      <c r="J2308">
        <v>3.2883</v>
      </c>
    </row>
    <row r="2309" spans="2:10" x14ac:dyDescent="0.3">
      <c r="B2309" s="10">
        <f t="shared" si="72"/>
        <v>2017</v>
      </c>
      <c r="C2309" s="10">
        <f t="shared" si="73"/>
        <v>7</v>
      </c>
      <c r="D2309" s="20">
        <v>42920</v>
      </c>
      <c r="J2309">
        <v>3.3090000000000002</v>
      </c>
    </row>
    <row r="2310" spans="2:10" x14ac:dyDescent="0.3">
      <c r="B2310" s="10">
        <f t="shared" si="72"/>
        <v>2017</v>
      </c>
      <c r="C2310" s="10">
        <f t="shared" si="73"/>
        <v>7</v>
      </c>
      <c r="D2310" s="20">
        <v>42919</v>
      </c>
      <c r="E2310">
        <v>378</v>
      </c>
      <c r="F2310">
        <v>964.75</v>
      </c>
      <c r="G2310">
        <v>311.89999999999998</v>
      </c>
      <c r="H2310">
        <v>536.75</v>
      </c>
      <c r="I2310">
        <v>33.130000000000003</v>
      </c>
      <c r="J2310">
        <v>3.3003</v>
      </c>
    </row>
    <row r="2311" spans="2:10" x14ac:dyDescent="0.3">
      <c r="B2311" s="10">
        <f t="shared" si="72"/>
        <v>2017</v>
      </c>
      <c r="C2311" s="10">
        <f t="shared" si="73"/>
        <v>6</v>
      </c>
      <c r="D2311" s="20">
        <v>42916</v>
      </c>
      <c r="E2311">
        <v>370.5</v>
      </c>
      <c r="F2311">
        <v>942.25</v>
      </c>
      <c r="G2311">
        <v>304.39999999999998</v>
      </c>
      <c r="H2311">
        <v>511</v>
      </c>
      <c r="I2311">
        <v>32.93</v>
      </c>
      <c r="J2311">
        <v>3.3062999999999998</v>
      </c>
    </row>
    <row r="2312" spans="2:10" x14ac:dyDescent="0.3">
      <c r="B2312" s="10">
        <f t="shared" si="72"/>
        <v>2017</v>
      </c>
      <c r="C2312" s="10">
        <f t="shared" si="73"/>
        <v>6</v>
      </c>
      <c r="D2312" s="20">
        <v>42915</v>
      </c>
      <c r="E2312">
        <v>359.75</v>
      </c>
      <c r="F2312">
        <v>915.5</v>
      </c>
      <c r="G2312">
        <v>294.39999999999998</v>
      </c>
      <c r="H2312">
        <v>480.25</v>
      </c>
      <c r="I2312">
        <v>32.42</v>
      </c>
      <c r="J2312">
        <v>3.3033000000000001</v>
      </c>
    </row>
    <row r="2313" spans="2:10" x14ac:dyDescent="0.3">
      <c r="B2313" s="10">
        <f t="shared" si="72"/>
        <v>2017</v>
      </c>
      <c r="C2313" s="10">
        <f t="shared" si="73"/>
        <v>6</v>
      </c>
      <c r="D2313" s="20">
        <v>42914</v>
      </c>
      <c r="E2313">
        <v>356.75</v>
      </c>
      <c r="F2313">
        <v>914</v>
      </c>
      <c r="G2313">
        <v>294.60000000000002</v>
      </c>
      <c r="H2313">
        <v>457.25</v>
      </c>
      <c r="I2313">
        <v>32.119999999999997</v>
      </c>
      <c r="J2313">
        <v>3.2795000000000001</v>
      </c>
    </row>
    <row r="2314" spans="2:10" x14ac:dyDescent="0.3">
      <c r="B2314" s="10">
        <f t="shared" si="72"/>
        <v>2017</v>
      </c>
      <c r="C2314" s="10">
        <f t="shared" si="73"/>
        <v>6</v>
      </c>
      <c r="D2314" s="20">
        <v>42913</v>
      </c>
      <c r="E2314">
        <v>359.25</v>
      </c>
      <c r="F2314">
        <v>911.25</v>
      </c>
      <c r="G2314">
        <v>294</v>
      </c>
      <c r="H2314">
        <v>453.25</v>
      </c>
      <c r="I2314">
        <v>32.08</v>
      </c>
      <c r="J2314">
        <v>3.3125</v>
      </c>
    </row>
    <row r="2315" spans="2:10" x14ac:dyDescent="0.3">
      <c r="B2315" s="10">
        <f t="shared" si="72"/>
        <v>2017</v>
      </c>
      <c r="C2315" s="10">
        <f t="shared" si="73"/>
        <v>6</v>
      </c>
      <c r="D2315" s="20">
        <v>42912</v>
      </c>
      <c r="E2315">
        <v>359</v>
      </c>
      <c r="F2315">
        <v>906.75</v>
      </c>
      <c r="G2315">
        <v>294.10000000000002</v>
      </c>
      <c r="H2315">
        <v>450</v>
      </c>
      <c r="I2315">
        <v>31.52</v>
      </c>
      <c r="J2315">
        <v>3.2961</v>
      </c>
    </row>
    <row r="2316" spans="2:10" x14ac:dyDescent="0.3">
      <c r="B2316" s="10">
        <f t="shared" si="72"/>
        <v>2017</v>
      </c>
      <c r="C2316" s="10">
        <f t="shared" si="73"/>
        <v>6</v>
      </c>
      <c r="D2316" s="20">
        <v>42909</v>
      </c>
      <c r="E2316">
        <v>357.75</v>
      </c>
      <c r="F2316">
        <v>904.5</v>
      </c>
      <c r="G2316">
        <v>293.60000000000002</v>
      </c>
      <c r="H2316">
        <v>459.75</v>
      </c>
      <c r="I2316">
        <v>31.61</v>
      </c>
      <c r="J2316">
        <v>3.3426999999999998</v>
      </c>
    </row>
    <row r="2317" spans="2:10" x14ac:dyDescent="0.3">
      <c r="B2317" s="10">
        <f t="shared" si="72"/>
        <v>2017</v>
      </c>
      <c r="C2317" s="10">
        <f t="shared" si="73"/>
        <v>6</v>
      </c>
      <c r="D2317" s="20">
        <v>42908</v>
      </c>
      <c r="E2317">
        <v>362.75</v>
      </c>
      <c r="F2317">
        <v>904</v>
      </c>
      <c r="G2317">
        <v>293.8</v>
      </c>
      <c r="H2317">
        <v>461.25</v>
      </c>
      <c r="I2317">
        <v>31.55</v>
      </c>
      <c r="J2317">
        <v>3.3414999999999999</v>
      </c>
    </row>
    <row r="2318" spans="2:10" x14ac:dyDescent="0.3">
      <c r="B2318" s="10">
        <f t="shared" si="72"/>
        <v>2017</v>
      </c>
      <c r="C2318" s="10">
        <f t="shared" si="73"/>
        <v>6</v>
      </c>
      <c r="D2318" s="20">
        <v>42907</v>
      </c>
      <c r="E2318">
        <v>368.75</v>
      </c>
      <c r="F2318">
        <v>918.75</v>
      </c>
      <c r="G2318">
        <v>297.89999999999998</v>
      </c>
      <c r="H2318">
        <v>464.5</v>
      </c>
      <c r="I2318">
        <v>31.85</v>
      </c>
      <c r="J2318">
        <v>3.3359999999999999</v>
      </c>
    </row>
    <row r="2319" spans="2:10" x14ac:dyDescent="0.3">
      <c r="B2319" s="10">
        <f t="shared" si="72"/>
        <v>2017</v>
      </c>
      <c r="C2319" s="10">
        <f t="shared" si="73"/>
        <v>6</v>
      </c>
      <c r="D2319" s="20">
        <v>42906</v>
      </c>
      <c r="E2319">
        <v>370</v>
      </c>
      <c r="F2319">
        <v>927.75</v>
      </c>
      <c r="G2319">
        <v>300.89999999999998</v>
      </c>
      <c r="H2319">
        <v>472.5</v>
      </c>
      <c r="I2319">
        <v>32.020000000000003</v>
      </c>
      <c r="J2319">
        <v>3.3264</v>
      </c>
    </row>
    <row r="2320" spans="2:10" x14ac:dyDescent="0.3">
      <c r="B2320" s="10">
        <f t="shared" si="72"/>
        <v>2017</v>
      </c>
      <c r="C2320" s="10">
        <f t="shared" si="73"/>
        <v>6</v>
      </c>
      <c r="D2320" s="20">
        <v>42905</v>
      </c>
      <c r="E2320">
        <v>375.25</v>
      </c>
      <c r="F2320">
        <v>937.75</v>
      </c>
      <c r="G2320">
        <v>301.5</v>
      </c>
      <c r="H2320">
        <v>467</v>
      </c>
      <c r="I2320">
        <v>32.82</v>
      </c>
      <c r="J2320">
        <v>3.2824</v>
      </c>
    </row>
    <row r="2321" spans="2:10" x14ac:dyDescent="0.3">
      <c r="B2321" s="10">
        <f t="shared" si="72"/>
        <v>2017</v>
      </c>
      <c r="C2321" s="10">
        <f t="shared" si="73"/>
        <v>6</v>
      </c>
      <c r="D2321" s="20">
        <v>42902</v>
      </c>
      <c r="E2321">
        <v>384</v>
      </c>
      <c r="F2321">
        <v>939</v>
      </c>
      <c r="G2321">
        <v>300.89999999999998</v>
      </c>
      <c r="H2321">
        <v>465.25</v>
      </c>
      <c r="I2321">
        <v>33.11</v>
      </c>
      <c r="J2321">
        <v>3.2925</v>
      </c>
    </row>
    <row r="2322" spans="2:10" x14ac:dyDescent="0.3">
      <c r="B2322" s="10">
        <f t="shared" si="72"/>
        <v>2017</v>
      </c>
      <c r="C2322" s="10">
        <f t="shared" si="73"/>
        <v>6</v>
      </c>
      <c r="D2322" s="20">
        <v>42901</v>
      </c>
      <c r="E2322">
        <v>379.5</v>
      </c>
      <c r="F2322">
        <v>934.75</v>
      </c>
      <c r="G2322">
        <v>300.60000000000002</v>
      </c>
      <c r="H2322">
        <v>453.75</v>
      </c>
      <c r="I2322">
        <v>32.74</v>
      </c>
      <c r="J2322">
        <v>3.274</v>
      </c>
    </row>
    <row r="2323" spans="2:10" x14ac:dyDescent="0.3">
      <c r="B2323" s="10">
        <f t="shared" si="72"/>
        <v>2017</v>
      </c>
      <c r="C2323" s="10">
        <f t="shared" si="73"/>
        <v>6</v>
      </c>
      <c r="D2323" s="20">
        <v>42900</v>
      </c>
      <c r="E2323">
        <v>377</v>
      </c>
      <c r="F2323">
        <v>931.75</v>
      </c>
      <c r="G2323">
        <v>301.8</v>
      </c>
      <c r="H2323">
        <v>443</v>
      </c>
      <c r="I2323">
        <v>32.090000000000003</v>
      </c>
      <c r="J2323">
        <v>3.2738999999999998</v>
      </c>
    </row>
    <row r="2324" spans="2:10" x14ac:dyDescent="0.3">
      <c r="B2324" s="10">
        <f t="shared" si="72"/>
        <v>2017</v>
      </c>
      <c r="C2324" s="10">
        <f t="shared" si="73"/>
        <v>6</v>
      </c>
      <c r="D2324" s="20">
        <v>42899</v>
      </c>
      <c r="E2324">
        <v>381</v>
      </c>
      <c r="F2324">
        <v>932.5</v>
      </c>
      <c r="G2324">
        <v>301.5</v>
      </c>
      <c r="H2324">
        <v>445</v>
      </c>
      <c r="I2324">
        <v>32.090000000000003</v>
      </c>
      <c r="J2324">
        <v>3.3144999999999998</v>
      </c>
    </row>
    <row r="2325" spans="2:10" x14ac:dyDescent="0.3">
      <c r="B2325" s="10">
        <f t="shared" si="72"/>
        <v>2017</v>
      </c>
      <c r="C2325" s="10">
        <f t="shared" si="73"/>
        <v>6</v>
      </c>
      <c r="D2325" s="20">
        <v>42898</v>
      </c>
      <c r="E2325">
        <v>377.25</v>
      </c>
      <c r="F2325">
        <v>931.25</v>
      </c>
      <c r="G2325">
        <v>301.8</v>
      </c>
      <c r="H2325">
        <v>434</v>
      </c>
      <c r="I2325">
        <v>31.94</v>
      </c>
      <c r="J2325">
        <v>3.3178999999999998</v>
      </c>
    </row>
    <row r="2326" spans="2:10" x14ac:dyDescent="0.3">
      <c r="B2326" s="10">
        <f t="shared" si="72"/>
        <v>2017</v>
      </c>
      <c r="C2326" s="10">
        <f t="shared" si="73"/>
        <v>6</v>
      </c>
      <c r="D2326" s="20">
        <v>42895</v>
      </c>
      <c r="E2326">
        <v>387.75</v>
      </c>
      <c r="F2326">
        <v>941.5</v>
      </c>
      <c r="G2326">
        <v>305.89999999999998</v>
      </c>
      <c r="H2326">
        <v>445.75</v>
      </c>
      <c r="I2326">
        <v>32.29</v>
      </c>
      <c r="J2326">
        <v>3.2959000000000001</v>
      </c>
    </row>
    <row r="2327" spans="2:10" x14ac:dyDescent="0.3">
      <c r="B2327" s="10">
        <f t="shared" si="72"/>
        <v>2017</v>
      </c>
      <c r="C2327" s="10">
        <f t="shared" si="73"/>
        <v>6</v>
      </c>
      <c r="D2327" s="20">
        <v>42894</v>
      </c>
      <c r="E2327">
        <v>385.75</v>
      </c>
      <c r="F2327">
        <v>938</v>
      </c>
      <c r="G2327">
        <v>306.10000000000002</v>
      </c>
      <c r="H2327">
        <v>449.25</v>
      </c>
      <c r="I2327">
        <v>31.85</v>
      </c>
      <c r="J2327">
        <v>3.2606999999999999</v>
      </c>
    </row>
    <row r="2328" spans="2:10" x14ac:dyDescent="0.3">
      <c r="B2328" s="10">
        <f t="shared" si="72"/>
        <v>2017</v>
      </c>
      <c r="C2328" s="10">
        <f t="shared" si="73"/>
        <v>6</v>
      </c>
      <c r="D2328" s="20">
        <v>42893</v>
      </c>
      <c r="E2328">
        <v>384.75</v>
      </c>
      <c r="F2328">
        <v>930.75</v>
      </c>
      <c r="G2328">
        <v>304.89999999999998</v>
      </c>
      <c r="H2328">
        <v>444.75</v>
      </c>
      <c r="I2328">
        <v>31.36</v>
      </c>
      <c r="J2328">
        <v>3.2685</v>
      </c>
    </row>
    <row r="2329" spans="2:10" x14ac:dyDescent="0.3">
      <c r="B2329" s="10">
        <f t="shared" si="72"/>
        <v>2017</v>
      </c>
      <c r="C2329" s="10">
        <f t="shared" si="73"/>
        <v>6</v>
      </c>
      <c r="D2329" s="20">
        <v>42892</v>
      </c>
      <c r="E2329">
        <v>377.25</v>
      </c>
      <c r="F2329">
        <v>923.5</v>
      </c>
      <c r="G2329">
        <v>301.10000000000002</v>
      </c>
      <c r="H2329">
        <v>435.75</v>
      </c>
      <c r="I2329">
        <v>31.39</v>
      </c>
      <c r="J2329">
        <v>3.2772000000000001</v>
      </c>
    </row>
    <row r="2330" spans="2:10" x14ac:dyDescent="0.3">
      <c r="B2330" s="10">
        <f t="shared" si="72"/>
        <v>2017</v>
      </c>
      <c r="C2330" s="10">
        <f t="shared" si="73"/>
        <v>6</v>
      </c>
      <c r="D2330" s="20">
        <v>42891</v>
      </c>
      <c r="E2330">
        <v>373</v>
      </c>
      <c r="F2330">
        <v>922</v>
      </c>
      <c r="G2330">
        <v>300.60000000000002</v>
      </c>
      <c r="H2330">
        <v>429.5</v>
      </c>
      <c r="I2330">
        <v>31.31</v>
      </c>
      <c r="J2330">
        <v>3.2967</v>
      </c>
    </row>
    <row r="2331" spans="2:10" x14ac:dyDescent="0.3">
      <c r="B2331" s="10">
        <f t="shared" si="72"/>
        <v>2017</v>
      </c>
      <c r="C2331" s="10">
        <f t="shared" si="73"/>
        <v>6</v>
      </c>
      <c r="D2331" s="20">
        <v>42888</v>
      </c>
      <c r="E2331">
        <v>372.75</v>
      </c>
      <c r="F2331">
        <v>921.25</v>
      </c>
      <c r="G2331">
        <v>301.89999999999998</v>
      </c>
      <c r="H2331">
        <v>429.5</v>
      </c>
      <c r="I2331">
        <v>31.01</v>
      </c>
      <c r="J2331">
        <v>3.2471999999999999</v>
      </c>
    </row>
    <row r="2332" spans="2:10" x14ac:dyDescent="0.3">
      <c r="B2332" s="10">
        <f t="shared" si="72"/>
        <v>2017</v>
      </c>
      <c r="C2332" s="10">
        <f t="shared" si="73"/>
        <v>6</v>
      </c>
      <c r="D2332" s="20">
        <v>42887</v>
      </c>
      <c r="E2332">
        <v>370.5</v>
      </c>
      <c r="F2332">
        <v>912.25</v>
      </c>
      <c r="G2332">
        <v>297.5</v>
      </c>
      <c r="H2332">
        <v>429</v>
      </c>
      <c r="I2332">
        <v>31.25</v>
      </c>
      <c r="J2332">
        <v>3.2494999999999998</v>
      </c>
    </row>
    <row r="2333" spans="2:10" x14ac:dyDescent="0.3">
      <c r="B2333" s="10">
        <f t="shared" si="72"/>
        <v>2017</v>
      </c>
      <c r="C2333" s="10">
        <f t="shared" si="73"/>
        <v>5</v>
      </c>
      <c r="D2333" s="20">
        <v>42886</v>
      </c>
      <c r="E2333">
        <v>372</v>
      </c>
      <c r="F2333">
        <v>916</v>
      </c>
      <c r="G2333">
        <v>298.10000000000002</v>
      </c>
      <c r="H2333">
        <v>429.25</v>
      </c>
      <c r="I2333">
        <v>31.34</v>
      </c>
      <c r="J2333">
        <v>3.2262</v>
      </c>
    </row>
    <row r="2334" spans="2:10" x14ac:dyDescent="0.3">
      <c r="B2334" s="10">
        <f t="shared" si="72"/>
        <v>2017</v>
      </c>
      <c r="C2334" s="10">
        <f t="shared" si="73"/>
        <v>5</v>
      </c>
      <c r="D2334" s="20">
        <v>42885</v>
      </c>
      <c r="E2334">
        <v>367</v>
      </c>
      <c r="F2334">
        <v>912.75</v>
      </c>
      <c r="G2334">
        <v>297.60000000000002</v>
      </c>
      <c r="H2334">
        <v>429.5</v>
      </c>
      <c r="I2334">
        <v>31.42</v>
      </c>
      <c r="J2334">
        <v>3.2572000000000001</v>
      </c>
    </row>
    <row r="2335" spans="2:10" x14ac:dyDescent="0.3">
      <c r="B2335" s="10">
        <f t="shared" si="72"/>
        <v>2017</v>
      </c>
      <c r="C2335" s="10">
        <f t="shared" si="73"/>
        <v>5</v>
      </c>
      <c r="D2335" s="20">
        <v>42884</v>
      </c>
      <c r="J2335">
        <v>3.2559999999999998</v>
      </c>
    </row>
    <row r="2336" spans="2:10" x14ac:dyDescent="0.3">
      <c r="B2336" s="10">
        <f t="shared" si="72"/>
        <v>2017</v>
      </c>
      <c r="C2336" s="10">
        <f t="shared" si="73"/>
        <v>5</v>
      </c>
      <c r="D2336" s="20">
        <v>42881</v>
      </c>
      <c r="E2336">
        <v>374.25</v>
      </c>
      <c r="F2336">
        <v>926.5</v>
      </c>
      <c r="G2336">
        <v>301.8</v>
      </c>
      <c r="H2336">
        <v>438.25</v>
      </c>
      <c r="I2336">
        <v>31.6</v>
      </c>
      <c r="J2336">
        <v>3.2597999999999998</v>
      </c>
    </row>
    <row r="2337" spans="2:10" x14ac:dyDescent="0.3">
      <c r="B2337" s="10">
        <f t="shared" si="72"/>
        <v>2017</v>
      </c>
      <c r="C2337" s="10">
        <f t="shared" si="73"/>
        <v>5</v>
      </c>
      <c r="D2337" s="20">
        <v>42880</v>
      </c>
      <c r="E2337">
        <v>369.25</v>
      </c>
      <c r="F2337">
        <v>939.5</v>
      </c>
      <c r="G2337">
        <v>304.7</v>
      </c>
      <c r="H2337">
        <v>430.75</v>
      </c>
      <c r="I2337">
        <v>32.04</v>
      </c>
      <c r="J2337">
        <v>3.2728999999999999</v>
      </c>
    </row>
    <row r="2338" spans="2:10" x14ac:dyDescent="0.3">
      <c r="B2338" s="10">
        <f t="shared" si="72"/>
        <v>2017</v>
      </c>
      <c r="C2338" s="10">
        <f t="shared" si="73"/>
        <v>5</v>
      </c>
      <c r="D2338" s="20">
        <v>42879</v>
      </c>
      <c r="E2338">
        <v>371.25</v>
      </c>
      <c r="F2338">
        <v>948.25</v>
      </c>
      <c r="G2338">
        <v>306.39999999999998</v>
      </c>
      <c r="H2338">
        <v>432.5</v>
      </c>
      <c r="I2338">
        <v>32.28</v>
      </c>
      <c r="J2338">
        <v>3.2774000000000001</v>
      </c>
    </row>
    <row r="2339" spans="2:10" x14ac:dyDescent="0.3">
      <c r="B2339" s="10">
        <f t="shared" si="72"/>
        <v>2017</v>
      </c>
      <c r="C2339" s="10">
        <f t="shared" si="73"/>
        <v>5</v>
      </c>
      <c r="D2339" s="20">
        <v>42878</v>
      </c>
      <c r="E2339">
        <v>369.5</v>
      </c>
      <c r="F2339">
        <v>948.25</v>
      </c>
      <c r="G2339">
        <v>306.3</v>
      </c>
      <c r="H2339">
        <v>429.5</v>
      </c>
      <c r="I2339">
        <v>32.340000000000003</v>
      </c>
      <c r="J2339">
        <v>3.27</v>
      </c>
    </row>
    <row r="2340" spans="2:10" x14ac:dyDescent="0.3">
      <c r="B2340" s="10">
        <f t="shared" si="72"/>
        <v>2017</v>
      </c>
      <c r="C2340" s="10">
        <f t="shared" si="73"/>
        <v>5</v>
      </c>
      <c r="D2340" s="20">
        <v>42877</v>
      </c>
      <c r="E2340">
        <v>375</v>
      </c>
      <c r="F2340">
        <v>956.5</v>
      </c>
      <c r="G2340">
        <v>307.8</v>
      </c>
      <c r="H2340">
        <v>434.25</v>
      </c>
      <c r="I2340">
        <v>32.94</v>
      </c>
      <c r="J2340">
        <v>3.2652999999999999</v>
      </c>
    </row>
    <row r="2341" spans="2:10" x14ac:dyDescent="0.3">
      <c r="B2341" s="10">
        <f t="shared" si="72"/>
        <v>2017</v>
      </c>
      <c r="C2341" s="10">
        <f t="shared" si="73"/>
        <v>5</v>
      </c>
      <c r="D2341" s="20">
        <v>42874</v>
      </c>
      <c r="E2341">
        <v>372.5</v>
      </c>
      <c r="F2341">
        <v>953</v>
      </c>
      <c r="G2341">
        <v>307</v>
      </c>
      <c r="H2341">
        <v>435.25</v>
      </c>
      <c r="I2341">
        <v>33.04</v>
      </c>
      <c r="J2341">
        <v>3.2526999999999999</v>
      </c>
    </row>
    <row r="2342" spans="2:10" x14ac:dyDescent="0.3">
      <c r="B2342" s="10">
        <f t="shared" si="72"/>
        <v>2017</v>
      </c>
      <c r="C2342" s="10">
        <f t="shared" si="73"/>
        <v>5</v>
      </c>
      <c r="D2342" s="20">
        <v>42873</v>
      </c>
      <c r="E2342">
        <v>366</v>
      </c>
      <c r="F2342">
        <v>944.75</v>
      </c>
      <c r="G2342">
        <v>307.5</v>
      </c>
      <c r="H2342">
        <v>425.75</v>
      </c>
      <c r="I2342">
        <v>32.44</v>
      </c>
      <c r="J2342">
        <v>3.3664999999999998</v>
      </c>
    </row>
    <row r="2343" spans="2:10" x14ac:dyDescent="0.3">
      <c r="B2343" s="10">
        <f t="shared" si="72"/>
        <v>2017</v>
      </c>
      <c r="C2343" s="10">
        <f t="shared" si="73"/>
        <v>5</v>
      </c>
      <c r="D2343" s="20">
        <v>42872</v>
      </c>
      <c r="E2343">
        <v>371.5</v>
      </c>
      <c r="F2343">
        <v>975.75</v>
      </c>
      <c r="G2343">
        <v>315.3</v>
      </c>
      <c r="H2343">
        <v>427</v>
      </c>
      <c r="I2343">
        <v>33.15</v>
      </c>
      <c r="J2343">
        <v>3.1377999999999999</v>
      </c>
    </row>
    <row r="2344" spans="2:10" x14ac:dyDescent="0.3">
      <c r="B2344" s="10">
        <f t="shared" si="72"/>
        <v>2017</v>
      </c>
      <c r="C2344" s="10">
        <f t="shared" si="73"/>
        <v>5</v>
      </c>
      <c r="D2344" s="20">
        <v>42871</v>
      </c>
      <c r="E2344">
        <v>367.75</v>
      </c>
      <c r="F2344">
        <v>976.25</v>
      </c>
      <c r="G2344">
        <v>317</v>
      </c>
      <c r="H2344">
        <v>424.25</v>
      </c>
      <c r="I2344">
        <v>33.01</v>
      </c>
      <c r="J2344">
        <v>3.0960999999999999</v>
      </c>
    </row>
    <row r="2345" spans="2:10" x14ac:dyDescent="0.3">
      <c r="B2345" s="10">
        <f t="shared" si="72"/>
        <v>2017</v>
      </c>
      <c r="C2345" s="10">
        <f t="shared" si="73"/>
        <v>5</v>
      </c>
      <c r="D2345" s="20">
        <v>42870</v>
      </c>
      <c r="E2345">
        <v>367.75</v>
      </c>
      <c r="F2345">
        <v>965.25</v>
      </c>
      <c r="G2345">
        <v>312.5</v>
      </c>
      <c r="H2345">
        <v>423.25</v>
      </c>
      <c r="I2345">
        <v>33.020000000000003</v>
      </c>
      <c r="J2345">
        <v>3.1105</v>
      </c>
    </row>
    <row r="2346" spans="2:10" x14ac:dyDescent="0.3">
      <c r="B2346" s="10">
        <f t="shared" si="72"/>
        <v>2017</v>
      </c>
      <c r="C2346" s="10">
        <f t="shared" si="73"/>
        <v>5</v>
      </c>
      <c r="D2346" s="20">
        <v>42867</v>
      </c>
      <c r="E2346">
        <v>361.75</v>
      </c>
      <c r="F2346">
        <v>954</v>
      </c>
      <c r="G2346">
        <v>309.7</v>
      </c>
      <c r="H2346">
        <v>425</v>
      </c>
      <c r="I2346">
        <v>32.630000000000003</v>
      </c>
      <c r="J2346">
        <v>3.1208999999999998</v>
      </c>
    </row>
    <row r="2347" spans="2:10" x14ac:dyDescent="0.3">
      <c r="B2347" s="10">
        <f t="shared" si="72"/>
        <v>2017</v>
      </c>
      <c r="C2347" s="10">
        <f t="shared" si="73"/>
        <v>5</v>
      </c>
      <c r="D2347" s="20">
        <v>42866</v>
      </c>
      <c r="E2347">
        <v>360.5</v>
      </c>
      <c r="F2347">
        <v>956</v>
      </c>
      <c r="G2347">
        <v>311.10000000000002</v>
      </c>
      <c r="H2347">
        <v>426</v>
      </c>
      <c r="I2347">
        <v>32.270000000000003</v>
      </c>
      <c r="J2347">
        <v>3.1398999999999999</v>
      </c>
    </row>
    <row r="2348" spans="2:10" x14ac:dyDescent="0.3">
      <c r="B2348" s="10">
        <f t="shared" si="72"/>
        <v>2017</v>
      </c>
      <c r="C2348" s="10">
        <f t="shared" si="73"/>
        <v>5</v>
      </c>
      <c r="D2348" s="20">
        <v>42865</v>
      </c>
      <c r="E2348">
        <v>365.25</v>
      </c>
      <c r="F2348">
        <v>961.75</v>
      </c>
      <c r="G2348">
        <v>313.8</v>
      </c>
      <c r="H2348">
        <v>424</v>
      </c>
      <c r="I2348">
        <v>32.07</v>
      </c>
      <c r="J2348">
        <v>3.1665999999999999</v>
      </c>
    </row>
    <row r="2349" spans="2:10" x14ac:dyDescent="0.3">
      <c r="B2349" s="10">
        <f t="shared" si="72"/>
        <v>2017</v>
      </c>
      <c r="C2349" s="10">
        <f t="shared" si="73"/>
        <v>5</v>
      </c>
      <c r="D2349" s="20">
        <v>42864</v>
      </c>
      <c r="E2349">
        <v>358.25</v>
      </c>
      <c r="F2349">
        <v>965.25</v>
      </c>
      <c r="G2349">
        <v>314.2</v>
      </c>
      <c r="H2349">
        <v>421.75</v>
      </c>
      <c r="I2349">
        <v>32.65</v>
      </c>
      <c r="J2349">
        <v>3.1896</v>
      </c>
    </row>
    <row r="2350" spans="2:10" x14ac:dyDescent="0.3">
      <c r="B2350" s="10">
        <f t="shared" si="72"/>
        <v>2017</v>
      </c>
      <c r="C2350" s="10">
        <f t="shared" si="73"/>
        <v>5</v>
      </c>
      <c r="D2350" s="20">
        <v>42863</v>
      </c>
      <c r="E2350">
        <v>356.75</v>
      </c>
      <c r="F2350">
        <v>956.25</v>
      </c>
      <c r="G2350">
        <v>309.5</v>
      </c>
      <c r="H2350">
        <v>418</v>
      </c>
      <c r="I2350">
        <v>32.729999999999997</v>
      </c>
      <c r="J2350">
        <v>3.1970000000000001</v>
      </c>
    </row>
    <row r="2351" spans="2:10" x14ac:dyDescent="0.3">
      <c r="B2351" s="10">
        <f t="shared" si="72"/>
        <v>2017</v>
      </c>
      <c r="C2351" s="10">
        <f t="shared" si="73"/>
        <v>5</v>
      </c>
      <c r="D2351" s="20">
        <v>42860</v>
      </c>
      <c r="E2351">
        <v>361.75</v>
      </c>
      <c r="F2351">
        <v>963</v>
      </c>
      <c r="G2351">
        <v>312.3</v>
      </c>
      <c r="H2351">
        <v>427.5</v>
      </c>
      <c r="I2351">
        <v>32.71</v>
      </c>
      <c r="J2351">
        <v>3.1762000000000001</v>
      </c>
    </row>
    <row r="2352" spans="2:10" x14ac:dyDescent="0.3">
      <c r="B2352" s="10">
        <f t="shared" si="72"/>
        <v>2017</v>
      </c>
      <c r="C2352" s="10">
        <f t="shared" si="73"/>
        <v>5</v>
      </c>
      <c r="D2352" s="20">
        <v>42859</v>
      </c>
      <c r="E2352">
        <v>358</v>
      </c>
      <c r="F2352">
        <v>965.25</v>
      </c>
      <c r="G2352">
        <v>314.10000000000002</v>
      </c>
      <c r="H2352">
        <v>426</v>
      </c>
      <c r="I2352">
        <v>32.33</v>
      </c>
      <c r="J2352">
        <v>3.1880000000000002</v>
      </c>
    </row>
    <row r="2353" spans="2:10" x14ac:dyDescent="0.3">
      <c r="B2353" s="10">
        <f t="shared" si="72"/>
        <v>2017</v>
      </c>
      <c r="C2353" s="10">
        <f t="shared" si="73"/>
        <v>5</v>
      </c>
      <c r="D2353" s="20">
        <v>42858</v>
      </c>
      <c r="E2353">
        <v>366.25</v>
      </c>
      <c r="F2353">
        <v>965.5</v>
      </c>
      <c r="G2353">
        <v>314.60000000000002</v>
      </c>
      <c r="H2353">
        <v>443</v>
      </c>
      <c r="I2353">
        <v>32.32</v>
      </c>
      <c r="J2353">
        <v>3.1644000000000001</v>
      </c>
    </row>
    <row r="2354" spans="2:10" x14ac:dyDescent="0.3">
      <c r="B2354" s="10">
        <f t="shared" si="72"/>
        <v>2017</v>
      </c>
      <c r="C2354" s="10">
        <f t="shared" si="73"/>
        <v>5</v>
      </c>
      <c r="D2354" s="20">
        <v>42857</v>
      </c>
      <c r="E2354">
        <v>364</v>
      </c>
      <c r="F2354">
        <v>958</v>
      </c>
      <c r="G2354">
        <v>310.8</v>
      </c>
      <c r="H2354">
        <v>441.5</v>
      </c>
      <c r="I2354">
        <v>32.35</v>
      </c>
      <c r="J2354">
        <v>3.1514000000000002</v>
      </c>
    </row>
    <row r="2355" spans="2:10" x14ac:dyDescent="0.3">
      <c r="B2355" s="10">
        <f t="shared" si="72"/>
        <v>2017</v>
      </c>
      <c r="C2355" s="10">
        <f t="shared" si="73"/>
        <v>5</v>
      </c>
      <c r="D2355" s="20">
        <v>42856</v>
      </c>
      <c r="E2355">
        <v>369.25</v>
      </c>
      <c r="F2355">
        <v>959</v>
      </c>
      <c r="G2355">
        <v>314.3</v>
      </c>
      <c r="H2355">
        <v>442.75</v>
      </c>
      <c r="I2355">
        <v>31.89</v>
      </c>
      <c r="J2355">
        <v>3.1755</v>
      </c>
    </row>
    <row r="2356" spans="2:10" x14ac:dyDescent="0.3">
      <c r="B2356" s="10">
        <f t="shared" si="72"/>
        <v>2017</v>
      </c>
      <c r="C2356" s="10">
        <f t="shared" si="73"/>
        <v>4</v>
      </c>
      <c r="D2356" s="20">
        <v>42853</v>
      </c>
      <c r="E2356">
        <v>358</v>
      </c>
      <c r="F2356">
        <v>945.25</v>
      </c>
      <c r="G2356">
        <v>311.7</v>
      </c>
      <c r="H2356">
        <v>418.5</v>
      </c>
      <c r="I2356">
        <v>31.45</v>
      </c>
      <c r="J2356">
        <v>3.1758000000000002</v>
      </c>
    </row>
    <row r="2357" spans="2:10" x14ac:dyDescent="0.3">
      <c r="B2357" s="10">
        <f t="shared" si="72"/>
        <v>2017</v>
      </c>
      <c r="C2357" s="10">
        <f t="shared" si="73"/>
        <v>4</v>
      </c>
      <c r="D2357" s="20">
        <v>42852</v>
      </c>
      <c r="E2357">
        <v>362</v>
      </c>
      <c r="F2357">
        <v>945.75</v>
      </c>
      <c r="G2357">
        <v>310.5</v>
      </c>
      <c r="H2357">
        <v>413.5</v>
      </c>
      <c r="I2357">
        <v>31.7</v>
      </c>
      <c r="J2357">
        <v>3.1831999999999998</v>
      </c>
    </row>
    <row r="2358" spans="2:10" x14ac:dyDescent="0.3">
      <c r="B2358" s="10">
        <f t="shared" si="72"/>
        <v>2017</v>
      </c>
      <c r="C2358" s="10">
        <f t="shared" si="73"/>
        <v>4</v>
      </c>
      <c r="D2358" s="20">
        <v>42851</v>
      </c>
      <c r="E2358">
        <v>359</v>
      </c>
      <c r="F2358">
        <v>945.75</v>
      </c>
      <c r="G2358">
        <v>309.60000000000002</v>
      </c>
      <c r="H2358">
        <v>407.75</v>
      </c>
      <c r="I2358">
        <v>31.91</v>
      </c>
      <c r="J2358">
        <v>3.1709999999999998</v>
      </c>
    </row>
    <row r="2359" spans="2:10" x14ac:dyDescent="0.3">
      <c r="B2359" s="10">
        <f t="shared" si="72"/>
        <v>2017</v>
      </c>
      <c r="C2359" s="10">
        <f t="shared" si="73"/>
        <v>4</v>
      </c>
      <c r="D2359" s="20">
        <v>42850</v>
      </c>
      <c r="E2359">
        <v>365</v>
      </c>
      <c r="F2359">
        <v>954.5</v>
      </c>
      <c r="G2359">
        <v>313.5</v>
      </c>
      <c r="H2359">
        <v>408.75</v>
      </c>
      <c r="I2359">
        <v>31.58</v>
      </c>
      <c r="J2359">
        <v>3.1459000000000001</v>
      </c>
    </row>
    <row r="2360" spans="2:10" x14ac:dyDescent="0.3">
      <c r="B2360" s="10">
        <f t="shared" si="72"/>
        <v>2017</v>
      </c>
      <c r="C2360" s="10">
        <f t="shared" si="73"/>
        <v>4</v>
      </c>
      <c r="D2360" s="20">
        <v>42849</v>
      </c>
      <c r="E2360">
        <v>359.25</v>
      </c>
      <c r="F2360">
        <v>961.25</v>
      </c>
      <c r="G2360">
        <v>316.39999999999998</v>
      </c>
      <c r="H2360">
        <v>402.5</v>
      </c>
      <c r="I2360">
        <v>31.69</v>
      </c>
      <c r="J2360">
        <v>3.1271</v>
      </c>
    </row>
    <row r="2361" spans="2:10" x14ac:dyDescent="0.3">
      <c r="B2361" s="10">
        <f t="shared" si="72"/>
        <v>2017</v>
      </c>
      <c r="C2361" s="10">
        <f t="shared" si="73"/>
        <v>4</v>
      </c>
      <c r="D2361" s="20">
        <v>42846</v>
      </c>
      <c r="E2361">
        <v>357</v>
      </c>
      <c r="F2361">
        <v>951</v>
      </c>
      <c r="G2361">
        <v>309.60000000000002</v>
      </c>
      <c r="H2361">
        <v>405</v>
      </c>
      <c r="I2361">
        <v>31.94</v>
      </c>
      <c r="J2361">
        <v>3.1475</v>
      </c>
    </row>
    <row r="2362" spans="2:10" x14ac:dyDescent="0.3">
      <c r="B2362" s="10">
        <f t="shared" si="72"/>
        <v>2017</v>
      </c>
      <c r="C2362" s="10">
        <f t="shared" si="73"/>
        <v>4</v>
      </c>
      <c r="D2362" s="20">
        <v>42845</v>
      </c>
      <c r="E2362">
        <v>357.75</v>
      </c>
      <c r="F2362">
        <v>946.75</v>
      </c>
      <c r="G2362">
        <v>307.89999999999998</v>
      </c>
      <c r="H2362">
        <v>406.25</v>
      </c>
      <c r="I2362">
        <v>31.92</v>
      </c>
      <c r="J2362">
        <v>3.1482999999999999</v>
      </c>
    </row>
    <row r="2363" spans="2:10" x14ac:dyDescent="0.3">
      <c r="B2363" s="10">
        <f t="shared" si="72"/>
        <v>2017</v>
      </c>
      <c r="C2363" s="10">
        <f t="shared" si="73"/>
        <v>4</v>
      </c>
      <c r="D2363" s="20">
        <v>42844</v>
      </c>
      <c r="E2363">
        <v>361.75</v>
      </c>
      <c r="F2363">
        <v>950.25</v>
      </c>
      <c r="G2363">
        <v>310.8</v>
      </c>
      <c r="H2363">
        <v>419</v>
      </c>
      <c r="I2363">
        <v>31.58</v>
      </c>
      <c r="J2363">
        <v>3.1514000000000002</v>
      </c>
    </row>
    <row r="2364" spans="2:10" x14ac:dyDescent="0.3">
      <c r="B2364" s="10">
        <f t="shared" si="72"/>
        <v>2017</v>
      </c>
      <c r="C2364" s="10">
        <f t="shared" si="73"/>
        <v>4</v>
      </c>
      <c r="D2364" s="20">
        <v>42843</v>
      </c>
      <c r="E2364">
        <v>361.75</v>
      </c>
      <c r="F2364">
        <v>946</v>
      </c>
      <c r="G2364">
        <v>312.2</v>
      </c>
      <c r="H2364">
        <v>422.5</v>
      </c>
      <c r="I2364">
        <v>31.14</v>
      </c>
      <c r="J2364">
        <v>3.1072000000000002</v>
      </c>
    </row>
    <row r="2365" spans="2:10" x14ac:dyDescent="0.3">
      <c r="B2365" s="10">
        <f t="shared" si="72"/>
        <v>2017</v>
      </c>
      <c r="C2365" s="10">
        <f t="shared" si="73"/>
        <v>4</v>
      </c>
      <c r="D2365" s="20">
        <v>42842</v>
      </c>
      <c r="E2365">
        <v>366.5</v>
      </c>
      <c r="F2365">
        <v>953.25</v>
      </c>
      <c r="G2365">
        <v>313.39999999999998</v>
      </c>
      <c r="H2365">
        <v>421</v>
      </c>
      <c r="I2365">
        <v>31.8</v>
      </c>
      <c r="J2365">
        <v>3.0979000000000001</v>
      </c>
    </row>
    <row r="2366" spans="2:10" x14ac:dyDescent="0.3">
      <c r="B2366" s="10">
        <f t="shared" si="72"/>
        <v>2017</v>
      </c>
      <c r="C2366" s="10">
        <f t="shared" si="73"/>
        <v>4</v>
      </c>
      <c r="D2366" s="20">
        <v>42839</v>
      </c>
      <c r="J2366">
        <v>3.1440000000000001</v>
      </c>
    </row>
    <row r="2367" spans="2:10" x14ac:dyDescent="0.3">
      <c r="B2367" s="10">
        <f t="shared" si="72"/>
        <v>2017</v>
      </c>
      <c r="C2367" s="10">
        <f t="shared" si="73"/>
        <v>4</v>
      </c>
      <c r="D2367" s="20">
        <v>42838</v>
      </c>
      <c r="E2367">
        <v>371</v>
      </c>
      <c r="F2367">
        <v>955.5</v>
      </c>
      <c r="G2367">
        <v>317.5</v>
      </c>
      <c r="H2367">
        <v>429.75</v>
      </c>
      <c r="I2367">
        <v>31.19</v>
      </c>
      <c r="J2367">
        <v>3.1436999999999999</v>
      </c>
    </row>
    <row r="2368" spans="2:10" x14ac:dyDescent="0.3">
      <c r="B2368" s="10">
        <f t="shared" ref="B2368:B2431" si="74">YEAR(D2368)</f>
        <v>2017</v>
      </c>
      <c r="C2368" s="10">
        <f t="shared" ref="C2368:C2431" si="75">MONTH(D2368)</f>
        <v>4</v>
      </c>
      <c r="D2368" s="20">
        <v>42837</v>
      </c>
      <c r="E2368">
        <v>369</v>
      </c>
      <c r="F2368">
        <v>947.75</v>
      </c>
      <c r="G2368">
        <v>312.7</v>
      </c>
      <c r="H2368">
        <v>433.25</v>
      </c>
      <c r="I2368">
        <v>31.24</v>
      </c>
      <c r="J2368">
        <v>3.1251000000000002</v>
      </c>
    </row>
    <row r="2369" spans="2:10" x14ac:dyDescent="0.3">
      <c r="B2369" s="10">
        <f t="shared" si="74"/>
        <v>2017</v>
      </c>
      <c r="C2369" s="10">
        <f t="shared" si="75"/>
        <v>4</v>
      </c>
      <c r="D2369" s="20">
        <v>42836</v>
      </c>
      <c r="E2369">
        <v>366.5</v>
      </c>
      <c r="F2369">
        <v>939.25</v>
      </c>
      <c r="G2369">
        <v>309.3</v>
      </c>
      <c r="H2369">
        <v>433.25</v>
      </c>
      <c r="I2369">
        <v>31.07</v>
      </c>
      <c r="J2369">
        <v>3.1360000000000001</v>
      </c>
    </row>
    <row r="2370" spans="2:10" x14ac:dyDescent="0.3">
      <c r="B2370" s="10">
        <f t="shared" si="74"/>
        <v>2017</v>
      </c>
      <c r="C2370" s="10">
        <f t="shared" si="75"/>
        <v>4</v>
      </c>
      <c r="D2370" s="20">
        <v>42835</v>
      </c>
      <c r="E2370">
        <v>367</v>
      </c>
      <c r="F2370">
        <v>941.75</v>
      </c>
      <c r="G2370">
        <v>309.10000000000002</v>
      </c>
      <c r="H2370">
        <v>428.75</v>
      </c>
      <c r="I2370">
        <v>31.35</v>
      </c>
      <c r="J2370">
        <v>3.1311</v>
      </c>
    </row>
    <row r="2371" spans="2:10" x14ac:dyDescent="0.3">
      <c r="B2371" s="10">
        <f t="shared" si="74"/>
        <v>2017</v>
      </c>
      <c r="C2371" s="10">
        <f t="shared" si="75"/>
        <v>4</v>
      </c>
      <c r="D2371" s="20">
        <v>42832</v>
      </c>
      <c r="E2371">
        <v>359.5</v>
      </c>
      <c r="F2371">
        <v>942</v>
      </c>
      <c r="G2371">
        <v>307.39999999999998</v>
      </c>
      <c r="H2371">
        <v>424</v>
      </c>
      <c r="I2371">
        <v>31.62</v>
      </c>
      <c r="J2371">
        <v>3.1457000000000002</v>
      </c>
    </row>
    <row r="2372" spans="2:10" x14ac:dyDescent="0.3">
      <c r="B2372" s="10">
        <f t="shared" si="74"/>
        <v>2017</v>
      </c>
      <c r="C2372" s="10">
        <f t="shared" si="75"/>
        <v>4</v>
      </c>
      <c r="D2372" s="20">
        <v>42831</v>
      </c>
      <c r="E2372">
        <v>360.75</v>
      </c>
      <c r="F2372">
        <v>941.5</v>
      </c>
      <c r="G2372">
        <v>308.7</v>
      </c>
      <c r="H2372">
        <v>423.25</v>
      </c>
      <c r="I2372">
        <v>31.37</v>
      </c>
      <c r="J2372">
        <v>3.1419999999999999</v>
      </c>
    </row>
    <row r="2373" spans="2:10" x14ac:dyDescent="0.3">
      <c r="B2373" s="10">
        <f t="shared" si="74"/>
        <v>2017</v>
      </c>
      <c r="C2373" s="10">
        <f t="shared" si="75"/>
        <v>4</v>
      </c>
      <c r="D2373" s="20">
        <v>42830</v>
      </c>
      <c r="E2373">
        <v>364.75</v>
      </c>
      <c r="F2373">
        <v>944.25</v>
      </c>
      <c r="G2373">
        <v>309.8</v>
      </c>
      <c r="H2373">
        <v>429.75</v>
      </c>
      <c r="I2373">
        <v>31.83</v>
      </c>
      <c r="J2373">
        <v>3.1192000000000002</v>
      </c>
    </row>
    <row r="2374" spans="2:10" x14ac:dyDescent="0.3">
      <c r="B2374" s="10">
        <f t="shared" si="74"/>
        <v>2017</v>
      </c>
      <c r="C2374" s="10">
        <f t="shared" si="75"/>
        <v>4</v>
      </c>
      <c r="D2374" s="20">
        <v>42829</v>
      </c>
      <c r="E2374">
        <v>363</v>
      </c>
      <c r="F2374">
        <v>937.75</v>
      </c>
      <c r="G2374">
        <v>308.10000000000002</v>
      </c>
      <c r="H2374">
        <v>427</v>
      </c>
      <c r="I2374">
        <v>31.43</v>
      </c>
      <c r="J2374">
        <v>3.0926999999999998</v>
      </c>
    </row>
    <row r="2375" spans="2:10" x14ac:dyDescent="0.3">
      <c r="B2375" s="10">
        <f t="shared" si="74"/>
        <v>2017</v>
      </c>
      <c r="C2375" s="10">
        <f t="shared" si="75"/>
        <v>4</v>
      </c>
      <c r="D2375" s="20">
        <v>42828</v>
      </c>
      <c r="E2375">
        <v>367.75</v>
      </c>
      <c r="F2375">
        <v>938.25</v>
      </c>
      <c r="G2375">
        <v>307.60000000000002</v>
      </c>
      <c r="H2375">
        <v>427.75</v>
      </c>
      <c r="I2375">
        <v>31.42</v>
      </c>
      <c r="J2375">
        <v>3.1137999999999999</v>
      </c>
    </row>
    <row r="2376" spans="2:10" x14ac:dyDescent="0.3">
      <c r="B2376" s="10">
        <f t="shared" si="74"/>
        <v>2017</v>
      </c>
      <c r="C2376" s="10">
        <f t="shared" si="75"/>
        <v>3</v>
      </c>
      <c r="D2376" s="20">
        <v>42825</v>
      </c>
      <c r="E2376">
        <v>364.25</v>
      </c>
      <c r="F2376">
        <v>946</v>
      </c>
      <c r="G2376">
        <v>308.39999999999998</v>
      </c>
      <c r="H2376">
        <v>426.5</v>
      </c>
      <c r="I2376">
        <v>31.78</v>
      </c>
      <c r="J2376">
        <v>3.1230000000000002</v>
      </c>
    </row>
    <row r="2377" spans="2:10" x14ac:dyDescent="0.3">
      <c r="B2377" s="10">
        <f t="shared" si="74"/>
        <v>2017</v>
      </c>
      <c r="C2377" s="10">
        <f t="shared" si="75"/>
        <v>3</v>
      </c>
      <c r="D2377" s="20">
        <v>42824</v>
      </c>
      <c r="E2377">
        <v>357.5</v>
      </c>
      <c r="F2377">
        <v>963</v>
      </c>
      <c r="G2377">
        <v>314.89999999999998</v>
      </c>
      <c r="H2377">
        <v>421</v>
      </c>
      <c r="I2377">
        <v>32.01</v>
      </c>
      <c r="J2377">
        <v>3.1482999999999999</v>
      </c>
    </row>
    <row r="2378" spans="2:10" x14ac:dyDescent="0.3">
      <c r="B2378" s="10">
        <f t="shared" si="74"/>
        <v>2017</v>
      </c>
      <c r="C2378" s="10">
        <f t="shared" si="75"/>
        <v>3</v>
      </c>
      <c r="D2378" s="20">
        <v>42823</v>
      </c>
      <c r="E2378">
        <v>358.5</v>
      </c>
      <c r="F2378">
        <v>969</v>
      </c>
      <c r="G2378">
        <v>315.8</v>
      </c>
      <c r="H2378">
        <v>425.5</v>
      </c>
      <c r="I2378">
        <v>32.21</v>
      </c>
      <c r="J2378">
        <v>3.1193</v>
      </c>
    </row>
    <row r="2379" spans="2:10" x14ac:dyDescent="0.3">
      <c r="B2379" s="10">
        <f t="shared" si="74"/>
        <v>2017</v>
      </c>
      <c r="C2379" s="10">
        <f t="shared" si="75"/>
        <v>3</v>
      </c>
      <c r="D2379" s="20">
        <v>42822</v>
      </c>
      <c r="E2379">
        <v>357.75</v>
      </c>
      <c r="F2379">
        <v>972</v>
      </c>
      <c r="G2379">
        <v>315.3</v>
      </c>
      <c r="H2379">
        <v>424.5</v>
      </c>
      <c r="I2379">
        <v>32.47</v>
      </c>
      <c r="J2379">
        <v>3.1398000000000001</v>
      </c>
    </row>
    <row r="2380" spans="2:10" x14ac:dyDescent="0.3">
      <c r="B2380" s="10">
        <f t="shared" si="74"/>
        <v>2017</v>
      </c>
      <c r="C2380" s="10">
        <f t="shared" si="75"/>
        <v>3</v>
      </c>
      <c r="D2380" s="20">
        <v>42821</v>
      </c>
      <c r="E2380">
        <v>355.75</v>
      </c>
      <c r="F2380">
        <v>971.5</v>
      </c>
      <c r="G2380">
        <v>315.3</v>
      </c>
      <c r="H2380">
        <v>420.75</v>
      </c>
      <c r="I2380">
        <v>32.29</v>
      </c>
      <c r="J2380">
        <v>3.1255999999999999</v>
      </c>
    </row>
    <row r="2381" spans="2:10" x14ac:dyDescent="0.3">
      <c r="B2381" s="10">
        <f t="shared" si="74"/>
        <v>2017</v>
      </c>
      <c r="C2381" s="10">
        <f t="shared" si="75"/>
        <v>3</v>
      </c>
      <c r="D2381" s="20">
        <v>42818</v>
      </c>
      <c r="E2381">
        <v>356.25</v>
      </c>
      <c r="F2381">
        <v>975.75</v>
      </c>
      <c r="G2381">
        <v>318.2</v>
      </c>
      <c r="H2381">
        <v>424.75</v>
      </c>
      <c r="I2381">
        <v>32.229999999999997</v>
      </c>
      <c r="J2381">
        <v>3.1073</v>
      </c>
    </row>
    <row r="2382" spans="2:10" x14ac:dyDescent="0.3">
      <c r="B2382" s="10">
        <f t="shared" si="74"/>
        <v>2017</v>
      </c>
      <c r="C2382" s="10">
        <f t="shared" si="75"/>
        <v>3</v>
      </c>
      <c r="D2382" s="20">
        <v>42817</v>
      </c>
      <c r="E2382">
        <v>356.75</v>
      </c>
      <c r="F2382">
        <v>991</v>
      </c>
      <c r="G2382">
        <v>320.7</v>
      </c>
      <c r="H2382">
        <v>421</v>
      </c>
      <c r="I2382">
        <v>33.22</v>
      </c>
      <c r="J2382">
        <v>3.1383000000000001</v>
      </c>
    </row>
    <row r="2383" spans="2:10" x14ac:dyDescent="0.3">
      <c r="B2383" s="10">
        <f t="shared" si="74"/>
        <v>2017</v>
      </c>
      <c r="C2383" s="10">
        <f t="shared" si="75"/>
        <v>3</v>
      </c>
      <c r="D2383" s="20">
        <v>42816</v>
      </c>
      <c r="E2383">
        <v>358.75</v>
      </c>
      <c r="F2383">
        <v>999.75</v>
      </c>
      <c r="G2383">
        <v>323.5</v>
      </c>
      <c r="H2383">
        <v>422.25</v>
      </c>
      <c r="I2383">
        <v>33.520000000000003</v>
      </c>
      <c r="J2383">
        <v>3.0870000000000002</v>
      </c>
    </row>
    <row r="2384" spans="2:10" x14ac:dyDescent="0.3">
      <c r="B2384" s="10">
        <f t="shared" si="74"/>
        <v>2017</v>
      </c>
      <c r="C2384" s="10">
        <f t="shared" si="75"/>
        <v>3</v>
      </c>
      <c r="D2384" s="20">
        <v>42815</v>
      </c>
      <c r="E2384">
        <v>361.25</v>
      </c>
      <c r="F2384">
        <v>1001.5</v>
      </c>
      <c r="G2384">
        <v>325.8</v>
      </c>
      <c r="H2384">
        <v>426.5</v>
      </c>
      <c r="I2384">
        <v>33.14</v>
      </c>
      <c r="J2384">
        <v>3.0878000000000001</v>
      </c>
    </row>
    <row r="2385" spans="2:10" x14ac:dyDescent="0.3">
      <c r="B2385" s="10">
        <f t="shared" si="74"/>
        <v>2017</v>
      </c>
      <c r="C2385" s="10">
        <f t="shared" si="75"/>
        <v>3</v>
      </c>
      <c r="D2385" s="20">
        <v>42814</v>
      </c>
      <c r="E2385">
        <v>363.5</v>
      </c>
      <c r="F2385">
        <v>999.5</v>
      </c>
      <c r="G2385">
        <v>326.60000000000002</v>
      </c>
      <c r="H2385">
        <v>430.25</v>
      </c>
      <c r="I2385">
        <v>32.74</v>
      </c>
      <c r="J2385">
        <v>3.0720000000000001</v>
      </c>
    </row>
    <row r="2386" spans="2:10" x14ac:dyDescent="0.3">
      <c r="B2386" s="10">
        <f t="shared" si="74"/>
        <v>2017</v>
      </c>
      <c r="C2386" s="10">
        <f t="shared" si="75"/>
        <v>3</v>
      </c>
      <c r="D2386" s="20">
        <v>42811</v>
      </c>
      <c r="E2386">
        <v>367.5</v>
      </c>
      <c r="F2386">
        <v>1000</v>
      </c>
      <c r="G2386">
        <v>328.9</v>
      </c>
      <c r="H2386">
        <v>436.25</v>
      </c>
      <c r="I2386">
        <v>32.299999999999997</v>
      </c>
      <c r="J2386">
        <v>3.0911</v>
      </c>
    </row>
    <row r="2387" spans="2:10" x14ac:dyDescent="0.3">
      <c r="B2387" s="10">
        <f t="shared" si="74"/>
        <v>2017</v>
      </c>
      <c r="C2387" s="10">
        <f t="shared" si="75"/>
        <v>3</v>
      </c>
      <c r="D2387" s="20">
        <v>42810</v>
      </c>
      <c r="E2387">
        <v>366</v>
      </c>
      <c r="F2387">
        <v>1001.5</v>
      </c>
      <c r="G2387">
        <v>329.3</v>
      </c>
      <c r="H2387">
        <v>436</v>
      </c>
      <c r="I2387">
        <v>32.26</v>
      </c>
      <c r="J2387">
        <v>3.1179999999999999</v>
      </c>
    </row>
    <row r="2388" spans="2:10" x14ac:dyDescent="0.3">
      <c r="B2388" s="10">
        <f t="shared" si="74"/>
        <v>2017</v>
      </c>
      <c r="C2388" s="10">
        <f t="shared" si="75"/>
        <v>3</v>
      </c>
      <c r="D2388" s="20">
        <v>42809</v>
      </c>
      <c r="E2388">
        <v>363.5</v>
      </c>
      <c r="F2388">
        <v>998</v>
      </c>
      <c r="G2388">
        <v>327.60000000000002</v>
      </c>
      <c r="H2388">
        <v>436</v>
      </c>
      <c r="I2388">
        <v>32.22</v>
      </c>
      <c r="J2388">
        <v>3.1032999999999999</v>
      </c>
    </row>
    <row r="2389" spans="2:10" x14ac:dyDescent="0.3">
      <c r="B2389" s="10">
        <f t="shared" si="74"/>
        <v>2017</v>
      </c>
      <c r="C2389" s="10">
        <f t="shared" si="75"/>
        <v>3</v>
      </c>
      <c r="D2389" s="20">
        <v>42808</v>
      </c>
      <c r="E2389">
        <v>353.75</v>
      </c>
      <c r="F2389">
        <v>987.25</v>
      </c>
      <c r="G2389">
        <v>323.3</v>
      </c>
      <c r="H2389">
        <v>412</v>
      </c>
      <c r="I2389">
        <v>31.85</v>
      </c>
      <c r="J2389">
        <v>3.1682999999999999</v>
      </c>
    </row>
    <row r="2390" spans="2:10" x14ac:dyDescent="0.3">
      <c r="B2390" s="10">
        <f t="shared" si="74"/>
        <v>2017</v>
      </c>
      <c r="C2390" s="10">
        <f t="shared" si="75"/>
        <v>3</v>
      </c>
      <c r="D2390" s="20">
        <v>42807</v>
      </c>
      <c r="E2390">
        <v>354.5</v>
      </c>
      <c r="F2390">
        <v>996.25</v>
      </c>
      <c r="G2390">
        <v>326.89999999999998</v>
      </c>
      <c r="H2390">
        <v>412.25</v>
      </c>
      <c r="I2390">
        <v>31.87</v>
      </c>
      <c r="J2390">
        <v>3.1522999999999999</v>
      </c>
    </row>
    <row r="2391" spans="2:10" x14ac:dyDescent="0.3">
      <c r="B2391" s="10">
        <f t="shared" si="74"/>
        <v>2017</v>
      </c>
      <c r="C2391" s="10">
        <f t="shared" si="75"/>
        <v>3</v>
      </c>
      <c r="D2391" s="20">
        <v>42804</v>
      </c>
      <c r="E2391">
        <v>358</v>
      </c>
      <c r="F2391">
        <v>996.25</v>
      </c>
      <c r="G2391">
        <v>324.60000000000002</v>
      </c>
      <c r="H2391">
        <v>422.75</v>
      </c>
      <c r="I2391">
        <v>32.44</v>
      </c>
      <c r="J2391">
        <v>3.1379999999999999</v>
      </c>
    </row>
    <row r="2392" spans="2:10" x14ac:dyDescent="0.3">
      <c r="B2392" s="10">
        <f t="shared" si="74"/>
        <v>2017</v>
      </c>
      <c r="C2392" s="10">
        <f t="shared" si="75"/>
        <v>3</v>
      </c>
      <c r="D2392" s="20">
        <v>42803</v>
      </c>
      <c r="E2392">
        <v>359.75</v>
      </c>
      <c r="F2392">
        <v>1000.25</v>
      </c>
      <c r="G2392">
        <v>324.10000000000002</v>
      </c>
      <c r="H2392">
        <v>426</v>
      </c>
      <c r="I2392">
        <v>32.869999999999997</v>
      </c>
      <c r="J2392">
        <v>3.1928999999999998</v>
      </c>
    </row>
    <row r="2393" spans="2:10" x14ac:dyDescent="0.3">
      <c r="B2393" s="10">
        <f t="shared" si="74"/>
        <v>2017</v>
      </c>
      <c r="C2393" s="10">
        <f t="shared" si="75"/>
        <v>3</v>
      </c>
      <c r="D2393" s="20">
        <v>42802</v>
      </c>
      <c r="E2393">
        <v>365.25</v>
      </c>
      <c r="F2393">
        <v>1011</v>
      </c>
      <c r="G2393">
        <v>326.5</v>
      </c>
      <c r="H2393">
        <v>427.5</v>
      </c>
      <c r="I2393">
        <v>33.29</v>
      </c>
      <c r="J2393">
        <v>3.1623999999999999</v>
      </c>
    </row>
    <row r="2394" spans="2:10" x14ac:dyDescent="0.3">
      <c r="B2394" s="10">
        <f t="shared" si="74"/>
        <v>2017</v>
      </c>
      <c r="C2394" s="10">
        <f t="shared" si="75"/>
        <v>3</v>
      </c>
      <c r="D2394" s="20">
        <v>42801</v>
      </c>
      <c r="E2394">
        <v>369.5</v>
      </c>
      <c r="F2394">
        <v>1014.75</v>
      </c>
      <c r="G2394">
        <v>326.89999999999998</v>
      </c>
      <c r="H2394">
        <v>436</v>
      </c>
      <c r="I2394">
        <v>33.47</v>
      </c>
      <c r="J2394">
        <v>3.1187</v>
      </c>
    </row>
    <row r="2395" spans="2:10" x14ac:dyDescent="0.3">
      <c r="B2395" s="10">
        <f t="shared" si="74"/>
        <v>2017</v>
      </c>
      <c r="C2395" s="10">
        <f t="shared" si="75"/>
        <v>3</v>
      </c>
      <c r="D2395" s="20">
        <v>42800</v>
      </c>
      <c r="E2395">
        <v>372.75</v>
      </c>
      <c r="F2395">
        <v>1026.75</v>
      </c>
      <c r="G2395">
        <v>329.2</v>
      </c>
      <c r="H2395">
        <v>438.25</v>
      </c>
      <c r="I2395">
        <v>34.020000000000003</v>
      </c>
      <c r="J2395">
        <v>3.1383000000000001</v>
      </c>
    </row>
    <row r="2396" spans="2:10" x14ac:dyDescent="0.3">
      <c r="B2396" s="10">
        <f t="shared" si="74"/>
        <v>2017</v>
      </c>
      <c r="C2396" s="10">
        <f t="shared" si="75"/>
        <v>3</v>
      </c>
      <c r="D2396" s="20">
        <v>42797</v>
      </c>
      <c r="E2396">
        <v>374.75</v>
      </c>
      <c r="F2396">
        <v>1027</v>
      </c>
      <c r="G2396">
        <v>328.8</v>
      </c>
      <c r="H2396">
        <v>433.75</v>
      </c>
      <c r="I2396">
        <v>34.130000000000003</v>
      </c>
      <c r="J2396">
        <v>3.1143000000000001</v>
      </c>
    </row>
    <row r="2397" spans="2:10" x14ac:dyDescent="0.3">
      <c r="B2397" s="10">
        <f t="shared" si="74"/>
        <v>2017</v>
      </c>
      <c r="C2397" s="10">
        <f t="shared" si="75"/>
        <v>3</v>
      </c>
      <c r="D2397" s="20">
        <v>42796</v>
      </c>
      <c r="E2397">
        <v>372.75</v>
      </c>
      <c r="F2397">
        <v>1026.75</v>
      </c>
      <c r="G2397">
        <v>330.8</v>
      </c>
      <c r="H2397">
        <v>432</v>
      </c>
      <c r="I2397">
        <v>33.880000000000003</v>
      </c>
      <c r="J2397">
        <v>3.1560000000000001</v>
      </c>
    </row>
    <row r="2398" spans="2:10" x14ac:dyDescent="0.3">
      <c r="B2398" s="10">
        <f t="shared" si="74"/>
        <v>2017</v>
      </c>
      <c r="C2398" s="10">
        <f t="shared" si="75"/>
        <v>3</v>
      </c>
      <c r="D2398" s="20">
        <v>42795</v>
      </c>
      <c r="E2398">
        <v>375.75</v>
      </c>
      <c r="F2398">
        <v>1041.25</v>
      </c>
      <c r="G2398">
        <v>335.1</v>
      </c>
      <c r="H2398">
        <v>435.5</v>
      </c>
      <c r="I2398">
        <v>34.49</v>
      </c>
      <c r="J2398">
        <v>3.089</v>
      </c>
    </row>
    <row r="2399" spans="2:10" x14ac:dyDescent="0.3">
      <c r="B2399" s="10">
        <f t="shared" si="74"/>
        <v>2017</v>
      </c>
      <c r="C2399" s="10">
        <f t="shared" si="75"/>
        <v>2</v>
      </c>
      <c r="D2399" s="20">
        <v>42794</v>
      </c>
      <c r="E2399">
        <v>366.75</v>
      </c>
      <c r="F2399">
        <v>1025</v>
      </c>
      <c r="G2399">
        <v>332.6</v>
      </c>
      <c r="H2399">
        <v>424.75</v>
      </c>
      <c r="I2399">
        <v>33.69</v>
      </c>
      <c r="J2399">
        <v>3.1086</v>
      </c>
    </row>
    <row r="2400" spans="2:10" x14ac:dyDescent="0.3">
      <c r="B2400" s="10">
        <f t="shared" si="74"/>
        <v>2017</v>
      </c>
      <c r="C2400" s="10">
        <f t="shared" si="75"/>
        <v>2</v>
      </c>
      <c r="D2400" s="20">
        <v>42793</v>
      </c>
      <c r="E2400">
        <v>360.25</v>
      </c>
      <c r="F2400">
        <v>1011</v>
      </c>
      <c r="G2400">
        <v>331.1</v>
      </c>
      <c r="H2400">
        <v>418.75</v>
      </c>
      <c r="I2400">
        <v>32.35</v>
      </c>
      <c r="J2400">
        <v>3.1084999999999998</v>
      </c>
    </row>
    <row r="2401" spans="2:10" x14ac:dyDescent="0.3">
      <c r="B2401" s="10">
        <f t="shared" si="74"/>
        <v>2017</v>
      </c>
      <c r="C2401" s="10">
        <f t="shared" si="75"/>
        <v>2</v>
      </c>
      <c r="D2401" s="20">
        <v>42790</v>
      </c>
      <c r="E2401">
        <v>364</v>
      </c>
      <c r="F2401">
        <v>1013.5</v>
      </c>
      <c r="G2401">
        <v>331.3</v>
      </c>
      <c r="H2401">
        <v>431.25</v>
      </c>
      <c r="I2401">
        <v>32.39</v>
      </c>
      <c r="J2401">
        <v>3.11</v>
      </c>
    </row>
    <row r="2402" spans="2:10" x14ac:dyDescent="0.3">
      <c r="B2402" s="10">
        <f t="shared" si="74"/>
        <v>2017</v>
      </c>
      <c r="C2402" s="10">
        <f t="shared" si="75"/>
        <v>2</v>
      </c>
      <c r="D2402" s="20">
        <v>42789</v>
      </c>
      <c r="E2402">
        <v>365.5</v>
      </c>
      <c r="F2402">
        <v>1011.5</v>
      </c>
      <c r="G2402">
        <v>330.8</v>
      </c>
      <c r="H2402">
        <v>438</v>
      </c>
      <c r="I2402">
        <v>32.32</v>
      </c>
      <c r="J2402">
        <v>3.0590000000000002</v>
      </c>
    </row>
    <row r="2403" spans="2:10" x14ac:dyDescent="0.3">
      <c r="B2403" s="10">
        <f t="shared" si="74"/>
        <v>2017</v>
      </c>
      <c r="C2403" s="10">
        <f t="shared" si="75"/>
        <v>2</v>
      </c>
      <c r="D2403" s="20">
        <v>42788</v>
      </c>
      <c r="E2403">
        <v>371</v>
      </c>
      <c r="F2403">
        <v>1022.75</v>
      </c>
      <c r="G2403">
        <v>335</v>
      </c>
      <c r="H2403">
        <v>441.25</v>
      </c>
      <c r="I2403">
        <v>32.72</v>
      </c>
      <c r="J2403">
        <v>3.0630000000000002</v>
      </c>
    </row>
    <row r="2404" spans="2:10" x14ac:dyDescent="0.3">
      <c r="B2404" s="10">
        <f t="shared" si="74"/>
        <v>2017</v>
      </c>
      <c r="C2404" s="10">
        <f t="shared" si="75"/>
        <v>2</v>
      </c>
      <c r="D2404" s="20">
        <v>42787</v>
      </c>
      <c r="E2404">
        <v>369.25</v>
      </c>
      <c r="F2404">
        <v>1026.25</v>
      </c>
      <c r="G2404">
        <v>337.4</v>
      </c>
      <c r="H2404">
        <v>436</v>
      </c>
      <c r="I2404">
        <v>32.67</v>
      </c>
      <c r="J2404">
        <v>3.0949</v>
      </c>
    </row>
    <row r="2405" spans="2:10" x14ac:dyDescent="0.3">
      <c r="B2405" s="10">
        <f t="shared" si="74"/>
        <v>2017</v>
      </c>
      <c r="C2405" s="10">
        <f t="shared" si="75"/>
        <v>2</v>
      </c>
      <c r="D2405" s="20">
        <v>42786</v>
      </c>
      <c r="J2405">
        <v>3.0859999999999999</v>
      </c>
    </row>
    <row r="2406" spans="2:10" x14ac:dyDescent="0.3">
      <c r="B2406" s="10">
        <f t="shared" si="74"/>
        <v>2017</v>
      </c>
      <c r="C2406" s="10">
        <f t="shared" si="75"/>
        <v>2</v>
      </c>
      <c r="D2406" s="20">
        <v>42783</v>
      </c>
      <c r="E2406">
        <v>368.25</v>
      </c>
      <c r="F2406">
        <v>1032.5</v>
      </c>
      <c r="G2406">
        <v>339.6</v>
      </c>
      <c r="H2406">
        <v>441</v>
      </c>
      <c r="I2406">
        <v>32.89</v>
      </c>
      <c r="J2406">
        <v>3.1034999999999999</v>
      </c>
    </row>
    <row r="2407" spans="2:10" x14ac:dyDescent="0.3">
      <c r="B2407" s="10">
        <f t="shared" si="74"/>
        <v>2017</v>
      </c>
      <c r="C2407" s="10">
        <f t="shared" si="75"/>
        <v>2</v>
      </c>
      <c r="D2407" s="20">
        <v>42782</v>
      </c>
      <c r="E2407">
        <v>373.5</v>
      </c>
      <c r="F2407">
        <v>1043.75</v>
      </c>
      <c r="G2407">
        <v>342</v>
      </c>
      <c r="H2407">
        <v>447.75</v>
      </c>
      <c r="I2407">
        <v>33.520000000000003</v>
      </c>
      <c r="J2407">
        <v>3.0889000000000002</v>
      </c>
    </row>
    <row r="2408" spans="2:10" x14ac:dyDescent="0.3">
      <c r="B2408" s="10">
        <f t="shared" si="74"/>
        <v>2017</v>
      </c>
      <c r="C2408" s="10">
        <f t="shared" si="75"/>
        <v>2</v>
      </c>
      <c r="D2408" s="20">
        <v>42781</v>
      </c>
      <c r="E2408">
        <v>378.75</v>
      </c>
      <c r="F2408">
        <v>1061.25</v>
      </c>
      <c r="G2408">
        <v>346.9</v>
      </c>
      <c r="H2408">
        <v>454.75</v>
      </c>
      <c r="I2408">
        <v>33.94</v>
      </c>
      <c r="J2408">
        <v>3.0565000000000002</v>
      </c>
    </row>
    <row r="2409" spans="2:10" x14ac:dyDescent="0.3">
      <c r="B2409" s="10">
        <f t="shared" si="74"/>
        <v>2017</v>
      </c>
      <c r="C2409" s="10">
        <f t="shared" si="75"/>
        <v>2</v>
      </c>
      <c r="D2409" s="20">
        <v>42780</v>
      </c>
      <c r="E2409">
        <v>374.25</v>
      </c>
      <c r="F2409">
        <v>1045</v>
      </c>
      <c r="G2409">
        <v>339.5</v>
      </c>
      <c r="H2409">
        <v>449.5</v>
      </c>
      <c r="I2409">
        <v>34.14</v>
      </c>
      <c r="J2409">
        <v>3.0840000000000001</v>
      </c>
    </row>
    <row r="2410" spans="2:10" x14ac:dyDescent="0.3">
      <c r="B2410" s="10">
        <f t="shared" si="74"/>
        <v>2017</v>
      </c>
      <c r="C2410" s="10">
        <f t="shared" si="75"/>
        <v>2</v>
      </c>
      <c r="D2410" s="20">
        <v>42779</v>
      </c>
      <c r="E2410">
        <v>375.5</v>
      </c>
      <c r="F2410">
        <v>1054.25</v>
      </c>
      <c r="G2410">
        <v>343.2</v>
      </c>
      <c r="H2410">
        <v>452.25</v>
      </c>
      <c r="I2410">
        <v>34.17</v>
      </c>
      <c r="J2410">
        <v>3.1110000000000002</v>
      </c>
    </row>
    <row r="2411" spans="2:10" x14ac:dyDescent="0.3">
      <c r="B2411" s="10">
        <f t="shared" si="74"/>
        <v>2017</v>
      </c>
      <c r="C2411" s="10">
        <f t="shared" si="75"/>
        <v>2</v>
      </c>
      <c r="D2411" s="20">
        <v>42776</v>
      </c>
      <c r="E2411">
        <v>374.5</v>
      </c>
      <c r="F2411">
        <v>1059</v>
      </c>
      <c r="G2411">
        <v>342.1</v>
      </c>
      <c r="H2411">
        <v>449</v>
      </c>
      <c r="I2411">
        <v>34.61</v>
      </c>
      <c r="J2411">
        <v>3.1145</v>
      </c>
    </row>
    <row r="2412" spans="2:10" x14ac:dyDescent="0.3">
      <c r="B2412" s="10">
        <f t="shared" si="74"/>
        <v>2017</v>
      </c>
      <c r="C2412" s="10">
        <f t="shared" si="75"/>
        <v>2</v>
      </c>
      <c r="D2412" s="20">
        <v>42775</v>
      </c>
      <c r="E2412">
        <v>369.5</v>
      </c>
      <c r="F2412">
        <v>1050.5</v>
      </c>
      <c r="G2412">
        <v>338.4</v>
      </c>
      <c r="H2412">
        <v>443.5</v>
      </c>
      <c r="I2412">
        <v>34.67</v>
      </c>
      <c r="J2412">
        <v>3.1299000000000001</v>
      </c>
    </row>
    <row r="2413" spans="2:10" x14ac:dyDescent="0.3">
      <c r="B2413" s="10">
        <f t="shared" si="74"/>
        <v>2017</v>
      </c>
      <c r="C2413" s="10">
        <f t="shared" si="75"/>
        <v>2</v>
      </c>
      <c r="D2413" s="20">
        <v>42774</v>
      </c>
      <c r="E2413">
        <v>370.75</v>
      </c>
      <c r="F2413">
        <v>1058.75</v>
      </c>
      <c r="G2413">
        <v>341.2</v>
      </c>
      <c r="H2413">
        <v>432.5</v>
      </c>
      <c r="I2413">
        <v>34.69</v>
      </c>
      <c r="J2413">
        <v>3.117</v>
      </c>
    </row>
    <row r="2414" spans="2:10" x14ac:dyDescent="0.3">
      <c r="B2414" s="10">
        <f t="shared" si="74"/>
        <v>2017</v>
      </c>
      <c r="C2414" s="10">
        <f t="shared" si="75"/>
        <v>2</v>
      </c>
      <c r="D2414" s="20">
        <v>42773</v>
      </c>
      <c r="E2414">
        <v>368.5</v>
      </c>
      <c r="F2414">
        <v>1042.75</v>
      </c>
      <c r="G2414">
        <v>335.9</v>
      </c>
      <c r="H2414">
        <v>430.75</v>
      </c>
      <c r="I2414">
        <v>34.299999999999997</v>
      </c>
      <c r="J2414">
        <v>3.12</v>
      </c>
    </row>
    <row r="2415" spans="2:10" x14ac:dyDescent="0.3">
      <c r="B2415" s="10">
        <f t="shared" si="74"/>
        <v>2017</v>
      </c>
      <c r="C2415" s="10">
        <f t="shared" si="75"/>
        <v>2</v>
      </c>
      <c r="D2415" s="20">
        <v>42772</v>
      </c>
      <c r="E2415">
        <v>363.75</v>
      </c>
      <c r="F2415">
        <v>1036</v>
      </c>
      <c r="G2415">
        <v>332.8</v>
      </c>
      <c r="H2415">
        <v>422.5</v>
      </c>
      <c r="I2415">
        <v>34.44</v>
      </c>
      <c r="J2415">
        <v>3.1154999999999999</v>
      </c>
    </row>
    <row r="2416" spans="2:10" x14ac:dyDescent="0.3">
      <c r="B2416" s="10">
        <f t="shared" si="74"/>
        <v>2017</v>
      </c>
      <c r="C2416" s="10">
        <f t="shared" si="75"/>
        <v>2</v>
      </c>
      <c r="D2416" s="20">
        <v>42769</v>
      </c>
      <c r="E2416">
        <v>365.25</v>
      </c>
      <c r="F2416">
        <v>1027</v>
      </c>
      <c r="G2416">
        <v>331.6</v>
      </c>
      <c r="H2416">
        <v>430.25</v>
      </c>
      <c r="I2416">
        <v>33.86</v>
      </c>
      <c r="J2416">
        <v>3.1173999999999999</v>
      </c>
    </row>
    <row r="2417" spans="2:10" x14ac:dyDescent="0.3">
      <c r="B2417" s="10">
        <f t="shared" si="74"/>
        <v>2017</v>
      </c>
      <c r="C2417" s="10">
        <f t="shared" si="75"/>
        <v>2</v>
      </c>
      <c r="D2417" s="20">
        <v>42768</v>
      </c>
      <c r="E2417">
        <v>367.5</v>
      </c>
      <c r="F2417">
        <v>1037.25</v>
      </c>
      <c r="G2417">
        <v>333.8</v>
      </c>
      <c r="H2417">
        <v>434.5</v>
      </c>
      <c r="I2417">
        <v>34.590000000000003</v>
      </c>
      <c r="J2417">
        <v>3.1234999999999999</v>
      </c>
    </row>
    <row r="2418" spans="2:10" x14ac:dyDescent="0.3">
      <c r="B2418" s="10">
        <f t="shared" si="74"/>
        <v>2017</v>
      </c>
      <c r="C2418" s="10">
        <f t="shared" si="75"/>
        <v>2</v>
      </c>
      <c r="D2418" s="20">
        <v>42767</v>
      </c>
      <c r="E2418">
        <v>368.25</v>
      </c>
      <c r="F2418">
        <v>1036.75</v>
      </c>
      <c r="G2418">
        <v>336</v>
      </c>
      <c r="H2418">
        <v>433.75</v>
      </c>
      <c r="I2418">
        <v>34.31</v>
      </c>
      <c r="J2418">
        <v>3.1284999999999998</v>
      </c>
    </row>
    <row r="2419" spans="2:10" x14ac:dyDescent="0.3">
      <c r="B2419" s="10">
        <f t="shared" si="74"/>
        <v>2017</v>
      </c>
      <c r="C2419" s="10">
        <f t="shared" si="75"/>
        <v>1</v>
      </c>
      <c r="D2419" s="20">
        <v>42766</v>
      </c>
      <c r="E2419">
        <v>359.75</v>
      </c>
      <c r="F2419">
        <v>1024.5</v>
      </c>
      <c r="G2419">
        <v>334.6</v>
      </c>
      <c r="H2419">
        <v>420.75</v>
      </c>
      <c r="I2419">
        <v>33.85</v>
      </c>
      <c r="J2419">
        <v>3.1507000000000001</v>
      </c>
    </row>
    <row r="2420" spans="2:10" x14ac:dyDescent="0.3">
      <c r="B2420" s="10">
        <f t="shared" si="74"/>
        <v>2017</v>
      </c>
      <c r="C2420" s="10">
        <f t="shared" si="75"/>
        <v>1</v>
      </c>
      <c r="D2420" s="20">
        <v>42765</v>
      </c>
      <c r="E2420">
        <v>357.75</v>
      </c>
      <c r="F2420">
        <v>1022.75</v>
      </c>
      <c r="G2420">
        <v>334.4</v>
      </c>
      <c r="H2420">
        <v>414</v>
      </c>
      <c r="I2420">
        <v>33.61</v>
      </c>
      <c r="J2420">
        <v>3.1255000000000002</v>
      </c>
    </row>
    <row r="2421" spans="2:10" x14ac:dyDescent="0.3">
      <c r="B2421" s="10">
        <f t="shared" si="74"/>
        <v>2017</v>
      </c>
      <c r="C2421" s="10">
        <f t="shared" si="75"/>
        <v>1</v>
      </c>
      <c r="D2421" s="20">
        <v>42762</v>
      </c>
      <c r="E2421">
        <v>362.5</v>
      </c>
      <c r="F2421">
        <v>1049.25</v>
      </c>
      <c r="G2421">
        <v>343</v>
      </c>
      <c r="H2421">
        <v>420.5</v>
      </c>
      <c r="I2421">
        <v>34.270000000000003</v>
      </c>
      <c r="J2421">
        <v>3.14</v>
      </c>
    </row>
    <row r="2422" spans="2:10" x14ac:dyDescent="0.3">
      <c r="B2422" s="10">
        <f t="shared" si="74"/>
        <v>2017</v>
      </c>
      <c r="C2422" s="10">
        <f t="shared" si="75"/>
        <v>1</v>
      </c>
      <c r="D2422" s="20">
        <v>42761</v>
      </c>
      <c r="E2422">
        <v>363.75</v>
      </c>
      <c r="F2422">
        <v>1049.5</v>
      </c>
      <c r="G2422">
        <v>342.4</v>
      </c>
      <c r="H2422">
        <v>427</v>
      </c>
      <c r="I2422">
        <v>34.47</v>
      </c>
      <c r="J2422">
        <v>3.1775000000000002</v>
      </c>
    </row>
    <row r="2423" spans="2:10" x14ac:dyDescent="0.3">
      <c r="B2423" s="10">
        <f t="shared" si="74"/>
        <v>2017</v>
      </c>
      <c r="C2423" s="10">
        <f t="shared" si="75"/>
        <v>1</v>
      </c>
      <c r="D2423" s="20">
        <v>42760</v>
      </c>
      <c r="E2423">
        <v>366.25</v>
      </c>
      <c r="F2423">
        <v>1055.25</v>
      </c>
      <c r="G2423">
        <v>343.3</v>
      </c>
      <c r="H2423">
        <v>424.5</v>
      </c>
      <c r="I2423">
        <v>34.869999999999997</v>
      </c>
      <c r="J2423">
        <v>3.1697000000000002</v>
      </c>
    </row>
    <row r="2424" spans="2:10" x14ac:dyDescent="0.3">
      <c r="B2424" s="10">
        <f t="shared" si="74"/>
        <v>2017</v>
      </c>
      <c r="C2424" s="10">
        <f t="shared" si="75"/>
        <v>1</v>
      </c>
      <c r="D2424" s="20">
        <v>42759</v>
      </c>
      <c r="E2424">
        <v>363.25</v>
      </c>
      <c r="F2424">
        <v>1058.5</v>
      </c>
      <c r="G2424">
        <v>343</v>
      </c>
      <c r="H2424">
        <v>426.75</v>
      </c>
      <c r="I2424">
        <v>35.28</v>
      </c>
      <c r="J2424">
        <v>3.1697000000000002</v>
      </c>
    </row>
    <row r="2425" spans="2:10" x14ac:dyDescent="0.3">
      <c r="B2425" s="10">
        <f t="shared" si="74"/>
        <v>2017</v>
      </c>
      <c r="C2425" s="10">
        <f t="shared" si="75"/>
        <v>1</v>
      </c>
      <c r="D2425" s="20">
        <v>42758</v>
      </c>
      <c r="E2425">
        <v>369.5</v>
      </c>
      <c r="F2425">
        <v>1057.75</v>
      </c>
      <c r="G2425">
        <v>343.5</v>
      </c>
      <c r="H2425">
        <v>433.25</v>
      </c>
      <c r="I2425">
        <v>35.130000000000003</v>
      </c>
      <c r="J2425">
        <v>3.1627999999999998</v>
      </c>
    </row>
    <row r="2426" spans="2:10" x14ac:dyDescent="0.3">
      <c r="B2426" s="10">
        <f t="shared" si="74"/>
        <v>2017</v>
      </c>
      <c r="C2426" s="10">
        <f t="shared" si="75"/>
        <v>1</v>
      </c>
      <c r="D2426" s="20">
        <v>42755</v>
      </c>
      <c r="E2426">
        <v>369.75</v>
      </c>
      <c r="F2426">
        <v>1067.5</v>
      </c>
      <c r="G2426">
        <v>348.7</v>
      </c>
      <c r="H2426">
        <v>428.25</v>
      </c>
      <c r="I2426">
        <v>35.15</v>
      </c>
      <c r="J2426">
        <v>3.1684999999999999</v>
      </c>
    </row>
    <row r="2427" spans="2:10" x14ac:dyDescent="0.3">
      <c r="B2427" s="10">
        <f t="shared" si="74"/>
        <v>2017</v>
      </c>
      <c r="C2427" s="10">
        <f t="shared" si="75"/>
        <v>1</v>
      </c>
      <c r="D2427" s="20">
        <v>42754</v>
      </c>
      <c r="E2427">
        <v>366.25</v>
      </c>
      <c r="F2427">
        <v>1070.25</v>
      </c>
      <c r="G2427">
        <v>348.2</v>
      </c>
      <c r="H2427">
        <v>423.5</v>
      </c>
      <c r="I2427">
        <v>35.44</v>
      </c>
      <c r="J2427">
        <v>3.1960000000000002</v>
      </c>
    </row>
    <row r="2428" spans="2:10" x14ac:dyDescent="0.3">
      <c r="B2428" s="10">
        <f t="shared" si="74"/>
        <v>2017</v>
      </c>
      <c r="C2428" s="10">
        <f t="shared" si="75"/>
        <v>1</v>
      </c>
      <c r="D2428" s="20">
        <v>42753</v>
      </c>
      <c r="E2428">
        <v>365</v>
      </c>
      <c r="F2428">
        <v>1075</v>
      </c>
      <c r="G2428">
        <v>351.1</v>
      </c>
      <c r="H2428">
        <v>431</v>
      </c>
      <c r="I2428">
        <v>35.58</v>
      </c>
      <c r="J2428">
        <v>3.2307000000000001</v>
      </c>
    </row>
    <row r="2429" spans="2:10" x14ac:dyDescent="0.3">
      <c r="B2429" s="10">
        <f t="shared" si="74"/>
        <v>2017</v>
      </c>
      <c r="C2429" s="10">
        <f t="shared" si="75"/>
        <v>1</v>
      </c>
      <c r="D2429" s="20">
        <v>42752</v>
      </c>
      <c r="E2429">
        <v>365.5</v>
      </c>
      <c r="F2429">
        <v>1069.25</v>
      </c>
      <c r="G2429">
        <v>348.8</v>
      </c>
      <c r="H2429">
        <v>433.5</v>
      </c>
      <c r="I2429">
        <v>35.56</v>
      </c>
      <c r="J2429">
        <v>3.2113</v>
      </c>
    </row>
    <row r="2430" spans="2:10" x14ac:dyDescent="0.3">
      <c r="B2430" s="10">
        <f t="shared" si="74"/>
        <v>2017</v>
      </c>
      <c r="C2430" s="10">
        <f t="shared" si="75"/>
        <v>1</v>
      </c>
      <c r="D2430" s="20">
        <v>42751</v>
      </c>
      <c r="J2430">
        <v>3.2414999999999998</v>
      </c>
    </row>
    <row r="2431" spans="2:10" x14ac:dyDescent="0.3">
      <c r="B2431" s="10">
        <f t="shared" si="74"/>
        <v>2017</v>
      </c>
      <c r="C2431" s="10">
        <f t="shared" si="75"/>
        <v>1</v>
      </c>
      <c r="D2431" s="20">
        <v>42748</v>
      </c>
      <c r="E2431">
        <v>358.5</v>
      </c>
      <c r="F2431">
        <v>1042.5</v>
      </c>
      <c r="G2431">
        <v>332.5</v>
      </c>
      <c r="H2431">
        <v>426</v>
      </c>
      <c r="I2431">
        <v>35.369999999999997</v>
      </c>
      <c r="J2431">
        <v>3.2204999999999999</v>
      </c>
    </row>
    <row r="2432" spans="2:10" x14ac:dyDescent="0.3">
      <c r="B2432" s="10">
        <f t="shared" ref="B2432:B2495" si="76">YEAR(D2432)</f>
        <v>2017</v>
      </c>
      <c r="C2432" s="10">
        <f t="shared" ref="C2432:C2495" si="77">MONTH(D2432)</f>
        <v>1</v>
      </c>
      <c r="D2432" s="20">
        <v>42747</v>
      </c>
      <c r="E2432">
        <v>358.25</v>
      </c>
      <c r="F2432">
        <v>1032</v>
      </c>
      <c r="G2432">
        <v>324.2</v>
      </c>
      <c r="H2432">
        <v>426.25</v>
      </c>
      <c r="I2432">
        <v>35.85</v>
      </c>
      <c r="J2432">
        <v>3.1878000000000002</v>
      </c>
    </row>
    <row r="2433" spans="2:10" x14ac:dyDescent="0.3">
      <c r="B2433" s="10">
        <f t="shared" si="76"/>
        <v>2017</v>
      </c>
      <c r="C2433" s="10">
        <f t="shared" si="77"/>
        <v>1</v>
      </c>
      <c r="D2433" s="20">
        <v>42746</v>
      </c>
      <c r="E2433">
        <v>357.25</v>
      </c>
      <c r="F2433">
        <v>1003</v>
      </c>
      <c r="G2433">
        <v>310.7</v>
      </c>
      <c r="H2433">
        <v>418.75</v>
      </c>
      <c r="I2433">
        <v>35.79</v>
      </c>
      <c r="J2433">
        <v>3.1964999999999999</v>
      </c>
    </row>
    <row r="2434" spans="2:10" x14ac:dyDescent="0.3">
      <c r="B2434" s="10">
        <f t="shared" si="76"/>
        <v>2017</v>
      </c>
      <c r="C2434" s="10">
        <f t="shared" si="77"/>
        <v>1</v>
      </c>
      <c r="D2434" s="20">
        <v>42745</v>
      </c>
      <c r="E2434">
        <v>358.25</v>
      </c>
      <c r="F2434">
        <v>1005.5</v>
      </c>
      <c r="G2434">
        <v>313.39999999999998</v>
      </c>
      <c r="H2434">
        <v>426.75</v>
      </c>
      <c r="I2434">
        <v>35.43</v>
      </c>
      <c r="J2434">
        <v>3.1955</v>
      </c>
    </row>
    <row r="2435" spans="2:10" x14ac:dyDescent="0.3">
      <c r="B2435" s="10">
        <f t="shared" si="76"/>
        <v>2017</v>
      </c>
      <c r="C2435" s="10">
        <f t="shared" si="77"/>
        <v>1</v>
      </c>
      <c r="D2435" s="20">
        <v>42744</v>
      </c>
      <c r="E2435">
        <v>360</v>
      </c>
      <c r="F2435">
        <v>996.5</v>
      </c>
      <c r="G2435">
        <v>309.8</v>
      </c>
      <c r="H2435">
        <v>427.25</v>
      </c>
      <c r="I2435">
        <v>35.270000000000003</v>
      </c>
      <c r="J2435">
        <v>3.1966999999999999</v>
      </c>
    </row>
    <row r="2436" spans="2:10" x14ac:dyDescent="0.3">
      <c r="B2436" s="10">
        <f t="shared" si="76"/>
        <v>2017</v>
      </c>
      <c r="C2436" s="10">
        <f t="shared" si="77"/>
        <v>1</v>
      </c>
      <c r="D2436" s="20">
        <v>42741</v>
      </c>
      <c r="E2436">
        <v>358</v>
      </c>
      <c r="F2436">
        <v>986</v>
      </c>
      <c r="G2436">
        <v>307.5</v>
      </c>
      <c r="H2436">
        <v>423.25</v>
      </c>
      <c r="I2436">
        <v>34.770000000000003</v>
      </c>
      <c r="J2436">
        <v>3.2239</v>
      </c>
    </row>
    <row r="2437" spans="2:10" x14ac:dyDescent="0.3">
      <c r="B2437" s="10">
        <f t="shared" si="76"/>
        <v>2017</v>
      </c>
      <c r="C2437" s="10">
        <f t="shared" si="77"/>
        <v>1</v>
      </c>
      <c r="D2437" s="20">
        <v>42740</v>
      </c>
      <c r="E2437">
        <v>361.25</v>
      </c>
      <c r="F2437">
        <v>1003.5</v>
      </c>
      <c r="G2437">
        <v>314.39999999999998</v>
      </c>
      <c r="H2437">
        <v>426.25</v>
      </c>
      <c r="I2437">
        <v>35</v>
      </c>
      <c r="J2437">
        <v>3.1987999999999999</v>
      </c>
    </row>
    <row r="2438" spans="2:10" x14ac:dyDescent="0.3">
      <c r="B2438" s="10">
        <f t="shared" si="76"/>
        <v>2017</v>
      </c>
      <c r="C2438" s="10">
        <f t="shared" si="77"/>
        <v>1</v>
      </c>
      <c r="D2438" s="20">
        <v>42739</v>
      </c>
      <c r="E2438">
        <v>359.75</v>
      </c>
      <c r="F2438">
        <v>1006.25</v>
      </c>
      <c r="G2438">
        <v>315.3</v>
      </c>
      <c r="H2438">
        <v>418.5</v>
      </c>
      <c r="I2438">
        <v>34.979999999999997</v>
      </c>
      <c r="J2438">
        <v>3.2160000000000002</v>
      </c>
    </row>
    <row r="2439" spans="2:10" x14ac:dyDescent="0.3">
      <c r="B2439" s="10">
        <f t="shared" si="76"/>
        <v>2017</v>
      </c>
      <c r="C2439" s="10">
        <f t="shared" si="77"/>
        <v>1</v>
      </c>
      <c r="D2439" s="20">
        <v>42738</v>
      </c>
      <c r="E2439">
        <v>355.75</v>
      </c>
      <c r="F2439">
        <v>986.75</v>
      </c>
      <c r="G2439">
        <v>308.3</v>
      </c>
      <c r="H2439">
        <v>406.5</v>
      </c>
      <c r="I2439">
        <v>34.57</v>
      </c>
      <c r="J2439">
        <v>3.2644000000000002</v>
      </c>
    </row>
    <row r="2440" spans="2:10" x14ac:dyDescent="0.3">
      <c r="B2440" s="10">
        <f t="shared" si="76"/>
        <v>2017</v>
      </c>
      <c r="C2440" s="10">
        <f t="shared" si="77"/>
        <v>1</v>
      </c>
      <c r="D2440" s="20">
        <v>42737</v>
      </c>
      <c r="J2440">
        <v>3.2850999999999999</v>
      </c>
    </row>
    <row r="2441" spans="2:10" x14ac:dyDescent="0.3">
      <c r="B2441" s="10">
        <f t="shared" si="76"/>
        <v>2016</v>
      </c>
      <c r="C2441" s="10">
        <f t="shared" si="77"/>
        <v>12</v>
      </c>
      <c r="D2441" s="20">
        <v>42734</v>
      </c>
      <c r="E2441">
        <v>352</v>
      </c>
      <c r="F2441">
        <v>996.5</v>
      </c>
      <c r="G2441">
        <v>312.89999999999998</v>
      </c>
      <c r="H2441">
        <v>408</v>
      </c>
      <c r="I2441">
        <v>34.42</v>
      </c>
      <c r="J2441">
        <v>3.2532000000000001</v>
      </c>
    </row>
    <row r="2442" spans="2:10" x14ac:dyDescent="0.3">
      <c r="B2442" s="10">
        <f t="shared" si="76"/>
        <v>2016</v>
      </c>
      <c r="C2442" s="10">
        <f t="shared" si="77"/>
        <v>12</v>
      </c>
      <c r="D2442" s="20">
        <v>42733</v>
      </c>
      <c r="E2442">
        <v>349.75</v>
      </c>
      <c r="F2442">
        <v>1003.25</v>
      </c>
      <c r="G2442">
        <v>314.8</v>
      </c>
      <c r="H2442">
        <v>404.75</v>
      </c>
      <c r="I2442">
        <v>34.520000000000003</v>
      </c>
      <c r="J2442">
        <v>3.2532000000000001</v>
      </c>
    </row>
    <row r="2443" spans="2:10" x14ac:dyDescent="0.3">
      <c r="B2443" s="10">
        <f t="shared" si="76"/>
        <v>2016</v>
      </c>
      <c r="C2443" s="10">
        <f t="shared" si="77"/>
        <v>12</v>
      </c>
      <c r="D2443" s="20">
        <v>42732</v>
      </c>
      <c r="E2443">
        <v>348.25</v>
      </c>
      <c r="F2443">
        <v>1006.75</v>
      </c>
      <c r="G2443">
        <v>316.2</v>
      </c>
      <c r="H2443">
        <v>401.5</v>
      </c>
      <c r="I2443">
        <v>34.86</v>
      </c>
      <c r="J2443">
        <v>3.2839999999999998</v>
      </c>
    </row>
    <row r="2444" spans="2:10" x14ac:dyDescent="0.3">
      <c r="B2444" s="10">
        <f t="shared" si="76"/>
        <v>2016</v>
      </c>
      <c r="C2444" s="10">
        <f t="shared" si="77"/>
        <v>12</v>
      </c>
      <c r="D2444" s="20">
        <v>42731</v>
      </c>
      <c r="E2444">
        <v>355</v>
      </c>
      <c r="F2444">
        <v>1014.75</v>
      </c>
      <c r="G2444">
        <v>317.8</v>
      </c>
      <c r="H2444">
        <v>409.5</v>
      </c>
      <c r="I2444">
        <v>35.119999999999997</v>
      </c>
      <c r="J2444">
        <v>3.2696999999999998</v>
      </c>
    </row>
    <row r="2445" spans="2:10" x14ac:dyDescent="0.3">
      <c r="B2445" s="10">
        <f t="shared" si="76"/>
        <v>2016</v>
      </c>
      <c r="C2445" s="10">
        <f t="shared" si="77"/>
        <v>12</v>
      </c>
      <c r="D2445" s="20">
        <v>42730</v>
      </c>
      <c r="J2445">
        <v>3.2759999999999998</v>
      </c>
    </row>
    <row r="2446" spans="2:10" x14ac:dyDescent="0.3">
      <c r="B2446" s="10">
        <f t="shared" si="76"/>
        <v>2016</v>
      </c>
      <c r="C2446" s="10">
        <f t="shared" si="77"/>
        <v>12</v>
      </c>
      <c r="D2446" s="20">
        <v>42727</v>
      </c>
      <c r="E2446">
        <v>345.75</v>
      </c>
      <c r="F2446">
        <v>989</v>
      </c>
      <c r="G2446">
        <v>308</v>
      </c>
      <c r="H2446">
        <v>393.5</v>
      </c>
      <c r="I2446">
        <v>34.6</v>
      </c>
      <c r="J2446">
        <v>3.2705000000000002</v>
      </c>
    </row>
    <row r="2447" spans="2:10" x14ac:dyDescent="0.3">
      <c r="B2447" s="10">
        <f t="shared" si="76"/>
        <v>2016</v>
      </c>
      <c r="C2447" s="10">
        <f t="shared" si="77"/>
        <v>12</v>
      </c>
      <c r="D2447" s="20">
        <v>42726</v>
      </c>
      <c r="E2447">
        <v>347.25</v>
      </c>
      <c r="F2447">
        <v>994.5</v>
      </c>
      <c r="G2447">
        <v>309.3</v>
      </c>
      <c r="H2447">
        <v>397</v>
      </c>
      <c r="I2447">
        <v>34.79</v>
      </c>
      <c r="J2447">
        <v>3.2865000000000002</v>
      </c>
    </row>
    <row r="2448" spans="2:10" x14ac:dyDescent="0.3">
      <c r="B2448" s="10">
        <f t="shared" si="76"/>
        <v>2016</v>
      </c>
      <c r="C2448" s="10">
        <f t="shared" si="77"/>
        <v>12</v>
      </c>
      <c r="D2448" s="20">
        <v>42725</v>
      </c>
      <c r="E2448">
        <v>347.25</v>
      </c>
      <c r="F2448">
        <v>1006.75</v>
      </c>
      <c r="G2448">
        <v>309.5</v>
      </c>
      <c r="H2448">
        <v>399.5</v>
      </c>
      <c r="I2448">
        <v>36.04</v>
      </c>
      <c r="J2448">
        <v>3.3264999999999998</v>
      </c>
    </row>
    <row r="2449" spans="2:10" x14ac:dyDescent="0.3">
      <c r="B2449" s="10">
        <f t="shared" si="76"/>
        <v>2016</v>
      </c>
      <c r="C2449" s="10">
        <f t="shared" si="77"/>
        <v>12</v>
      </c>
      <c r="D2449" s="20">
        <v>42724</v>
      </c>
      <c r="E2449">
        <v>350.25</v>
      </c>
      <c r="F2449">
        <v>1005.25</v>
      </c>
      <c r="G2449">
        <v>308.8</v>
      </c>
      <c r="H2449">
        <v>403.25</v>
      </c>
      <c r="I2449">
        <v>36.06</v>
      </c>
      <c r="J2449">
        <v>3.3536000000000001</v>
      </c>
    </row>
    <row r="2450" spans="2:10" x14ac:dyDescent="0.3">
      <c r="B2450" s="10">
        <f t="shared" si="76"/>
        <v>2016</v>
      </c>
      <c r="C2450" s="10">
        <f t="shared" si="77"/>
        <v>12</v>
      </c>
      <c r="D2450" s="20">
        <v>42723</v>
      </c>
      <c r="E2450">
        <v>353.25</v>
      </c>
      <c r="F2450">
        <v>1021.5</v>
      </c>
      <c r="G2450">
        <v>312.2</v>
      </c>
      <c r="H2450">
        <v>405</v>
      </c>
      <c r="I2450">
        <v>36.56</v>
      </c>
      <c r="J2450">
        <v>3.3645</v>
      </c>
    </row>
    <row r="2451" spans="2:10" x14ac:dyDescent="0.3">
      <c r="B2451" s="10">
        <f t="shared" si="76"/>
        <v>2016</v>
      </c>
      <c r="C2451" s="10">
        <f t="shared" si="77"/>
        <v>12</v>
      </c>
      <c r="D2451" s="20">
        <v>42720</v>
      </c>
      <c r="E2451">
        <v>356.25</v>
      </c>
      <c r="F2451">
        <v>1036.75</v>
      </c>
      <c r="G2451">
        <v>317.10000000000002</v>
      </c>
      <c r="H2451">
        <v>409.25</v>
      </c>
      <c r="I2451">
        <v>36.74</v>
      </c>
      <c r="J2451">
        <v>3.3915000000000002</v>
      </c>
    </row>
    <row r="2452" spans="2:10" x14ac:dyDescent="0.3">
      <c r="B2452" s="10">
        <f t="shared" si="76"/>
        <v>2016</v>
      </c>
      <c r="C2452" s="10">
        <f t="shared" si="77"/>
        <v>12</v>
      </c>
      <c r="D2452" s="20">
        <v>42719</v>
      </c>
      <c r="E2452">
        <v>356.5</v>
      </c>
      <c r="F2452">
        <v>1029</v>
      </c>
      <c r="G2452">
        <v>314</v>
      </c>
      <c r="H2452">
        <v>409.25</v>
      </c>
      <c r="I2452">
        <v>36.74</v>
      </c>
      <c r="J2452">
        <v>3.3690000000000002</v>
      </c>
    </row>
    <row r="2453" spans="2:10" x14ac:dyDescent="0.3">
      <c r="B2453" s="10">
        <f t="shared" si="76"/>
        <v>2016</v>
      </c>
      <c r="C2453" s="10">
        <f t="shared" si="77"/>
        <v>12</v>
      </c>
      <c r="D2453" s="20">
        <v>42718</v>
      </c>
      <c r="E2453">
        <v>351.75</v>
      </c>
      <c r="F2453">
        <v>1023.75</v>
      </c>
      <c r="G2453">
        <v>311.10000000000002</v>
      </c>
      <c r="H2453">
        <v>391.5</v>
      </c>
      <c r="I2453">
        <v>36.729999999999997</v>
      </c>
      <c r="J2453">
        <v>3.3690000000000002</v>
      </c>
    </row>
    <row r="2454" spans="2:10" x14ac:dyDescent="0.3">
      <c r="B2454" s="10">
        <f t="shared" si="76"/>
        <v>2016</v>
      </c>
      <c r="C2454" s="10">
        <f t="shared" si="77"/>
        <v>12</v>
      </c>
      <c r="D2454" s="20">
        <v>42717</v>
      </c>
      <c r="E2454">
        <v>356.25</v>
      </c>
      <c r="F2454">
        <v>1028</v>
      </c>
      <c r="G2454">
        <v>313.5</v>
      </c>
      <c r="H2454">
        <v>398</v>
      </c>
      <c r="I2454">
        <v>36.57</v>
      </c>
      <c r="J2454">
        <v>3.3344999999999998</v>
      </c>
    </row>
    <row r="2455" spans="2:10" x14ac:dyDescent="0.3">
      <c r="B2455" s="10">
        <f t="shared" si="76"/>
        <v>2016</v>
      </c>
      <c r="C2455" s="10">
        <f t="shared" si="77"/>
        <v>12</v>
      </c>
      <c r="D2455" s="20">
        <v>42716</v>
      </c>
      <c r="E2455">
        <v>354.5</v>
      </c>
      <c r="F2455">
        <v>1031</v>
      </c>
      <c r="G2455">
        <v>314.8</v>
      </c>
      <c r="H2455">
        <v>401.25</v>
      </c>
      <c r="I2455">
        <v>36.76</v>
      </c>
      <c r="J2455">
        <v>3.3380000000000001</v>
      </c>
    </row>
    <row r="2456" spans="2:10" x14ac:dyDescent="0.3">
      <c r="B2456" s="10">
        <f t="shared" si="76"/>
        <v>2016</v>
      </c>
      <c r="C2456" s="10">
        <f t="shared" si="77"/>
        <v>12</v>
      </c>
      <c r="D2456" s="20">
        <v>42713</v>
      </c>
      <c r="E2456">
        <v>352.5</v>
      </c>
      <c r="F2456">
        <v>1037.5</v>
      </c>
      <c r="G2456">
        <v>317.39999999999998</v>
      </c>
      <c r="H2456">
        <v>400.25</v>
      </c>
      <c r="I2456">
        <v>36.74</v>
      </c>
      <c r="J2456">
        <v>3.3769999999999998</v>
      </c>
    </row>
    <row r="2457" spans="2:10" x14ac:dyDescent="0.3">
      <c r="B2457" s="10">
        <f t="shared" si="76"/>
        <v>2016</v>
      </c>
      <c r="C2457" s="10">
        <f t="shared" si="77"/>
        <v>12</v>
      </c>
      <c r="D2457" s="20">
        <v>42712</v>
      </c>
      <c r="E2457">
        <v>346.5</v>
      </c>
      <c r="F2457">
        <v>1027</v>
      </c>
      <c r="G2457">
        <v>312.39999999999998</v>
      </c>
      <c r="H2457">
        <v>390.75</v>
      </c>
      <c r="I2457">
        <v>37.049999999999997</v>
      </c>
      <c r="J2457">
        <v>3.375</v>
      </c>
    </row>
    <row r="2458" spans="2:10" x14ac:dyDescent="0.3">
      <c r="B2458" s="10">
        <f t="shared" si="76"/>
        <v>2016</v>
      </c>
      <c r="C2458" s="10">
        <f t="shared" si="77"/>
        <v>12</v>
      </c>
      <c r="D2458" s="20">
        <v>42711</v>
      </c>
      <c r="E2458">
        <v>350.5</v>
      </c>
      <c r="F2458">
        <v>1049</v>
      </c>
      <c r="G2458">
        <v>319.2</v>
      </c>
      <c r="H2458">
        <v>386.25</v>
      </c>
      <c r="I2458">
        <v>37.72</v>
      </c>
      <c r="J2458">
        <v>3.3824999999999998</v>
      </c>
    </row>
    <row r="2459" spans="2:10" x14ac:dyDescent="0.3">
      <c r="B2459" s="10">
        <f t="shared" si="76"/>
        <v>2016</v>
      </c>
      <c r="C2459" s="10">
        <f t="shared" si="77"/>
        <v>12</v>
      </c>
      <c r="D2459" s="20">
        <v>42710</v>
      </c>
      <c r="E2459">
        <v>351</v>
      </c>
      <c r="F2459">
        <v>1047.75</v>
      </c>
      <c r="G2459">
        <v>320.2</v>
      </c>
      <c r="H2459">
        <v>389.5</v>
      </c>
      <c r="I2459">
        <v>37.619999999999997</v>
      </c>
      <c r="J2459">
        <v>3.4075000000000002</v>
      </c>
    </row>
    <row r="2460" spans="2:10" x14ac:dyDescent="0.3">
      <c r="B2460" s="10">
        <f t="shared" si="76"/>
        <v>2016</v>
      </c>
      <c r="C2460" s="10">
        <f t="shared" si="77"/>
        <v>12</v>
      </c>
      <c r="D2460" s="20">
        <v>42709</v>
      </c>
      <c r="E2460">
        <v>349.5</v>
      </c>
      <c r="F2460">
        <v>1043.5</v>
      </c>
      <c r="G2460">
        <v>317.7</v>
      </c>
      <c r="H2460">
        <v>389.25</v>
      </c>
      <c r="I2460">
        <v>37.49</v>
      </c>
      <c r="J2460">
        <v>3.4201000000000001</v>
      </c>
    </row>
    <row r="2461" spans="2:10" x14ac:dyDescent="0.3">
      <c r="B2461" s="10">
        <f t="shared" si="76"/>
        <v>2016</v>
      </c>
      <c r="C2461" s="10">
        <f t="shared" si="77"/>
        <v>12</v>
      </c>
      <c r="D2461" s="20">
        <v>42706</v>
      </c>
      <c r="E2461">
        <v>337.5</v>
      </c>
      <c r="F2461">
        <v>1027.5</v>
      </c>
      <c r="G2461">
        <v>310.7</v>
      </c>
      <c r="H2461">
        <v>387.5</v>
      </c>
      <c r="I2461">
        <v>37.51</v>
      </c>
      <c r="J2461">
        <v>3.4750000000000001</v>
      </c>
    </row>
    <row r="2462" spans="2:10" x14ac:dyDescent="0.3">
      <c r="B2462" s="10">
        <f t="shared" si="76"/>
        <v>2016</v>
      </c>
      <c r="C2462" s="10">
        <f t="shared" si="77"/>
        <v>12</v>
      </c>
      <c r="D2462" s="20">
        <v>42705</v>
      </c>
      <c r="E2462">
        <v>331.75</v>
      </c>
      <c r="F2462">
        <v>1029.75</v>
      </c>
      <c r="G2462">
        <v>310.89999999999998</v>
      </c>
      <c r="H2462">
        <v>371.5</v>
      </c>
      <c r="I2462">
        <v>37.64</v>
      </c>
      <c r="J2462">
        <v>3.4702999999999999</v>
      </c>
    </row>
    <row r="2463" spans="2:10" x14ac:dyDescent="0.3">
      <c r="B2463" s="10">
        <f t="shared" si="76"/>
        <v>2016</v>
      </c>
      <c r="C2463" s="10">
        <f t="shared" si="77"/>
        <v>11</v>
      </c>
      <c r="D2463" s="20">
        <v>42704</v>
      </c>
      <c r="E2463">
        <v>336.75</v>
      </c>
      <c r="F2463">
        <v>1032.25</v>
      </c>
      <c r="G2463">
        <v>316.39999999999998</v>
      </c>
      <c r="H2463">
        <v>380.5</v>
      </c>
      <c r="I2463">
        <v>36.79</v>
      </c>
      <c r="J2463">
        <v>3.3826999999999998</v>
      </c>
    </row>
    <row r="2464" spans="2:10" x14ac:dyDescent="0.3">
      <c r="B2464" s="10">
        <f t="shared" si="76"/>
        <v>2016</v>
      </c>
      <c r="C2464" s="10">
        <f t="shared" si="77"/>
        <v>11</v>
      </c>
      <c r="D2464" s="20">
        <v>42703</v>
      </c>
      <c r="E2464">
        <v>336.75</v>
      </c>
      <c r="F2464">
        <v>1042.5</v>
      </c>
      <c r="G2464">
        <v>321.7</v>
      </c>
      <c r="H2464">
        <v>384</v>
      </c>
      <c r="I2464">
        <v>36.36</v>
      </c>
      <c r="J2464">
        <v>3.3975</v>
      </c>
    </row>
    <row r="2465" spans="2:10" x14ac:dyDescent="0.3">
      <c r="B2465" s="10">
        <f t="shared" si="76"/>
        <v>2016</v>
      </c>
      <c r="C2465" s="10">
        <f t="shared" si="77"/>
        <v>11</v>
      </c>
      <c r="D2465" s="20">
        <v>42702</v>
      </c>
      <c r="E2465">
        <v>348.5</v>
      </c>
      <c r="F2465">
        <v>1056</v>
      </c>
      <c r="G2465">
        <v>325.89999999999998</v>
      </c>
      <c r="H2465">
        <v>389.5</v>
      </c>
      <c r="I2465">
        <v>36.71</v>
      </c>
      <c r="J2465">
        <v>3.3843999999999999</v>
      </c>
    </row>
    <row r="2466" spans="2:10" x14ac:dyDescent="0.3">
      <c r="B2466" s="10">
        <f t="shared" si="76"/>
        <v>2016</v>
      </c>
      <c r="C2466" s="10">
        <f t="shared" si="77"/>
        <v>11</v>
      </c>
      <c r="D2466" s="20">
        <v>42699</v>
      </c>
      <c r="E2466">
        <v>349.25</v>
      </c>
      <c r="F2466">
        <v>1046</v>
      </c>
      <c r="G2466">
        <v>320.8</v>
      </c>
      <c r="H2466">
        <v>395.75</v>
      </c>
      <c r="I2466">
        <v>36.659999999999997</v>
      </c>
      <c r="J2466">
        <v>3.4207999999999998</v>
      </c>
    </row>
    <row r="2467" spans="2:10" x14ac:dyDescent="0.3">
      <c r="B2467" s="10">
        <f t="shared" si="76"/>
        <v>2016</v>
      </c>
      <c r="C2467" s="10">
        <f t="shared" si="77"/>
        <v>11</v>
      </c>
      <c r="D2467" s="20">
        <v>42698</v>
      </c>
      <c r="J2467">
        <v>3.3904999999999998</v>
      </c>
    </row>
    <row r="2468" spans="2:10" x14ac:dyDescent="0.3">
      <c r="B2468" s="10">
        <f t="shared" si="76"/>
        <v>2016</v>
      </c>
      <c r="C2468" s="10">
        <f t="shared" si="77"/>
        <v>11</v>
      </c>
      <c r="D2468" s="20">
        <v>42697</v>
      </c>
      <c r="E2468">
        <v>350.75</v>
      </c>
      <c r="F2468">
        <v>1034.25</v>
      </c>
      <c r="G2468">
        <v>316.39999999999998</v>
      </c>
      <c r="H2468">
        <v>401.5</v>
      </c>
      <c r="I2468">
        <v>36.85</v>
      </c>
      <c r="J2468">
        <v>3.3929999999999998</v>
      </c>
    </row>
    <row r="2469" spans="2:10" x14ac:dyDescent="0.3">
      <c r="B2469" s="10">
        <f t="shared" si="76"/>
        <v>2016</v>
      </c>
      <c r="C2469" s="10">
        <f t="shared" si="77"/>
        <v>11</v>
      </c>
      <c r="D2469" s="20">
        <v>42696</v>
      </c>
      <c r="E2469">
        <v>351</v>
      </c>
      <c r="F2469">
        <v>1030</v>
      </c>
      <c r="G2469">
        <v>324.89999999999998</v>
      </c>
      <c r="H2469">
        <v>407.25</v>
      </c>
      <c r="I2469">
        <v>34.479999999999997</v>
      </c>
      <c r="J2469">
        <v>3.3540000000000001</v>
      </c>
    </row>
    <row r="2470" spans="2:10" x14ac:dyDescent="0.3">
      <c r="B2470" s="10">
        <f t="shared" si="76"/>
        <v>2016</v>
      </c>
      <c r="C2470" s="10">
        <f t="shared" si="77"/>
        <v>11</v>
      </c>
      <c r="D2470" s="20">
        <v>42695</v>
      </c>
      <c r="E2470">
        <v>349.75</v>
      </c>
      <c r="F2470">
        <v>1020.25</v>
      </c>
      <c r="G2470">
        <v>319.7</v>
      </c>
      <c r="H2470">
        <v>410.25</v>
      </c>
      <c r="I2470">
        <v>34.64</v>
      </c>
      <c r="J2470">
        <v>3.3511000000000002</v>
      </c>
    </row>
    <row r="2471" spans="2:10" x14ac:dyDescent="0.3">
      <c r="B2471" s="10">
        <f t="shared" si="76"/>
        <v>2016</v>
      </c>
      <c r="C2471" s="10">
        <f t="shared" si="77"/>
        <v>11</v>
      </c>
      <c r="D2471" s="20">
        <v>42692</v>
      </c>
      <c r="E2471">
        <v>345.5</v>
      </c>
      <c r="F2471">
        <v>993.75</v>
      </c>
      <c r="G2471">
        <v>310.39999999999998</v>
      </c>
      <c r="H2471">
        <v>408</v>
      </c>
      <c r="I2471">
        <v>34.049999999999997</v>
      </c>
      <c r="J2471">
        <v>3.3824999999999998</v>
      </c>
    </row>
    <row r="2472" spans="2:10" x14ac:dyDescent="0.3">
      <c r="B2472" s="10">
        <f t="shared" si="76"/>
        <v>2016</v>
      </c>
      <c r="C2472" s="10">
        <f t="shared" si="77"/>
        <v>11</v>
      </c>
      <c r="D2472" s="20">
        <v>42691</v>
      </c>
      <c r="E2472">
        <v>342</v>
      </c>
      <c r="F2472">
        <v>989.5</v>
      </c>
      <c r="G2472">
        <v>311.5</v>
      </c>
      <c r="H2472">
        <v>403</v>
      </c>
      <c r="I2472">
        <v>33.700000000000003</v>
      </c>
      <c r="J2472">
        <v>3.4178000000000002</v>
      </c>
    </row>
    <row r="2473" spans="2:10" x14ac:dyDescent="0.3">
      <c r="B2473" s="10">
        <f t="shared" si="76"/>
        <v>2016</v>
      </c>
      <c r="C2473" s="10">
        <f t="shared" si="77"/>
        <v>11</v>
      </c>
      <c r="D2473" s="20">
        <v>42690</v>
      </c>
      <c r="E2473">
        <v>338.5</v>
      </c>
      <c r="F2473">
        <v>985.75</v>
      </c>
      <c r="G2473">
        <v>308.39999999999998</v>
      </c>
      <c r="H2473">
        <v>397</v>
      </c>
      <c r="I2473">
        <v>34.1</v>
      </c>
      <c r="J2473">
        <v>3.419</v>
      </c>
    </row>
    <row r="2474" spans="2:10" x14ac:dyDescent="0.3">
      <c r="B2474" s="10">
        <f t="shared" si="76"/>
        <v>2016</v>
      </c>
      <c r="C2474" s="10">
        <f t="shared" si="77"/>
        <v>11</v>
      </c>
      <c r="D2474" s="20">
        <v>42689</v>
      </c>
      <c r="E2474">
        <v>341.5</v>
      </c>
      <c r="F2474">
        <v>989.5</v>
      </c>
      <c r="G2474">
        <v>310.10000000000002</v>
      </c>
      <c r="H2474">
        <v>399</v>
      </c>
      <c r="I2474">
        <v>34.21</v>
      </c>
      <c r="J2474">
        <v>3.4388999999999998</v>
      </c>
    </row>
    <row r="2475" spans="2:10" x14ac:dyDescent="0.3">
      <c r="B2475" s="10">
        <f t="shared" si="76"/>
        <v>2016</v>
      </c>
      <c r="C2475" s="10">
        <f t="shared" si="77"/>
        <v>11</v>
      </c>
      <c r="D2475" s="20">
        <v>42688</v>
      </c>
      <c r="E2475">
        <v>337.25</v>
      </c>
      <c r="F2475">
        <v>971</v>
      </c>
      <c r="G2475">
        <v>309.89999999999998</v>
      </c>
      <c r="H2475">
        <v>394</v>
      </c>
      <c r="I2475">
        <v>33.950000000000003</v>
      </c>
      <c r="J2475">
        <v>3.4316</v>
      </c>
    </row>
    <row r="2476" spans="2:10" x14ac:dyDescent="0.3">
      <c r="B2476" s="10">
        <f t="shared" si="76"/>
        <v>2016</v>
      </c>
      <c r="C2476" s="10">
        <f t="shared" si="77"/>
        <v>11</v>
      </c>
      <c r="D2476" s="20">
        <v>42685</v>
      </c>
      <c r="E2476">
        <v>340.25</v>
      </c>
      <c r="F2476">
        <v>978.5</v>
      </c>
      <c r="G2476">
        <v>307.8</v>
      </c>
      <c r="H2476">
        <v>403</v>
      </c>
      <c r="I2476">
        <v>34.44</v>
      </c>
      <c r="J2476">
        <v>3.39</v>
      </c>
    </row>
    <row r="2477" spans="2:10" x14ac:dyDescent="0.3">
      <c r="B2477" s="10">
        <f t="shared" si="76"/>
        <v>2016</v>
      </c>
      <c r="C2477" s="10">
        <f t="shared" si="77"/>
        <v>11</v>
      </c>
      <c r="D2477" s="20">
        <v>42684</v>
      </c>
      <c r="E2477">
        <v>343.5</v>
      </c>
      <c r="F2477">
        <v>989</v>
      </c>
      <c r="G2477">
        <v>311.39999999999998</v>
      </c>
      <c r="H2477">
        <v>404.75</v>
      </c>
      <c r="I2477">
        <v>34.770000000000003</v>
      </c>
      <c r="J2477">
        <v>3.3849</v>
      </c>
    </row>
    <row r="2478" spans="2:10" x14ac:dyDescent="0.3">
      <c r="B2478" s="10">
        <f t="shared" si="76"/>
        <v>2016</v>
      </c>
      <c r="C2478" s="10">
        <f t="shared" si="77"/>
        <v>11</v>
      </c>
      <c r="D2478" s="20">
        <v>42683</v>
      </c>
      <c r="E2478">
        <v>340.75</v>
      </c>
      <c r="F2478">
        <v>982</v>
      </c>
      <c r="G2478">
        <v>311.39999999999998</v>
      </c>
      <c r="H2478">
        <v>406.75</v>
      </c>
      <c r="I2478">
        <v>34.31</v>
      </c>
      <c r="J2478">
        <v>3.2157</v>
      </c>
    </row>
    <row r="2479" spans="2:10" x14ac:dyDescent="0.3">
      <c r="B2479" s="10">
        <f t="shared" si="76"/>
        <v>2016</v>
      </c>
      <c r="C2479" s="10">
        <f t="shared" si="77"/>
        <v>11</v>
      </c>
      <c r="D2479" s="20">
        <v>42682</v>
      </c>
      <c r="E2479">
        <v>354.25</v>
      </c>
      <c r="F2479">
        <v>1001.75</v>
      </c>
      <c r="G2479">
        <v>315.7</v>
      </c>
      <c r="H2479">
        <v>415.25</v>
      </c>
      <c r="I2479">
        <v>35.31</v>
      </c>
      <c r="J2479">
        <v>3.1680000000000001</v>
      </c>
    </row>
    <row r="2480" spans="2:10" x14ac:dyDescent="0.3">
      <c r="B2480" s="10">
        <f t="shared" si="76"/>
        <v>2016</v>
      </c>
      <c r="C2480" s="10">
        <f t="shared" si="77"/>
        <v>11</v>
      </c>
      <c r="D2480" s="20">
        <v>42681</v>
      </c>
      <c r="E2480">
        <v>346.25</v>
      </c>
      <c r="F2480">
        <v>989.25</v>
      </c>
      <c r="G2480">
        <v>311.89999999999998</v>
      </c>
      <c r="H2480">
        <v>410</v>
      </c>
      <c r="I2480">
        <v>34.79</v>
      </c>
      <c r="J2480">
        <v>3.2004999999999999</v>
      </c>
    </row>
    <row r="2481" spans="2:10" x14ac:dyDescent="0.3">
      <c r="B2481" s="10">
        <f t="shared" si="76"/>
        <v>2016</v>
      </c>
      <c r="C2481" s="10">
        <f t="shared" si="77"/>
        <v>11</v>
      </c>
      <c r="D2481" s="20">
        <v>42678</v>
      </c>
      <c r="E2481">
        <v>348.75</v>
      </c>
      <c r="F2481">
        <v>981.5</v>
      </c>
      <c r="G2481">
        <v>309</v>
      </c>
      <c r="H2481">
        <v>414.25</v>
      </c>
      <c r="I2481">
        <v>34.71</v>
      </c>
      <c r="J2481">
        <v>3.2322000000000002</v>
      </c>
    </row>
    <row r="2482" spans="2:10" x14ac:dyDescent="0.3">
      <c r="B2482" s="10">
        <f t="shared" si="76"/>
        <v>2016</v>
      </c>
      <c r="C2482" s="10">
        <f t="shared" si="77"/>
        <v>11</v>
      </c>
      <c r="D2482" s="20">
        <v>42677</v>
      </c>
      <c r="E2482">
        <v>348</v>
      </c>
      <c r="F2482">
        <v>979.75</v>
      </c>
      <c r="G2482">
        <v>306.39999999999998</v>
      </c>
      <c r="H2482">
        <v>412</v>
      </c>
      <c r="I2482">
        <v>35.1</v>
      </c>
      <c r="J2482">
        <v>3.2410000000000001</v>
      </c>
    </row>
    <row r="2483" spans="2:10" x14ac:dyDescent="0.3">
      <c r="B2483" s="10">
        <f t="shared" si="76"/>
        <v>2016</v>
      </c>
      <c r="C2483" s="10">
        <f t="shared" si="77"/>
        <v>11</v>
      </c>
      <c r="D2483" s="20">
        <v>42676</v>
      </c>
      <c r="E2483">
        <v>346.25</v>
      </c>
      <c r="F2483">
        <v>976.75</v>
      </c>
      <c r="G2483">
        <v>306.7</v>
      </c>
      <c r="H2483">
        <v>417.75</v>
      </c>
      <c r="I2483">
        <v>34.979999999999997</v>
      </c>
      <c r="J2483">
        <v>3.2343999999999999</v>
      </c>
    </row>
    <row r="2484" spans="2:10" x14ac:dyDescent="0.3">
      <c r="B2484" s="10">
        <f t="shared" si="76"/>
        <v>2016</v>
      </c>
      <c r="C2484" s="10">
        <f t="shared" si="77"/>
        <v>11</v>
      </c>
      <c r="D2484" s="20">
        <v>42675</v>
      </c>
      <c r="E2484">
        <v>349</v>
      </c>
      <c r="F2484">
        <v>984.25</v>
      </c>
      <c r="G2484">
        <v>309.5</v>
      </c>
      <c r="H2484">
        <v>414.25</v>
      </c>
      <c r="I2484">
        <v>34.85</v>
      </c>
      <c r="J2484">
        <v>3.2355</v>
      </c>
    </row>
    <row r="2485" spans="2:10" x14ac:dyDescent="0.3">
      <c r="B2485" s="10">
        <f t="shared" si="76"/>
        <v>2016</v>
      </c>
      <c r="C2485" s="10">
        <f t="shared" si="77"/>
        <v>10</v>
      </c>
      <c r="D2485" s="20">
        <v>42674</v>
      </c>
      <c r="E2485">
        <v>354.75</v>
      </c>
      <c r="F2485">
        <v>1002.25</v>
      </c>
      <c r="G2485">
        <v>316.10000000000002</v>
      </c>
      <c r="H2485">
        <v>416.25</v>
      </c>
      <c r="I2485">
        <v>35.17</v>
      </c>
      <c r="J2485">
        <v>3.1878000000000002</v>
      </c>
    </row>
    <row r="2486" spans="2:10" x14ac:dyDescent="0.3">
      <c r="B2486" s="10">
        <f t="shared" si="76"/>
        <v>2016</v>
      </c>
      <c r="C2486" s="10">
        <f t="shared" si="77"/>
        <v>10</v>
      </c>
      <c r="D2486" s="20">
        <v>42671</v>
      </c>
      <c r="E2486">
        <v>355</v>
      </c>
      <c r="F2486">
        <v>1001.25</v>
      </c>
      <c r="G2486">
        <v>317.5</v>
      </c>
      <c r="H2486">
        <v>408.5</v>
      </c>
      <c r="I2486">
        <v>35.409999999999997</v>
      </c>
      <c r="J2486">
        <v>3.2050000000000001</v>
      </c>
    </row>
    <row r="2487" spans="2:10" x14ac:dyDescent="0.3">
      <c r="B2487" s="10">
        <f t="shared" si="76"/>
        <v>2016</v>
      </c>
      <c r="C2487" s="10">
        <f t="shared" si="77"/>
        <v>10</v>
      </c>
      <c r="D2487" s="20">
        <v>42670</v>
      </c>
      <c r="E2487">
        <v>357.5</v>
      </c>
      <c r="F2487">
        <v>1014.25</v>
      </c>
      <c r="G2487">
        <v>327.60000000000002</v>
      </c>
      <c r="H2487">
        <v>414.5</v>
      </c>
      <c r="I2487">
        <v>35.11</v>
      </c>
      <c r="J2487">
        <v>3.1686000000000001</v>
      </c>
    </row>
    <row r="2488" spans="2:10" x14ac:dyDescent="0.3">
      <c r="B2488" s="10">
        <f t="shared" si="76"/>
        <v>2016</v>
      </c>
      <c r="C2488" s="10">
        <f t="shared" si="77"/>
        <v>10</v>
      </c>
      <c r="D2488" s="20">
        <v>42669</v>
      </c>
      <c r="E2488">
        <v>354</v>
      </c>
      <c r="F2488">
        <v>1010</v>
      </c>
      <c r="G2488">
        <v>319.10000000000002</v>
      </c>
      <c r="H2488">
        <v>411.5</v>
      </c>
      <c r="I2488">
        <v>35.72</v>
      </c>
      <c r="J2488">
        <v>3.1394000000000002</v>
      </c>
    </row>
    <row r="2489" spans="2:10" x14ac:dyDescent="0.3">
      <c r="B2489" s="10">
        <f t="shared" si="76"/>
        <v>2016</v>
      </c>
      <c r="C2489" s="10">
        <f t="shared" si="77"/>
        <v>10</v>
      </c>
      <c r="D2489" s="20">
        <v>42668</v>
      </c>
      <c r="E2489">
        <v>349.25</v>
      </c>
      <c r="F2489">
        <v>990.75</v>
      </c>
      <c r="G2489">
        <v>308.2</v>
      </c>
      <c r="H2489">
        <v>404.25</v>
      </c>
      <c r="I2489">
        <v>35.799999999999997</v>
      </c>
      <c r="J2489">
        <v>3.1135999999999999</v>
      </c>
    </row>
    <row r="2490" spans="2:10" x14ac:dyDescent="0.3">
      <c r="B2490" s="10">
        <f t="shared" si="76"/>
        <v>2016</v>
      </c>
      <c r="C2490" s="10">
        <f t="shared" si="77"/>
        <v>10</v>
      </c>
      <c r="D2490" s="20">
        <v>42667</v>
      </c>
      <c r="E2490">
        <v>348.25</v>
      </c>
      <c r="F2490">
        <v>992</v>
      </c>
      <c r="G2490">
        <v>307.3</v>
      </c>
      <c r="H2490">
        <v>402.5</v>
      </c>
      <c r="I2490">
        <v>35.99</v>
      </c>
      <c r="J2490">
        <v>3.1231</v>
      </c>
    </row>
    <row r="2491" spans="2:10" x14ac:dyDescent="0.3">
      <c r="B2491" s="10">
        <f t="shared" si="76"/>
        <v>2016</v>
      </c>
      <c r="C2491" s="10">
        <f t="shared" si="77"/>
        <v>10</v>
      </c>
      <c r="D2491" s="20">
        <v>42664</v>
      </c>
      <c r="E2491">
        <v>352.5</v>
      </c>
      <c r="F2491">
        <v>983</v>
      </c>
      <c r="G2491">
        <v>306.5</v>
      </c>
      <c r="H2491">
        <v>414.5</v>
      </c>
      <c r="I2491">
        <v>35.119999999999997</v>
      </c>
      <c r="J2491">
        <v>3.1496</v>
      </c>
    </row>
    <row r="2492" spans="2:10" x14ac:dyDescent="0.3">
      <c r="B2492" s="10">
        <f t="shared" si="76"/>
        <v>2016</v>
      </c>
      <c r="C2492" s="10">
        <f t="shared" si="77"/>
        <v>10</v>
      </c>
      <c r="D2492" s="20">
        <v>42663</v>
      </c>
      <c r="E2492">
        <v>351</v>
      </c>
      <c r="F2492">
        <v>975.5</v>
      </c>
      <c r="G2492">
        <v>304.60000000000002</v>
      </c>
      <c r="H2492">
        <v>417</v>
      </c>
      <c r="I2492">
        <v>35.049999999999997</v>
      </c>
      <c r="J2492">
        <v>3.1417999999999999</v>
      </c>
    </row>
    <row r="2493" spans="2:10" x14ac:dyDescent="0.3">
      <c r="B2493" s="10">
        <f t="shared" si="76"/>
        <v>2016</v>
      </c>
      <c r="C2493" s="10">
        <f t="shared" si="77"/>
        <v>10</v>
      </c>
      <c r="D2493" s="20">
        <v>42662</v>
      </c>
      <c r="E2493">
        <v>357.5</v>
      </c>
      <c r="F2493">
        <v>981.5</v>
      </c>
      <c r="G2493">
        <v>306.39999999999998</v>
      </c>
      <c r="H2493">
        <v>420.25</v>
      </c>
      <c r="I2493">
        <v>35.4</v>
      </c>
      <c r="J2493">
        <v>3.1682000000000001</v>
      </c>
    </row>
    <row r="2494" spans="2:10" x14ac:dyDescent="0.3">
      <c r="B2494" s="10">
        <f t="shared" si="76"/>
        <v>2016</v>
      </c>
      <c r="C2494" s="10">
        <f t="shared" si="77"/>
        <v>10</v>
      </c>
      <c r="D2494" s="20">
        <v>42661</v>
      </c>
      <c r="E2494">
        <v>353.75</v>
      </c>
      <c r="F2494">
        <v>972.5</v>
      </c>
      <c r="G2494">
        <v>303.39999999999998</v>
      </c>
      <c r="H2494">
        <v>420</v>
      </c>
      <c r="I2494">
        <v>35.07</v>
      </c>
      <c r="J2494">
        <v>3.1873</v>
      </c>
    </row>
    <row r="2495" spans="2:10" x14ac:dyDescent="0.3">
      <c r="B2495" s="10">
        <f t="shared" si="76"/>
        <v>2016</v>
      </c>
      <c r="C2495" s="10">
        <f t="shared" si="77"/>
        <v>10</v>
      </c>
      <c r="D2495" s="20">
        <v>42660</v>
      </c>
      <c r="E2495">
        <v>354</v>
      </c>
      <c r="F2495">
        <v>978.25</v>
      </c>
      <c r="G2495">
        <v>303.5</v>
      </c>
      <c r="H2495">
        <v>423.75</v>
      </c>
      <c r="I2495">
        <v>35.44</v>
      </c>
      <c r="J2495">
        <v>3.2006999999999999</v>
      </c>
    </row>
    <row r="2496" spans="2:10" x14ac:dyDescent="0.3">
      <c r="B2496" s="10">
        <f t="shared" ref="B2496:B2559" si="78">YEAR(D2496)</f>
        <v>2016</v>
      </c>
      <c r="C2496" s="10">
        <f t="shared" ref="C2496:C2559" si="79">MONTH(D2496)</f>
        <v>10</v>
      </c>
      <c r="D2496" s="20">
        <v>42657</v>
      </c>
      <c r="E2496">
        <v>354.25</v>
      </c>
      <c r="F2496">
        <v>962.5</v>
      </c>
      <c r="G2496">
        <v>299.8</v>
      </c>
      <c r="H2496">
        <v>421</v>
      </c>
      <c r="I2496">
        <v>34.15</v>
      </c>
      <c r="J2496">
        <v>3.2035999999999998</v>
      </c>
    </row>
    <row r="2497" spans="2:10" x14ac:dyDescent="0.3">
      <c r="B2497" s="10">
        <f t="shared" si="78"/>
        <v>2016</v>
      </c>
      <c r="C2497" s="10">
        <f t="shared" si="79"/>
        <v>10</v>
      </c>
      <c r="D2497" s="20">
        <v>42656</v>
      </c>
      <c r="E2497">
        <v>349.5</v>
      </c>
      <c r="F2497">
        <v>956.25</v>
      </c>
      <c r="G2497">
        <v>299.8</v>
      </c>
      <c r="H2497">
        <v>416</v>
      </c>
      <c r="I2497">
        <v>33.159999999999997</v>
      </c>
      <c r="J2497">
        <v>3.177</v>
      </c>
    </row>
    <row r="2498" spans="2:10" x14ac:dyDescent="0.3">
      <c r="B2498" s="10">
        <f t="shared" si="78"/>
        <v>2016</v>
      </c>
      <c r="C2498" s="10">
        <f t="shared" si="79"/>
        <v>10</v>
      </c>
      <c r="D2498" s="20">
        <v>42655</v>
      </c>
      <c r="E2498">
        <v>337</v>
      </c>
      <c r="F2498">
        <v>945.5</v>
      </c>
      <c r="G2498">
        <v>294.5</v>
      </c>
      <c r="H2498">
        <v>396.75</v>
      </c>
      <c r="I2498">
        <v>33.14</v>
      </c>
      <c r="J2498">
        <v>3.2010000000000001</v>
      </c>
    </row>
    <row r="2499" spans="2:10" x14ac:dyDescent="0.3">
      <c r="B2499" s="10">
        <f t="shared" si="78"/>
        <v>2016</v>
      </c>
      <c r="C2499" s="10">
        <f t="shared" si="79"/>
        <v>10</v>
      </c>
      <c r="D2499" s="20">
        <v>42654</v>
      </c>
      <c r="E2499">
        <v>345.5</v>
      </c>
      <c r="F2499">
        <v>954.25</v>
      </c>
      <c r="G2499">
        <v>297.60000000000002</v>
      </c>
      <c r="H2499">
        <v>407.25</v>
      </c>
      <c r="I2499">
        <v>33.159999999999997</v>
      </c>
      <c r="J2499">
        <v>3.1945999999999999</v>
      </c>
    </row>
    <row r="2500" spans="2:10" x14ac:dyDescent="0.3">
      <c r="B2500" s="10">
        <f t="shared" si="78"/>
        <v>2016</v>
      </c>
      <c r="C2500" s="10">
        <f t="shared" si="79"/>
        <v>10</v>
      </c>
      <c r="D2500" s="20">
        <v>42653</v>
      </c>
      <c r="E2500">
        <v>343.25</v>
      </c>
      <c r="F2500">
        <v>954.5</v>
      </c>
      <c r="G2500">
        <v>296.3</v>
      </c>
      <c r="H2500">
        <v>403.75</v>
      </c>
      <c r="I2500">
        <v>33.619999999999997</v>
      </c>
      <c r="J2500">
        <v>3.2050000000000001</v>
      </c>
    </row>
    <row r="2501" spans="2:10" x14ac:dyDescent="0.3">
      <c r="B2501" s="10">
        <f t="shared" si="78"/>
        <v>2016</v>
      </c>
      <c r="C2501" s="10">
        <f t="shared" si="79"/>
        <v>10</v>
      </c>
      <c r="D2501" s="20">
        <v>42650</v>
      </c>
      <c r="E2501">
        <v>339.75</v>
      </c>
      <c r="F2501">
        <v>956.75</v>
      </c>
      <c r="G2501">
        <v>298.60000000000002</v>
      </c>
      <c r="H2501">
        <v>394.75</v>
      </c>
      <c r="I2501">
        <v>33.11</v>
      </c>
      <c r="J2501">
        <v>3.2189999999999999</v>
      </c>
    </row>
    <row r="2502" spans="2:10" x14ac:dyDescent="0.3">
      <c r="B2502" s="10">
        <f t="shared" si="78"/>
        <v>2016</v>
      </c>
      <c r="C2502" s="10">
        <f t="shared" si="79"/>
        <v>10</v>
      </c>
      <c r="D2502" s="20">
        <v>42649</v>
      </c>
      <c r="E2502">
        <v>340.5</v>
      </c>
      <c r="F2502">
        <v>958.5</v>
      </c>
      <c r="G2502">
        <v>301.5</v>
      </c>
      <c r="H2502">
        <v>395.75</v>
      </c>
      <c r="I2502">
        <v>33.1</v>
      </c>
      <c r="J2502">
        <v>3.2294999999999998</v>
      </c>
    </row>
    <row r="2503" spans="2:10" x14ac:dyDescent="0.3">
      <c r="B2503" s="10">
        <f t="shared" si="78"/>
        <v>2016</v>
      </c>
      <c r="C2503" s="10">
        <f t="shared" si="79"/>
        <v>10</v>
      </c>
      <c r="D2503" s="20">
        <v>42648</v>
      </c>
      <c r="E2503">
        <v>347.75</v>
      </c>
      <c r="F2503">
        <v>956.75</v>
      </c>
      <c r="G2503">
        <v>303.8</v>
      </c>
      <c r="H2503">
        <v>405</v>
      </c>
      <c r="I2503">
        <v>32.659999999999997</v>
      </c>
      <c r="J2503">
        <v>3.2191000000000001</v>
      </c>
    </row>
    <row r="2504" spans="2:10" x14ac:dyDescent="0.3">
      <c r="B2504" s="10">
        <f t="shared" si="78"/>
        <v>2016</v>
      </c>
      <c r="C2504" s="10">
        <f t="shared" si="79"/>
        <v>10</v>
      </c>
      <c r="D2504" s="20">
        <v>42647</v>
      </c>
      <c r="E2504">
        <v>348.25</v>
      </c>
      <c r="F2504">
        <v>963.5</v>
      </c>
      <c r="G2504">
        <v>304.5</v>
      </c>
      <c r="H2504">
        <v>395.5</v>
      </c>
      <c r="I2504">
        <v>32.89</v>
      </c>
      <c r="J2504">
        <v>3.2563</v>
      </c>
    </row>
    <row r="2505" spans="2:10" x14ac:dyDescent="0.3">
      <c r="B2505" s="10">
        <f t="shared" si="78"/>
        <v>2016</v>
      </c>
      <c r="C2505" s="10">
        <f t="shared" si="79"/>
        <v>10</v>
      </c>
      <c r="D2505" s="20">
        <v>42646</v>
      </c>
      <c r="E2505">
        <v>346</v>
      </c>
      <c r="F2505">
        <v>973</v>
      </c>
      <c r="G2505">
        <v>305.89999999999998</v>
      </c>
      <c r="H2505">
        <v>395.5</v>
      </c>
      <c r="I2505">
        <v>33.049999999999997</v>
      </c>
      <c r="J2505">
        <v>3.2090000000000001</v>
      </c>
    </row>
    <row r="2506" spans="2:10" x14ac:dyDescent="0.3">
      <c r="B2506" s="10">
        <f t="shared" si="78"/>
        <v>2016</v>
      </c>
      <c r="C2506" s="10">
        <f t="shared" si="79"/>
        <v>9</v>
      </c>
      <c r="D2506" s="20">
        <v>42643</v>
      </c>
      <c r="E2506">
        <v>336.75</v>
      </c>
      <c r="F2506">
        <v>954</v>
      </c>
      <c r="G2506">
        <v>297.89999999999998</v>
      </c>
      <c r="H2506">
        <v>402</v>
      </c>
      <c r="I2506">
        <v>33.24</v>
      </c>
      <c r="J2506">
        <v>3.2589000000000001</v>
      </c>
    </row>
    <row r="2507" spans="2:10" x14ac:dyDescent="0.3">
      <c r="B2507" s="10">
        <f t="shared" si="78"/>
        <v>2016</v>
      </c>
      <c r="C2507" s="10">
        <f t="shared" si="79"/>
        <v>9</v>
      </c>
      <c r="D2507" s="20">
        <v>42642</v>
      </c>
      <c r="E2507">
        <v>329.25</v>
      </c>
      <c r="F2507">
        <v>950.25</v>
      </c>
      <c r="G2507">
        <v>297.89999999999998</v>
      </c>
      <c r="H2507">
        <v>399</v>
      </c>
      <c r="I2507">
        <v>33.090000000000003</v>
      </c>
      <c r="J2507">
        <v>3.258</v>
      </c>
    </row>
    <row r="2508" spans="2:10" x14ac:dyDescent="0.3">
      <c r="B2508" s="10">
        <f t="shared" si="78"/>
        <v>2016</v>
      </c>
      <c r="C2508" s="10">
        <f t="shared" si="79"/>
        <v>9</v>
      </c>
      <c r="D2508" s="20">
        <v>42641</v>
      </c>
      <c r="E2508">
        <v>329.25</v>
      </c>
      <c r="F2508">
        <v>945.5</v>
      </c>
      <c r="G2508">
        <v>299.7</v>
      </c>
      <c r="H2508">
        <v>403.25</v>
      </c>
      <c r="I2508">
        <v>32.64</v>
      </c>
      <c r="J2508">
        <v>3.2157</v>
      </c>
    </row>
    <row r="2509" spans="2:10" x14ac:dyDescent="0.3">
      <c r="B2509" s="10">
        <f t="shared" si="78"/>
        <v>2016</v>
      </c>
      <c r="C2509" s="10">
        <f t="shared" si="79"/>
        <v>9</v>
      </c>
      <c r="D2509" s="20">
        <v>42640</v>
      </c>
      <c r="E2509">
        <v>331.75</v>
      </c>
      <c r="F2509">
        <v>952.5</v>
      </c>
      <c r="G2509">
        <v>299.3</v>
      </c>
      <c r="H2509">
        <v>404</v>
      </c>
      <c r="I2509">
        <v>33.119999999999997</v>
      </c>
      <c r="J2509">
        <v>3.2334999999999998</v>
      </c>
    </row>
    <row r="2510" spans="2:10" x14ac:dyDescent="0.3">
      <c r="B2510" s="10">
        <f t="shared" si="78"/>
        <v>2016</v>
      </c>
      <c r="C2510" s="10">
        <f t="shared" si="79"/>
        <v>9</v>
      </c>
      <c r="D2510" s="20">
        <v>42639</v>
      </c>
      <c r="E2510">
        <v>329</v>
      </c>
      <c r="F2510">
        <v>945.25</v>
      </c>
      <c r="G2510">
        <v>297.60000000000002</v>
      </c>
      <c r="H2510">
        <v>396</v>
      </c>
      <c r="I2510">
        <v>33.119999999999997</v>
      </c>
      <c r="J2510">
        <v>3.2391999999999999</v>
      </c>
    </row>
    <row r="2511" spans="2:10" x14ac:dyDescent="0.3">
      <c r="B2511" s="10">
        <f t="shared" si="78"/>
        <v>2016</v>
      </c>
      <c r="C2511" s="10">
        <f t="shared" si="79"/>
        <v>9</v>
      </c>
      <c r="D2511" s="20">
        <v>42636</v>
      </c>
      <c r="E2511">
        <v>336.5</v>
      </c>
      <c r="F2511">
        <v>955</v>
      </c>
      <c r="G2511">
        <v>303.3</v>
      </c>
      <c r="H2511">
        <v>404.75</v>
      </c>
      <c r="I2511">
        <v>33.31</v>
      </c>
      <c r="J2511">
        <v>3.2437999999999998</v>
      </c>
    </row>
    <row r="2512" spans="2:10" x14ac:dyDescent="0.3">
      <c r="B2512" s="10">
        <f t="shared" si="78"/>
        <v>2016</v>
      </c>
      <c r="C2512" s="10">
        <f t="shared" si="79"/>
        <v>9</v>
      </c>
      <c r="D2512" s="20">
        <v>42635</v>
      </c>
      <c r="E2512">
        <v>336.75</v>
      </c>
      <c r="F2512">
        <v>976.5</v>
      </c>
      <c r="G2512">
        <v>307.89999999999998</v>
      </c>
      <c r="H2512">
        <v>405.5</v>
      </c>
      <c r="I2512">
        <v>33.96</v>
      </c>
      <c r="J2512">
        <v>3.2199</v>
      </c>
    </row>
    <row r="2513" spans="2:10" x14ac:dyDescent="0.3">
      <c r="B2513" s="10">
        <f t="shared" si="78"/>
        <v>2016</v>
      </c>
      <c r="C2513" s="10">
        <f t="shared" si="79"/>
        <v>9</v>
      </c>
      <c r="D2513" s="20">
        <v>42634</v>
      </c>
      <c r="E2513">
        <v>340</v>
      </c>
      <c r="F2513">
        <v>975.5</v>
      </c>
      <c r="G2513">
        <v>308.7</v>
      </c>
      <c r="H2513">
        <v>407.75</v>
      </c>
      <c r="I2513">
        <v>33.4</v>
      </c>
      <c r="J2513">
        <v>3.2056</v>
      </c>
    </row>
    <row r="2514" spans="2:10" x14ac:dyDescent="0.3">
      <c r="B2514" s="10">
        <f t="shared" si="78"/>
        <v>2016</v>
      </c>
      <c r="C2514" s="10">
        <f t="shared" si="79"/>
        <v>9</v>
      </c>
      <c r="D2514" s="20">
        <v>42633</v>
      </c>
      <c r="E2514">
        <v>340.5</v>
      </c>
      <c r="F2514">
        <v>989.75</v>
      </c>
      <c r="G2514">
        <v>313.10000000000002</v>
      </c>
      <c r="H2514">
        <v>406</v>
      </c>
      <c r="I2514">
        <v>33.83</v>
      </c>
      <c r="J2514">
        <v>3.2576000000000001</v>
      </c>
    </row>
    <row r="2515" spans="2:10" x14ac:dyDescent="0.3">
      <c r="B2515" s="10">
        <f t="shared" si="78"/>
        <v>2016</v>
      </c>
      <c r="C2515" s="10">
        <f t="shared" si="79"/>
        <v>9</v>
      </c>
      <c r="D2515" s="20">
        <v>42632</v>
      </c>
      <c r="E2515">
        <v>337.25</v>
      </c>
      <c r="F2515">
        <v>972.5</v>
      </c>
      <c r="G2515">
        <v>311.89999999999998</v>
      </c>
      <c r="H2515">
        <v>404</v>
      </c>
      <c r="I2515">
        <v>32.83</v>
      </c>
      <c r="J2515">
        <v>3.2725</v>
      </c>
    </row>
    <row r="2516" spans="2:10" x14ac:dyDescent="0.3">
      <c r="B2516" s="10">
        <f t="shared" si="78"/>
        <v>2016</v>
      </c>
      <c r="C2516" s="10">
        <f t="shared" si="79"/>
        <v>9</v>
      </c>
      <c r="D2516" s="20">
        <v>42629</v>
      </c>
      <c r="E2516">
        <v>337</v>
      </c>
      <c r="F2516">
        <v>966</v>
      </c>
      <c r="G2516">
        <v>313.7</v>
      </c>
      <c r="H2516">
        <v>403.25</v>
      </c>
      <c r="I2516">
        <v>31.98</v>
      </c>
      <c r="J2516">
        <v>3.2614999999999998</v>
      </c>
    </row>
    <row r="2517" spans="2:10" x14ac:dyDescent="0.3">
      <c r="B2517" s="10">
        <f t="shared" si="78"/>
        <v>2016</v>
      </c>
      <c r="C2517" s="10">
        <f t="shared" si="79"/>
        <v>9</v>
      </c>
      <c r="D2517" s="20">
        <v>42628</v>
      </c>
      <c r="E2517">
        <v>330</v>
      </c>
      <c r="F2517">
        <v>950.5</v>
      </c>
      <c r="G2517">
        <v>308.60000000000002</v>
      </c>
      <c r="H2517">
        <v>399.5</v>
      </c>
      <c r="I2517">
        <v>32.04</v>
      </c>
      <c r="J2517">
        <v>3.3018999999999998</v>
      </c>
    </row>
    <row r="2518" spans="2:10" x14ac:dyDescent="0.3">
      <c r="B2518" s="10">
        <f t="shared" si="78"/>
        <v>2016</v>
      </c>
      <c r="C2518" s="10">
        <f t="shared" si="79"/>
        <v>9</v>
      </c>
      <c r="D2518" s="20">
        <v>42627</v>
      </c>
      <c r="E2518">
        <v>322.25</v>
      </c>
      <c r="F2518">
        <v>972</v>
      </c>
      <c r="G2518">
        <v>315.7</v>
      </c>
      <c r="H2518">
        <v>376.75</v>
      </c>
      <c r="I2518">
        <v>31.5</v>
      </c>
      <c r="J2518">
        <v>3.3420000000000001</v>
      </c>
    </row>
    <row r="2519" spans="2:10" x14ac:dyDescent="0.3">
      <c r="B2519" s="10">
        <f t="shared" si="78"/>
        <v>2016</v>
      </c>
      <c r="C2519" s="10">
        <f t="shared" si="79"/>
        <v>9</v>
      </c>
      <c r="D2519" s="20">
        <v>42626</v>
      </c>
      <c r="E2519">
        <v>319.25</v>
      </c>
      <c r="F2519">
        <v>968.25</v>
      </c>
      <c r="G2519">
        <v>310.39999999999998</v>
      </c>
      <c r="H2519">
        <v>374.75</v>
      </c>
      <c r="I2519">
        <v>31.55</v>
      </c>
      <c r="J2519">
        <v>3.3130999999999999</v>
      </c>
    </row>
    <row r="2520" spans="2:10" x14ac:dyDescent="0.3">
      <c r="B2520" s="10">
        <f t="shared" si="78"/>
        <v>2016</v>
      </c>
      <c r="C2520" s="10">
        <f t="shared" si="79"/>
        <v>9</v>
      </c>
      <c r="D2520" s="20">
        <v>42625</v>
      </c>
      <c r="E2520">
        <v>329.25</v>
      </c>
      <c r="F2520">
        <v>984.5</v>
      </c>
      <c r="G2520">
        <v>318.3</v>
      </c>
      <c r="H2520">
        <v>383.25</v>
      </c>
      <c r="I2520">
        <v>32.31</v>
      </c>
      <c r="J2520">
        <v>3.2452000000000001</v>
      </c>
    </row>
    <row r="2521" spans="2:10" x14ac:dyDescent="0.3">
      <c r="B2521" s="10">
        <f t="shared" si="78"/>
        <v>2016</v>
      </c>
      <c r="C2521" s="10">
        <f t="shared" si="79"/>
        <v>9</v>
      </c>
      <c r="D2521" s="20">
        <v>42622</v>
      </c>
      <c r="E2521">
        <v>330</v>
      </c>
      <c r="F2521">
        <v>997.25</v>
      </c>
      <c r="G2521">
        <v>323.3</v>
      </c>
      <c r="H2521">
        <v>376</v>
      </c>
      <c r="I2521">
        <v>33.03</v>
      </c>
      <c r="J2521">
        <v>3.2719999999999998</v>
      </c>
    </row>
    <row r="2522" spans="2:10" x14ac:dyDescent="0.3">
      <c r="B2522" s="10">
        <f t="shared" si="78"/>
        <v>2016</v>
      </c>
      <c r="C2522" s="10">
        <f t="shared" si="79"/>
        <v>9</v>
      </c>
      <c r="D2522" s="20">
        <v>42621</v>
      </c>
      <c r="E2522">
        <v>327</v>
      </c>
      <c r="F2522">
        <v>992</v>
      </c>
      <c r="G2522">
        <v>325.10000000000002</v>
      </c>
      <c r="H2522">
        <v>377</v>
      </c>
      <c r="I2522">
        <v>32.94</v>
      </c>
      <c r="J2522">
        <v>3.2134</v>
      </c>
    </row>
    <row r="2523" spans="2:10" x14ac:dyDescent="0.3">
      <c r="B2523" s="10">
        <f t="shared" si="78"/>
        <v>2016</v>
      </c>
      <c r="C2523" s="10">
        <f t="shared" si="79"/>
        <v>9</v>
      </c>
      <c r="D2523" s="20">
        <v>42620</v>
      </c>
      <c r="E2523">
        <v>321</v>
      </c>
      <c r="F2523">
        <v>991.75</v>
      </c>
      <c r="G2523">
        <v>323.8</v>
      </c>
      <c r="H2523">
        <v>375.25</v>
      </c>
      <c r="I2523">
        <v>32.81</v>
      </c>
      <c r="J2523">
        <v>3.1915</v>
      </c>
    </row>
    <row r="2524" spans="2:10" x14ac:dyDescent="0.3">
      <c r="B2524" s="10">
        <f t="shared" si="78"/>
        <v>2016</v>
      </c>
      <c r="C2524" s="10">
        <f t="shared" si="79"/>
        <v>9</v>
      </c>
      <c r="D2524" s="20">
        <v>42619</v>
      </c>
      <c r="E2524">
        <v>316.75</v>
      </c>
      <c r="F2524">
        <v>974.25</v>
      </c>
      <c r="G2524">
        <v>317.10000000000002</v>
      </c>
      <c r="H2524">
        <v>371</v>
      </c>
      <c r="I2524">
        <v>32.76</v>
      </c>
      <c r="J2524">
        <v>3.194</v>
      </c>
    </row>
    <row r="2525" spans="2:10" x14ac:dyDescent="0.3">
      <c r="B2525" s="10">
        <f t="shared" si="78"/>
        <v>2016</v>
      </c>
      <c r="C2525" s="10">
        <f t="shared" si="79"/>
        <v>9</v>
      </c>
      <c r="D2525" s="20">
        <v>42618</v>
      </c>
      <c r="J2525">
        <v>3.282</v>
      </c>
    </row>
    <row r="2526" spans="2:10" x14ac:dyDescent="0.3">
      <c r="B2526" s="10">
        <f t="shared" si="78"/>
        <v>2016</v>
      </c>
      <c r="C2526" s="10">
        <f t="shared" si="79"/>
        <v>9</v>
      </c>
      <c r="D2526" s="20">
        <v>42615</v>
      </c>
      <c r="E2526">
        <v>316.5</v>
      </c>
      <c r="F2526">
        <v>968.5</v>
      </c>
      <c r="G2526">
        <v>313.7</v>
      </c>
      <c r="H2526">
        <v>373.25</v>
      </c>
      <c r="I2526">
        <v>32.659999999999997</v>
      </c>
      <c r="J2526">
        <v>3.2555000000000001</v>
      </c>
    </row>
    <row r="2527" spans="2:10" x14ac:dyDescent="0.3">
      <c r="B2527" s="10">
        <f t="shared" si="78"/>
        <v>2016</v>
      </c>
      <c r="C2527" s="10">
        <f t="shared" si="79"/>
        <v>9</v>
      </c>
      <c r="D2527" s="20">
        <v>42614</v>
      </c>
      <c r="E2527">
        <v>311</v>
      </c>
      <c r="F2527">
        <v>959</v>
      </c>
      <c r="G2527">
        <v>313.10000000000002</v>
      </c>
      <c r="H2527">
        <v>368.25</v>
      </c>
      <c r="I2527">
        <v>32.200000000000003</v>
      </c>
      <c r="J2527">
        <v>3.2578</v>
      </c>
    </row>
    <row r="2528" spans="2:10" x14ac:dyDescent="0.3">
      <c r="B2528" s="10">
        <f t="shared" si="78"/>
        <v>2016</v>
      </c>
      <c r="C2528" s="10">
        <f t="shared" si="79"/>
        <v>8</v>
      </c>
      <c r="D2528" s="20">
        <v>42613</v>
      </c>
      <c r="E2528">
        <v>301.5</v>
      </c>
      <c r="F2528">
        <v>960</v>
      </c>
      <c r="G2528">
        <v>312.2</v>
      </c>
      <c r="H2528">
        <v>361</v>
      </c>
      <c r="I2528">
        <v>32.47</v>
      </c>
      <c r="J2528">
        <v>3.2265999999999999</v>
      </c>
    </row>
    <row r="2529" spans="2:10" x14ac:dyDescent="0.3">
      <c r="B2529" s="10">
        <f t="shared" si="78"/>
        <v>2016</v>
      </c>
      <c r="C2529" s="10">
        <f t="shared" si="79"/>
        <v>8</v>
      </c>
      <c r="D2529" s="20">
        <v>42612</v>
      </c>
      <c r="E2529">
        <v>304</v>
      </c>
      <c r="F2529">
        <v>965.5</v>
      </c>
      <c r="G2529">
        <v>313.8</v>
      </c>
      <c r="H2529">
        <v>363.25</v>
      </c>
      <c r="I2529">
        <v>32.729999999999997</v>
      </c>
      <c r="J2529">
        <v>3.2410000000000001</v>
      </c>
    </row>
    <row r="2530" spans="2:10" x14ac:dyDescent="0.3">
      <c r="B2530" s="10">
        <f t="shared" si="78"/>
        <v>2016</v>
      </c>
      <c r="C2530" s="10">
        <f t="shared" si="79"/>
        <v>8</v>
      </c>
      <c r="D2530" s="20">
        <v>42611</v>
      </c>
      <c r="E2530">
        <v>311.75</v>
      </c>
      <c r="F2530">
        <v>983.25</v>
      </c>
      <c r="G2530">
        <v>319.5</v>
      </c>
      <c r="H2530">
        <v>370.5</v>
      </c>
      <c r="I2530">
        <v>32.81</v>
      </c>
      <c r="J2530">
        <v>3.2292999999999998</v>
      </c>
    </row>
    <row r="2531" spans="2:10" x14ac:dyDescent="0.3">
      <c r="B2531" s="10">
        <f t="shared" si="78"/>
        <v>2016</v>
      </c>
      <c r="C2531" s="10">
        <f t="shared" si="79"/>
        <v>8</v>
      </c>
      <c r="D2531" s="20">
        <v>42608</v>
      </c>
      <c r="E2531">
        <v>316.25</v>
      </c>
      <c r="F2531">
        <v>990.75</v>
      </c>
      <c r="G2531">
        <v>321.2</v>
      </c>
      <c r="H2531">
        <v>383.5</v>
      </c>
      <c r="I2531">
        <v>32.950000000000003</v>
      </c>
      <c r="J2531">
        <v>3.2641</v>
      </c>
    </row>
    <row r="2532" spans="2:10" x14ac:dyDescent="0.3">
      <c r="B2532" s="10">
        <f t="shared" si="78"/>
        <v>2016</v>
      </c>
      <c r="C2532" s="10">
        <f t="shared" si="79"/>
        <v>8</v>
      </c>
      <c r="D2532" s="20">
        <v>42607</v>
      </c>
      <c r="E2532">
        <v>323.5</v>
      </c>
      <c r="F2532">
        <v>998.25</v>
      </c>
      <c r="G2532">
        <v>324.3</v>
      </c>
      <c r="H2532">
        <v>401.25</v>
      </c>
      <c r="I2532">
        <v>32.909999999999997</v>
      </c>
      <c r="J2532">
        <v>3.2361</v>
      </c>
    </row>
    <row r="2533" spans="2:10" x14ac:dyDescent="0.3">
      <c r="B2533" s="10">
        <f t="shared" si="78"/>
        <v>2016</v>
      </c>
      <c r="C2533" s="10">
        <f t="shared" si="79"/>
        <v>8</v>
      </c>
      <c r="D2533" s="20">
        <v>42606</v>
      </c>
      <c r="E2533">
        <v>327.5</v>
      </c>
      <c r="F2533">
        <v>1030.75</v>
      </c>
      <c r="G2533">
        <v>331.5</v>
      </c>
      <c r="H2533">
        <v>404</v>
      </c>
      <c r="I2533">
        <v>33.57</v>
      </c>
      <c r="J2533">
        <v>3.2246000000000001</v>
      </c>
    </row>
    <row r="2534" spans="2:10" x14ac:dyDescent="0.3">
      <c r="B2534" s="10">
        <f t="shared" si="78"/>
        <v>2016</v>
      </c>
      <c r="C2534" s="10">
        <f t="shared" si="79"/>
        <v>8</v>
      </c>
      <c r="D2534" s="20">
        <v>42605</v>
      </c>
      <c r="E2534">
        <v>328.5</v>
      </c>
      <c r="F2534">
        <v>1034.25</v>
      </c>
      <c r="G2534">
        <v>332.4</v>
      </c>
      <c r="H2534">
        <v>407.75</v>
      </c>
      <c r="I2534">
        <v>33.89</v>
      </c>
      <c r="J2534">
        <v>3.2324999999999999</v>
      </c>
    </row>
    <row r="2535" spans="2:10" x14ac:dyDescent="0.3">
      <c r="B2535" s="10">
        <f t="shared" si="78"/>
        <v>2016</v>
      </c>
      <c r="C2535" s="10">
        <f t="shared" si="79"/>
        <v>8</v>
      </c>
      <c r="D2535" s="20">
        <v>42604</v>
      </c>
      <c r="E2535">
        <v>333.25</v>
      </c>
      <c r="F2535">
        <v>1035.25</v>
      </c>
      <c r="G2535">
        <v>334.2</v>
      </c>
      <c r="H2535">
        <v>415.25</v>
      </c>
      <c r="I2535">
        <v>33.89</v>
      </c>
      <c r="J2535">
        <v>3.2004999999999999</v>
      </c>
    </row>
    <row r="2536" spans="2:10" x14ac:dyDescent="0.3">
      <c r="B2536" s="10">
        <f t="shared" si="78"/>
        <v>2016</v>
      </c>
      <c r="C2536" s="10">
        <f t="shared" si="79"/>
        <v>8</v>
      </c>
      <c r="D2536" s="20">
        <v>42601</v>
      </c>
      <c r="E2536">
        <v>334.25</v>
      </c>
      <c r="F2536">
        <v>1027</v>
      </c>
      <c r="G2536">
        <v>330</v>
      </c>
      <c r="H2536">
        <v>427</v>
      </c>
      <c r="I2536">
        <v>34.14</v>
      </c>
      <c r="J2536">
        <v>3.2025000000000001</v>
      </c>
    </row>
    <row r="2537" spans="2:10" x14ac:dyDescent="0.3">
      <c r="B2537" s="10">
        <f t="shared" si="78"/>
        <v>2016</v>
      </c>
      <c r="C2537" s="10">
        <f t="shared" si="79"/>
        <v>8</v>
      </c>
      <c r="D2537" s="20">
        <v>42600</v>
      </c>
      <c r="E2537">
        <v>332</v>
      </c>
      <c r="F2537">
        <v>1032.25</v>
      </c>
      <c r="G2537">
        <v>334.4</v>
      </c>
      <c r="H2537">
        <v>427</v>
      </c>
      <c r="I2537">
        <v>34.19</v>
      </c>
      <c r="J2537">
        <v>3.2383000000000002</v>
      </c>
    </row>
    <row r="2538" spans="2:10" x14ac:dyDescent="0.3">
      <c r="B2538" s="10">
        <f t="shared" si="78"/>
        <v>2016</v>
      </c>
      <c r="C2538" s="10">
        <f t="shared" si="79"/>
        <v>8</v>
      </c>
      <c r="D2538" s="20">
        <v>42599</v>
      </c>
      <c r="E2538">
        <v>330.25</v>
      </c>
      <c r="F2538">
        <v>1030.5</v>
      </c>
      <c r="G2538">
        <v>336.7</v>
      </c>
      <c r="H2538">
        <v>426</v>
      </c>
      <c r="I2538">
        <v>34.01</v>
      </c>
      <c r="J2538">
        <v>3.2031999999999998</v>
      </c>
    </row>
    <row r="2539" spans="2:10" x14ac:dyDescent="0.3">
      <c r="B2539" s="10">
        <f t="shared" si="78"/>
        <v>2016</v>
      </c>
      <c r="C2539" s="10">
        <f t="shared" si="79"/>
        <v>8</v>
      </c>
      <c r="D2539" s="20">
        <v>42598</v>
      </c>
      <c r="E2539">
        <v>327.5</v>
      </c>
      <c r="F2539">
        <v>1019.5</v>
      </c>
      <c r="G2539">
        <v>336.7</v>
      </c>
      <c r="H2539">
        <v>423.5</v>
      </c>
      <c r="I2539">
        <v>33.380000000000003</v>
      </c>
      <c r="J2539">
        <v>3.2014</v>
      </c>
    </row>
    <row r="2540" spans="2:10" x14ac:dyDescent="0.3">
      <c r="B2540" s="10">
        <f t="shared" si="78"/>
        <v>2016</v>
      </c>
      <c r="C2540" s="10">
        <f t="shared" si="79"/>
        <v>8</v>
      </c>
      <c r="D2540" s="20">
        <v>42597</v>
      </c>
      <c r="E2540">
        <v>326.5</v>
      </c>
      <c r="F2540">
        <v>1023.75</v>
      </c>
      <c r="G2540">
        <v>339.6</v>
      </c>
      <c r="H2540">
        <v>422</v>
      </c>
      <c r="I2540">
        <v>33.21</v>
      </c>
      <c r="J2540">
        <v>3.1856</v>
      </c>
    </row>
    <row r="2541" spans="2:10" x14ac:dyDescent="0.3">
      <c r="B2541" s="10">
        <f t="shared" si="78"/>
        <v>2016</v>
      </c>
      <c r="C2541" s="10">
        <f t="shared" si="79"/>
        <v>8</v>
      </c>
      <c r="D2541" s="20">
        <v>42594</v>
      </c>
      <c r="E2541">
        <v>322.25</v>
      </c>
      <c r="F2541">
        <v>1003.25</v>
      </c>
      <c r="G2541">
        <v>332.9</v>
      </c>
      <c r="H2541">
        <v>422.5</v>
      </c>
      <c r="I2541">
        <v>31.9</v>
      </c>
      <c r="J2541">
        <v>3.1917</v>
      </c>
    </row>
    <row r="2542" spans="2:10" x14ac:dyDescent="0.3">
      <c r="B2542" s="10">
        <f t="shared" si="78"/>
        <v>2016</v>
      </c>
      <c r="C2542" s="10">
        <f t="shared" si="79"/>
        <v>8</v>
      </c>
      <c r="D2542" s="20">
        <v>42593</v>
      </c>
      <c r="E2542">
        <v>321</v>
      </c>
      <c r="F2542">
        <v>1022.25</v>
      </c>
      <c r="G2542">
        <v>333.9</v>
      </c>
      <c r="H2542">
        <v>416.25</v>
      </c>
      <c r="I2542">
        <v>31.71</v>
      </c>
      <c r="J2542">
        <v>3.1446999999999998</v>
      </c>
    </row>
    <row r="2543" spans="2:10" x14ac:dyDescent="0.3">
      <c r="B2543" s="10">
        <f t="shared" si="78"/>
        <v>2016</v>
      </c>
      <c r="C2543" s="10">
        <f t="shared" si="79"/>
        <v>8</v>
      </c>
      <c r="D2543" s="20">
        <v>42592</v>
      </c>
      <c r="E2543">
        <v>322.5</v>
      </c>
      <c r="F2543">
        <v>1017</v>
      </c>
      <c r="G2543">
        <v>336.2</v>
      </c>
      <c r="H2543">
        <v>421.75</v>
      </c>
      <c r="I2543">
        <v>31.5</v>
      </c>
      <c r="J2543">
        <v>3.1265999999999998</v>
      </c>
    </row>
    <row r="2544" spans="2:10" x14ac:dyDescent="0.3">
      <c r="B2544" s="10">
        <f t="shared" si="78"/>
        <v>2016</v>
      </c>
      <c r="C2544" s="10">
        <f t="shared" si="79"/>
        <v>8</v>
      </c>
      <c r="D2544" s="20">
        <v>42591</v>
      </c>
      <c r="E2544">
        <v>322.25</v>
      </c>
      <c r="F2544">
        <v>1022</v>
      </c>
      <c r="G2544">
        <v>339.2</v>
      </c>
      <c r="H2544">
        <v>417</v>
      </c>
      <c r="I2544">
        <v>31.17</v>
      </c>
      <c r="J2544">
        <v>3.1448</v>
      </c>
    </row>
    <row r="2545" spans="2:10" x14ac:dyDescent="0.3">
      <c r="B2545" s="10">
        <f t="shared" si="78"/>
        <v>2016</v>
      </c>
      <c r="C2545" s="10">
        <f t="shared" si="79"/>
        <v>8</v>
      </c>
      <c r="D2545" s="20">
        <v>42590</v>
      </c>
      <c r="E2545">
        <v>325.25</v>
      </c>
      <c r="F2545">
        <v>1018.75</v>
      </c>
      <c r="G2545">
        <v>337.9</v>
      </c>
      <c r="H2545">
        <v>417</v>
      </c>
      <c r="I2545">
        <v>30.93</v>
      </c>
      <c r="J2545">
        <v>3.1741000000000001</v>
      </c>
    </row>
    <row r="2546" spans="2:10" x14ac:dyDescent="0.3">
      <c r="B2546" s="10">
        <f t="shared" si="78"/>
        <v>2016</v>
      </c>
      <c r="C2546" s="10">
        <f t="shared" si="79"/>
        <v>8</v>
      </c>
      <c r="D2546" s="20">
        <v>42587</v>
      </c>
      <c r="E2546">
        <v>324.25</v>
      </c>
      <c r="F2546">
        <v>1003.75</v>
      </c>
      <c r="G2546">
        <v>335.8</v>
      </c>
      <c r="H2546">
        <v>416</v>
      </c>
      <c r="I2546">
        <v>30.52</v>
      </c>
      <c r="J2546">
        <v>3.1644999999999999</v>
      </c>
    </row>
    <row r="2547" spans="2:10" x14ac:dyDescent="0.3">
      <c r="B2547" s="10">
        <f t="shared" si="78"/>
        <v>2016</v>
      </c>
      <c r="C2547" s="10">
        <f t="shared" si="79"/>
        <v>8</v>
      </c>
      <c r="D2547" s="20">
        <v>42586</v>
      </c>
      <c r="E2547">
        <v>320.75</v>
      </c>
      <c r="F2547">
        <v>990.5</v>
      </c>
      <c r="G2547">
        <v>329.7</v>
      </c>
      <c r="H2547">
        <v>403.25</v>
      </c>
      <c r="I2547">
        <v>30.54</v>
      </c>
      <c r="J2547">
        <v>3.1934999999999998</v>
      </c>
    </row>
    <row r="2548" spans="2:10" x14ac:dyDescent="0.3">
      <c r="B2548" s="10">
        <f t="shared" si="78"/>
        <v>2016</v>
      </c>
      <c r="C2548" s="10">
        <f t="shared" si="79"/>
        <v>8</v>
      </c>
      <c r="D2548" s="20">
        <v>42585</v>
      </c>
      <c r="E2548">
        <v>325</v>
      </c>
      <c r="F2548">
        <v>990.5</v>
      </c>
      <c r="G2548">
        <v>330.5</v>
      </c>
      <c r="H2548">
        <v>410.25</v>
      </c>
      <c r="I2548">
        <v>30.3</v>
      </c>
      <c r="J2548">
        <v>3.2366999999999999</v>
      </c>
    </row>
    <row r="2549" spans="2:10" x14ac:dyDescent="0.3">
      <c r="B2549" s="10">
        <f t="shared" si="78"/>
        <v>2016</v>
      </c>
      <c r="C2549" s="10">
        <f t="shared" si="79"/>
        <v>8</v>
      </c>
      <c r="D2549" s="20">
        <v>42584</v>
      </c>
      <c r="E2549">
        <v>324.25</v>
      </c>
      <c r="F2549">
        <v>985.25</v>
      </c>
      <c r="G2549">
        <v>328.4</v>
      </c>
      <c r="H2549">
        <v>401.25</v>
      </c>
      <c r="I2549">
        <v>30.06</v>
      </c>
      <c r="J2549">
        <v>3.2568000000000001</v>
      </c>
    </row>
    <row r="2550" spans="2:10" x14ac:dyDescent="0.3">
      <c r="B2550" s="10">
        <f t="shared" si="78"/>
        <v>2016</v>
      </c>
      <c r="C2550" s="10">
        <f t="shared" si="79"/>
        <v>8</v>
      </c>
      <c r="D2550" s="20">
        <v>42583</v>
      </c>
      <c r="E2550">
        <v>325.75</v>
      </c>
      <c r="F2550">
        <v>996</v>
      </c>
      <c r="G2550">
        <v>334</v>
      </c>
      <c r="H2550">
        <v>406</v>
      </c>
      <c r="I2550">
        <v>29.75</v>
      </c>
      <c r="J2550">
        <v>3.2644000000000002</v>
      </c>
    </row>
    <row r="2551" spans="2:10" x14ac:dyDescent="0.3">
      <c r="B2551" s="10">
        <f t="shared" si="78"/>
        <v>2016</v>
      </c>
      <c r="C2551" s="10">
        <f t="shared" si="79"/>
        <v>7</v>
      </c>
      <c r="D2551" s="20">
        <v>42580</v>
      </c>
      <c r="E2551">
        <v>334.5</v>
      </c>
      <c r="F2551">
        <v>1032.5</v>
      </c>
      <c r="G2551">
        <v>350</v>
      </c>
      <c r="H2551">
        <v>407.75</v>
      </c>
      <c r="I2551">
        <v>30.35</v>
      </c>
      <c r="J2551">
        <v>3.2471000000000001</v>
      </c>
    </row>
    <row r="2552" spans="2:10" x14ac:dyDescent="0.3">
      <c r="B2552" s="10">
        <f t="shared" si="78"/>
        <v>2016</v>
      </c>
      <c r="C2552" s="10">
        <f t="shared" si="79"/>
        <v>7</v>
      </c>
      <c r="D2552" s="20">
        <v>42579</v>
      </c>
      <c r="E2552">
        <v>331.25</v>
      </c>
      <c r="F2552">
        <v>1003.5</v>
      </c>
      <c r="G2552">
        <v>341.5</v>
      </c>
      <c r="H2552">
        <v>410.25</v>
      </c>
      <c r="I2552">
        <v>29.49</v>
      </c>
      <c r="J2552">
        <v>3.2884000000000002</v>
      </c>
    </row>
    <row r="2553" spans="2:10" x14ac:dyDescent="0.3">
      <c r="B2553" s="10">
        <f t="shared" si="78"/>
        <v>2016</v>
      </c>
      <c r="C2553" s="10">
        <f t="shared" si="79"/>
        <v>7</v>
      </c>
      <c r="D2553" s="20">
        <v>42578</v>
      </c>
      <c r="E2553">
        <v>335.75</v>
      </c>
      <c r="F2553">
        <v>1010.5</v>
      </c>
      <c r="G2553">
        <v>344.8</v>
      </c>
      <c r="H2553">
        <v>414.75</v>
      </c>
      <c r="I2553">
        <v>29.53</v>
      </c>
      <c r="J2553">
        <v>3.2633000000000001</v>
      </c>
    </row>
    <row r="2554" spans="2:10" x14ac:dyDescent="0.3">
      <c r="B2554" s="10">
        <f t="shared" si="78"/>
        <v>2016</v>
      </c>
      <c r="C2554" s="10">
        <f t="shared" si="79"/>
        <v>7</v>
      </c>
      <c r="D2554" s="20">
        <v>42577</v>
      </c>
      <c r="E2554">
        <v>332.5</v>
      </c>
      <c r="F2554">
        <v>993.5</v>
      </c>
      <c r="G2554">
        <v>341.4</v>
      </c>
      <c r="H2554">
        <v>415</v>
      </c>
      <c r="I2554">
        <v>29.56</v>
      </c>
      <c r="J2554">
        <v>3.2761999999999998</v>
      </c>
    </row>
    <row r="2555" spans="2:10" x14ac:dyDescent="0.3">
      <c r="B2555" s="10">
        <f t="shared" si="78"/>
        <v>2016</v>
      </c>
      <c r="C2555" s="10">
        <f t="shared" si="79"/>
        <v>7</v>
      </c>
      <c r="D2555" s="20">
        <v>42576</v>
      </c>
      <c r="E2555">
        <v>334.75</v>
      </c>
      <c r="F2555">
        <v>983.75</v>
      </c>
      <c r="G2555">
        <v>338.9</v>
      </c>
      <c r="H2555">
        <v>429</v>
      </c>
      <c r="I2555">
        <v>29.46</v>
      </c>
      <c r="J2555">
        <v>3.2845</v>
      </c>
    </row>
    <row r="2556" spans="2:10" x14ac:dyDescent="0.3">
      <c r="B2556" s="10">
        <f t="shared" si="78"/>
        <v>2016</v>
      </c>
      <c r="C2556" s="10">
        <f t="shared" si="79"/>
        <v>7</v>
      </c>
      <c r="D2556" s="20">
        <v>42573</v>
      </c>
      <c r="E2556">
        <v>335</v>
      </c>
      <c r="F2556">
        <v>1006.5</v>
      </c>
      <c r="G2556">
        <v>346.7</v>
      </c>
      <c r="H2556">
        <v>425.25</v>
      </c>
      <c r="I2556">
        <v>30.21</v>
      </c>
      <c r="J2556">
        <v>3.2563</v>
      </c>
    </row>
    <row r="2557" spans="2:10" x14ac:dyDescent="0.3">
      <c r="B2557" s="10">
        <f t="shared" si="78"/>
        <v>2016</v>
      </c>
      <c r="C2557" s="10">
        <f t="shared" si="79"/>
        <v>7</v>
      </c>
      <c r="D2557" s="20">
        <v>42572</v>
      </c>
      <c r="E2557">
        <v>334.25</v>
      </c>
      <c r="F2557">
        <v>1032.5</v>
      </c>
      <c r="G2557">
        <v>352.5</v>
      </c>
      <c r="H2557">
        <v>417.75</v>
      </c>
      <c r="I2557">
        <v>31.06</v>
      </c>
      <c r="J2557">
        <v>3.2709999999999999</v>
      </c>
    </row>
    <row r="2558" spans="2:10" x14ac:dyDescent="0.3">
      <c r="B2558" s="10">
        <f t="shared" si="78"/>
        <v>2016</v>
      </c>
      <c r="C2558" s="10">
        <f t="shared" si="79"/>
        <v>7</v>
      </c>
      <c r="D2558" s="20">
        <v>42571</v>
      </c>
      <c r="E2558">
        <v>337.5</v>
      </c>
      <c r="F2558">
        <v>1027</v>
      </c>
      <c r="G2558">
        <v>352.4</v>
      </c>
      <c r="H2558">
        <v>413</v>
      </c>
      <c r="I2558">
        <v>30.71</v>
      </c>
      <c r="J2558">
        <v>3.2587999999999999</v>
      </c>
    </row>
    <row r="2559" spans="2:10" x14ac:dyDescent="0.3">
      <c r="B2559" s="10">
        <f t="shared" si="78"/>
        <v>2016</v>
      </c>
      <c r="C2559" s="10">
        <f t="shared" si="79"/>
        <v>7</v>
      </c>
      <c r="D2559" s="20">
        <v>42570</v>
      </c>
      <c r="E2559">
        <v>341.75</v>
      </c>
      <c r="F2559">
        <v>1044</v>
      </c>
      <c r="G2559">
        <v>359.7</v>
      </c>
      <c r="H2559">
        <v>418</v>
      </c>
      <c r="I2559">
        <v>30.66</v>
      </c>
      <c r="J2559">
        <v>3.2488000000000001</v>
      </c>
    </row>
    <row r="2560" spans="2:10" x14ac:dyDescent="0.3">
      <c r="B2560" s="10">
        <f t="shared" ref="B2560:B2623" si="80">YEAR(D2560)</f>
        <v>2016</v>
      </c>
      <c r="C2560" s="10">
        <f t="shared" ref="C2560:C2623" si="81">MONTH(D2560)</f>
        <v>7</v>
      </c>
      <c r="D2560" s="20">
        <v>42569</v>
      </c>
      <c r="E2560">
        <v>357</v>
      </c>
      <c r="F2560">
        <v>1078.25</v>
      </c>
      <c r="G2560">
        <v>373</v>
      </c>
      <c r="H2560">
        <v>429.5</v>
      </c>
      <c r="I2560">
        <v>30.94</v>
      </c>
      <c r="J2560">
        <v>3.2522000000000002</v>
      </c>
    </row>
    <row r="2561" spans="2:10" x14ac:dyDescent="0.3">
      <c r="B2561" s="10">
        <f t="shared" si="80"/>
        <v>2016</v>
      </c>
      <c r="C2561" s="10">
        <f t="shared" si="81"/>
        <v>7</v>
      </c>
      <c r="D2561" s="20">
        <v>42566</v>
      </c>
      <c r="E2561">
        <v>352.25</v>
      </c>
      <c r="F2561">
        <v>1072.5</v>
      </c>
      <c r="G2561">
        <v>369.4</v>
      </c>
      <c r="H2561">
        <v>424.75</v>
      </c>
      <c r="I2561">
        <v>30.89</v>
      </c>
      <c r="J2561">
        <v>3.2808000000000002</v>
      </c>
    </row>
    <row r="2562" spans="2:10" x14ac:dyDescent="0.3">
      <c r="B2562" s="10">
        <f t="shared" si="80"/>
        <v>2016</v>
      </c>
      <c r="C2562" s="10">
        <f t="shared" si="81"/>
        <v>7</v>
      </c>
      <c r="D2562" s="20">
        <v>42565</v>
      </c>
      <c r="E2562">
        <v>362.25</v>
      </c>
      <c r="F2562">
        <v>1111.5</v>
      </c>
      <c r="G2562">
        <v>381.3</v>
      </c>
      <c r="H2562">
        <v>421.75</v>
      </c>
      <c r="I2562">
        <v>31.12</v>
      </c>
      <c r="J2562">
        <v>3.2501000000000002</v>
      </c>
    </row>
    <row r="2563" spans="2:10" x14ac:dyDescent="0.3">
      <c r="B2563" s="10">
        <f t="shared" si="80"/>
        <v>2016</v>
      </c>
      <c r="C2563" s="10">
        <f t="shared" si="81"/>
        <v>7</v>
      </c>
      <c r="D2563" s="20">
        <v>42564</v>
      </c>
      <c r="E2563">
        <v>365.75</v>
      </c>
      <c r="F2563">
        <v>1128</v>
      </c>
      <c r="G2563">
        <v>388.5</v>
      </c>
      <c r="H2563">
        <v>426.25</v>
      </c>
      <c r="I2563">
        <v>30.65</v>
      </c>
      <c r="J2563">
        <v>3.2629999999999999</v>
      </c>
    </row>
    <row r="2564" spans="2:10" x14ac:dyDescent="0.3">
      <c r="B2564" s="10">
        <f t="shared" si="80"/>
        <v>2016</v>
      </c>
      <c r="C2564" s="10">
        <f t="shared" si="81"/>
        <v>7</v>
      </c>
      <c r="D2564" s="20">
        <v>42563</v>
      </c>
      <c r="E2564">
        <v>349.75</v>
      </c>
      <c r="F2564">
        <v>1107.25</v>
      </c>
      <c r="G2564">
        <v>378.3</v>
      </c>
      <c r="H2564">
        <v>424</v>
      </c>
      <c r="I2564">
        <v>30.71</v>
      </c>
      <c r="J2564">
        <v>3.2945000000000002</v>
      </c>
    </row>
    <row r="2565" spans="2:10" x14ac:dyDescent="0.3">
      <c r="B2565" s="10">
        <f t="shared" si="80"/>
        <v>2016</v>
      </c>
      <c r="C2565" s="10">
        <f t="shared" si="81"/>
        <v>7</v>
      </c>
      <c r="D2565" s="20">
        <v>42562</v>
      </c>
      <c r="E2565">
        <v>343.75</v>
      </c>
      <c r="F2565">
        <v>1082.75</v>
      </c>
      <c r="G2565">
        <v>373.7</v>
      </c>
      <c r="H2565">
        <v>416.25</v>
      </c>
      <c r="I2565">
        <v>30.25</v>
      </c>
      <c r="J2565">
        <v>3.3085</v>
      </c>
    </row>
    <row r="2566" spans="2:10" x14ac:dyDescent="0.3">
      <c r="B2566" s="10">
        <f t="shared" si="80"/>
        <v>2016</v>
      </c>
      <c r="C2566" s="10">
        <f t="shared" si="81"/>
        <v>7</v>
      </c>
      <c r="D2566" s="20">
        <v>42559</v>
      </c>
      <c r="E2566">
        <v>349.75</v>
      </c>
      <c r="F2566">
        <v>1089.75</v>
      </c>
      <c r="G2566">
        <v>378.7</v>
      </c>
      <c r="H2566">
        <v>420.75</v>
      </c>
      <c r="I2566">
        <v>30.27</v>
      </c>
      <c r="J2566">
        <v>3.2995000000000001</v>
      </c>
    </row>
    <row r="2567" spans="2:10" x14ac:dyDescent="0.3">
      <c r="B2567" s="10">
        <f t="shared" si="80"/>
        <v>2016</v>
      </c>
      <c r="C2567" s="10">
        <f t="shared" si="81"/>
        <v>7</v>
      </c>
      <c r="D2567" s="20">
        <v>42558</v>
      </c>
      <c r="E2567">
        <v>335.5</v>
      </c>
      <c r="F2567">
        <v>1054.25</v>
      </c>
      <c r="G2567">
        <v>370</v>
      </c>
      <c r="H2567">
        <v>412</v>
      </c>
      <c r="I2567">
        <v>29.73</v>
      </c>
      <c r="J2567">
        <v>3.3668</v>
      </c>
    </row>
    <row r="2568" spans="2:10" x14ac:dyDescent="0.3">
      <c r="B2568" s="10">
        <f t="shared" si="80"/>
        <v>2016</v>
      </c>
      <c r="C2568" s="10">
        <f t="shared" si="81"/>
        <v>7</v>
      </c>
      <c r="D2568" s="20">
        <v>42557</v>
      </c>
      <c r="E2568">
        <v>335.75</v>
      </c>
      <c r="F2568">
        <v>1106.25</v>
      </c>
      <c r="G2568">
        <v>386</v>
      </c>
      <c r="H2568">
        <v>415.75</v>
      </c>
      <c r="I2568">
        <v>30.25</v>
      </c>
      <c r="J2568">
        <v>3.3296000000000001</v>
      </c>
    </row>
    <row r="2569" spans="2:10" x14ac:dyDescent="0.3">
      <c r="B2569" s="10">
        <f t="shared" si="80"/>
        <v>2016</v>
      </c>
      <c r="C2569" s="10">
        <f t="shared" si="81"/>
        <v>7</v>
      </c>
      <c r="D2569" s="20">
        <v>42556</v>
      </c>
      <c r="E2569">
        <v>344</v>
      </c>
      <c r="F2569">
        <v>1117</v>
      </c>
      <c r="G2569">
        <v>385.4</v>
      </c>
      <c r="H2569">
        <v>419.5</v>
      </c>
      <c r="I2569">
        <v>30.82</v>
      </c>
      <c r="J2569">
        <v>3.3018999999999998</v>
      </c>
    </row>
    <row r="2570" spans="2:10" x14ac:dyDescent="0.3">
      <c r="B2570" s="10">
        <f t="shared" si="80"/>
        <v>2016</v>
      </c>
      <c r="C2570" s="10">
        <f t="shared" si="81"/>
        <v>7</v>
      </c>
      <c r="D2570" s="20">
        <v>42555</v>
      </c>
      <c r="J2570">
        <v>3.2692000000000001</v>
      </c>
    </row>
    <row r="2571" spans="2:10" x14ac:dyDescent="0.3">
      <c r="B2571" s="10">
        <f t="shared" si="80"/>
        <v>2016</v>
      </c>
      <c r="C2571" s="10">
        <f t="shared" si="81"/>
        <v>7</v>
      </c>
      <c r="D2571" s="20">
        <v>42552</v>
      </c>
      <c r="E2571">
        <v>353</v>
      </c>
      <c r="F2571">
        <v>1168.75</v>
      </c>
      <c r="G2571">
        <v>404.8</v>
      </c>
      <c r="H2571">
        <v>416.25</v>
      </c>
      <c r="I2571">
        <v>31.03</v>
      </c>
      <c r="J2571">
        <v>3.2347999999999999</v>
      </c>
    </row>
    <row r="2572" spans="2:10" x14ac:dyDescent="0.3">
      <c r="B2572" s="10">
        <f t="shared" si="80"/>
        <v>2016</v>
      </c>
      <c r="C2572" s="10">
        <f t="shared" si="81"/>
        <v>6</v>
      </c>
      <c r="D2572" s="20">
        <v>42551</v>
      </c>
      <c r="E2572">
        <v>358.75</v>
      </c>
      <c r="F2572">
        <v>1175</v>
      </c>
      <c r="G2572">
        <v>405.3</v>
      </c>
      <c r="H2572">
        <v>431.25</v>
      </c>
      <c r="I2572">
        <v>31.38</v>
      </c>
      <c r="J2572">
        <v>3.2126000000000001</v>
      </c>
    </row>
    <row r="2573" spans="2:10" x14ac:dyDescent="0.3">
      <c r="B2573" s="10">
        <f t="shared" si="80"/>
        <v>2016</v>
      </c>
      <c r="C2573" s="10">
        <f t="shared" si="81"/>
        <v>6</v>
      </c>
      <c r="D2573" s="20">
        <v>42550</v>
      </c>
      <c r="E2573">
        <v>372.75</v>
      </c>
      <c r="F2573">
        <v>1144.5</v>
      </c>
      <c r="G2573">
        <v>397.1</v>
      </c>
      <c r="H2573">
        <v>429.5</v>
      </c>
      <c r="I2573">
        <v>30.82</v>
      </c>
      <c r="J2573">
        <v>3.2214999999999998</v>
      </c>
    </row>
    <row r="2574" spans="2:10" x14ac:dyDescent="0.3">
      <c r="B2574" s="10">
        <f t="shared" si="80"/>
        <v>2016</v>
      </c>
      <c r="C2574" s="10">
        <f t="shared" si="81"/>
        <v>6</v>
      </c>
      <c r="D2574" s="20">
        <v>42549</v>
      </c>
      <c r="E2574">
        <v>385.25</v>
      </c>
      <c r="F2574">
        <v>1150.5</v>
      </c>
      <c r="G2574">
        <v>392.4</v>
      </c>
      <c r="H2574">
        <v>443.75</v>
      </c>
      <c r="I2574">
        <v>31.11</v>
      </c>
      <c r="J2574">
        <v>3.3016000000000001</v>
      </c>
    </row>
    <row r="2575" spans="2:10" x14ac:dyDescent="0.3">
      <c r="B2575" s="10">
        <f t="shared" si="80"/>
        <v>2016</v>
      </c>
      <c r="C2575" s="10">
        <f t="shared" si="81"/>
        <v>6</v>
      </c>
      <c r="D2575" s="20">
        <v>42548</v>
      </c>
      <c r="E2575">
        <v>385.25</v>
      </c>
      <c r="F2575">
        <v>1133</v>
      </c>
      <c r="G2575">
        <v>384</v>
      </c>
      <c r="H2575">
        <v>446.75</v>
      </c>
      <c r="I2575">
        <v>31.26</v>
      </c>
      <c r="J2575">
        <v>3.3915999999999999</v>
      </c>
    </row>
    <row r="2576" spans="2:10" x14ac:dyDescent="0.3">
      <c r="B2576" s="10">
        <f t="shared" si="80"/>
        <v>2016</v>
      </c>
      <c r="C2576" s="10">
        <f t="shared" si="81"/>
        <v>6</v>
      </c>
      <c r="D2576" s="20">
        <v>42545</v>
      </c>
      <c r="E2576">
        <v>384.5</v>
      </c>
      <c r="F2576">
        <v>1103</v>
      </c>
      <c r="G2576">
        <v>375.6</v>
      </c>
      <c r="H2576">
        <v>454.75</v>
      </c>
      <c r="I2576">
        <v>30.99</v>
      </c>
      <c r="J2576">
        <v>3.3725000000000001</v>
      </c>
    </row>
    <row r="2577" spans="2:10" x14ac:dyDescent="0.3">
      <c r="B2577" s="10">
        <f t="shared" si="80"/>
        <v>2016</v>
      </c>
      <c r="C2577" s="10">
        <f t="shared" si="81"/>
        <v>6</v>
      </c>
      <c r="D2577" s="20">
        <v>42544</v>
      </c>
      <c r="E2577">
        <v>387.25</v>
      </c>
      <c r="F2577">
        <v>1124.5</v>
      </c>
      <c r="G2577">
        <v>383.2</v>
      </c>
      <c r="H2577">
        <v>454.25</v>
      </c>
      <c r="I2577">
        <v>31.75</v>
      </c>
      <c r="J2577">
        <v>3.3376000000000001</v>
      </c>
    </row>
    <row r="2578" spans="2:10" x14ac:dyDescent="0.3">
      <c r="B2578" s="10">
        <f t="shared" si="80"/>
        <v>2016</v>
      </c>
      <c r="C2578" s="10">
        <f t="shared" si="81"/>
        <v>6</v>
      </c>
      <c r="D2578" s="20">
        <v>42543</v>
      </c>
      <c r="E2578">
        <v>393</v>
      </c>
      <c r="F2578">
        <v>1137.5</v>
      </c>
      <c r="G2578">
        <v>391</v>
      </c>
      <c r="H2578">
        <v>458.75</v>
      </c>
      <c r="I2578">
        <v>31.55</v>
      </c>
      <c r="J2578">
        <v>3.3755999999999999</v>
      </c>
    </row>
    <row r="2579" spans="2:10" x14ac:dyDescent="0.3">
      <c r="B2579" s="10">
        <f t="shared" si="80"/>
        <v>2016</v>
      </c>
      <c r="C2579" s="10">
        <f t="shared" si="81"/>
        <v>6</v>
      </c>
      <c r="D2579" s="20">
        <v>42542</v>
      </c>
      <c r="E2579">
        <v>396.25</v>
      </c>
      <c r="F2579">
        <v>1133.25</v>
      </c>
      <c r="G2579">
        <v>393.3</v>
      </c>
      <c r="H2579">
        <v>458.5</v>
      </c>
      <c r="I2579">
        <v>31.36</v>
      </c>
      <c r="J2579">
        <v>3.4152999999999998</v>
      </c>
    </row>
    <row r="2580" spans="2:10" x14ac:dyDescent="0.3">
      <c r="B2580" s="10">
        <f t="shared" si="80"/>
        <v>2016</v>
      </c>
      <c r="C2580" s="10">
        <f t="shared" si="81"/>
        <v>6</v>
      </c>
      <c r="D2580" s="20">
        <v>42541</v>
      </c>
      <c r="E2580">
        <v>421.25</v>
      </c>
      <c r="F2580">
        <v>1143.5</v>
      </c>
      <c r="G2580">
        <v>402.7</v>
      </c>
      <c r="H2580">
        <v>473</v>
      </c>
      <c r="I2580">
        <v>31.64</v>
      </c>
      <c r="J2580">
        <v>3.3934000000000002</v>
      </c>
    </row>
    <row r="2581" spans="2:10" x14ac:dyDescent="0.3">
      <c r="B2581" s="10">
        <f t="shared" si="80"/>
        <v>2016</v>
      </c>
      <c r="C2581" s="10">
        <f t="shared" si="81"/>
        <v>6</v>
      </c>
      <c r="D2581" s="20">
        <v>42538</v>
      </c>
      <c r="E2581">
        <v>437.75</v>
      </c>
      <c r="F2581">
        <v>1159.5</v>
      </c>
      <c r="G2581">
        <v>407.4</v>
      </c>
      <c r="H2581">
        <v>481.25</v>
      </c>
      <c r="I2581">
        <v>31.93</v>
      </c>
      <c r="J2581">
        <v>3.4157999999999999</v>
      </c>
    </row>
    <row r="2582" spans="2:10" x14ac:dyDescent="0.3">
      <c r="B2582" s="10">
        <f t="shared" si="80"/>
        <v>2016</v>
      </c>
      <c r="C2582" s="10">
        <f t="shared" si="81"/>
        <v>6</v>
      </c>
      <c r="D2582" s="20">
        <v>42537</v>
      </c>
      <c r="E2582">
        <v>425.25</v>
      </c>
      <c r="F2582">
        <v>1134.5</v>
      </c>
      <c r="G2582">
        <v>397.7</v>
      </c>
      <c r="H2582">
        <v>472.5</v>
      </c>
      <c r="I2582">
        <v>31.16</v>
      </c>
      <c r="J2582">
        <v>3.4655999999999998</v>
      </c>
    </row>
    <row r="2583" spans="2:10" x14ac:dyDescent="0.3">
      <c r="B2583" s="10">
        <f t="shared" si="80"/>
        <v>2016</v>
      </c>
      <c r="C2583" s="10">
        <f t="shared" si="81"/>
        <v>6</v>
      </c>
      <c r="D2583" s="20">
        <v>42536</v>
      </c>
      <c r="E2583">
        <v>429</v>
      </c>
      <c r="F2583">
        <v>1156</v>
      </c>
      <c r="G2583">
        <v>407.2</v>
      </c>
      <c r="H2583">
        <v>477.5</v>
      </c>
      <c r="I2583">
        <v>31.96</v>
      </c>
      <c r="J2583">
        <v>3.4725999999999999</v>
      </c>
    </row>
    <row r="2584" spans="2:10" x14ac:dyDescent="0.3">
      <c r="B2584" s="10">
        <f t="shared" si="80"/>
        <v>2016</v>
      </c>
      <c r="C2584" s="10">
        <f t="shared" si="81"/>
        <v>6</v>
      </c>
      <c r="D2584" s="20">
        <v>42535</v>
      </c>
      <c r="E2584">
        <v>436.5</v>
      </c>
      <c r="F2584">
        <v>1169.5</v>
      </c>
      <c r="G2584">
        <v>408.6</v>
      </c>
      <c r="H2584">
        <v>485</v>
      </c>
      <c r="I2584">
        <v>32.520000000000003</v>
      </c>
      <c r="J2584">
        <v>3.4802</v>
      </c>
    </row>
    <row r="2585" spans="2:10" x14ac:dyDescent="0.3">
      <c r="B2585" s="10">
        <f t="shared" si="80"/>
        <v>2016</v>
      </c>
      <c r="C2585" s="10">
        <f t="shared" si="81"/>
        <v>6</v>
      </c>
      <c r="D2585" s="20">
        <v>42534</v>
      </c>
      <c r="E2585">
        <v>430</v>
      </c>
      <c r="F2585">
        <v>1169</v>
      </c>
      <c r="G2585">
        <v>408.4</v>
      </c>
      <c r="H2585">
        <v>491.25</v>
      </c>
      <c r="I2585">
        <v>32.51</v>
      </c>
      <c r="J2585">
        <v>3.4817</v>
      </c>
    </row>
    <row r="2586" spans="2:10" x14ac:dyDescent="0.3">
      <c r="B2586" s="10">
        <f t="shared" si="80"/>
        <v>2016</v>
      </c>
      <c r="C2586" s="10">
        <f t="shared" si="81"/>
        <v>6</v>
      </c>
      <c r="D2586" s="20">
        <v>42531</v>
      </c>
      <c r="E2586">
        <v>423</v>
      </c>
      <c r="F2586">
        <v>1178.25</v>
      </c>
      <c r="G2586">
        <v>414</v>
      </c>
      <c r="H2586">
        <v>495</v>
      </c>
      <c r="I2586">
        <v>32.76</v>
      </c>
      <c r="J2586">
        <v>3.4175</v>
      </c>
    </row>
    <row r="2587" spans="2:10" x14ac:dyDescent="0.3">
      <c r="B2587" s="10">
        <f t="shared" si="80"/>
        <v>2016</v>
      </c>
      <c r="C2587" s="10">
        <f t="shared" si="81"/>
        <v>6</v>
      </c>
      <c r="D2587" s="20">
        <v>42530</v>
      </c>
      <c r="E2587">
        <v>426.5</v>
      </c>
      <c r="F2587">
        <v>1176</v>
      </c>
      <c r="G2587">
        <v>413.5</v>
      </c>
      <c r="H2587">
        <v>510.25</v>
      </c>
      <c r="I2587">
        <v>33.03</v>
      </c>
      <c r="J2587">
        <v>3.3995000000000002</v>
      </c>
    </row>
    <row r="2588" spans="2:10" x14ac:dyDescent="0.3">
      <c r="B2588" s="10">
        <f t="shared" si="80"/>
        <v>2016</v>
      </c>
      <c r="C2588" s="10">
        <f t="shared" si="81"/>
        <v>6</v>
      </c>
      <c r="D2588" s="20">
        <v>42529</v>
      </c>
      <c r="E2588">
        <v>431.25</v>
      </c>
      <c r="F2588">
        <v>1177.75</v>
      </c>
      <c r="G2588">
        <v>417.1</v>
      </c>
      <c r="H2588">
        <v>519.5</v>
      </c>
      <c r="I2588">
        <v>32.89</v>
      </c>
      <c r="J2588">
        <v>3.3614999999999999</v>
      </c>
    </row>
    <row r="2589" spans="2:10" x14ac:dyDescent="0.3">
      <c r="B2589" s="10">
        <f t="shared" si="80"/>
        <v>2016</v>
      </c>
      <c r="C2589" s="10">
        <f t="shared" si="81"/>
        <v>6</v>
      </c>
      <c r="D2589" s="20">
        <v>42528</v>
      </c>
      <c r="E2589">
        <v>427.75</v>
      </c>
      <c r="F2589">
        <v>1141.25</v>
      </c>
      <c r="G2589">
        <v>407.8</v>
      </c>
      <c r="H2589">
        <v>509</v>
      </c>
      <c r="I2589">
        <v>32.29</v>
      </c>
      <c r="J2589">
        <v>3.4409999999999998</v>
      </c>
    </row>
    <row r="2590" spans="2:10" x14ac:dyDescent="0.3">
      <c r="B2590" s="10">
        <f t="shared" si="80"/>
        <v>2016</v>
      </c>
      <c r="C2590" s="10">
        <f t="shared" si="81"/>
        <v>6</v>
      </c>
      <c r="D2590" s="20">
        <v>42527</v>
      </c>
      <c r="E2590">
        <v>427.25</v>
      </c>
      <c r="F2590">
        <v>1138.25</v>
      </c>
      <c r="G2590">
        <v>411.7</v>
      </c>
      <c r="H2590">
        <v>507.5</v>
      </c>
      <c r="I2590">
        <v>32.51</v>
      </c>
      <c r="J2590">
        <v>3.4885000000000002</v>
      </c>
    </row>
    <row r="2591" spans="2:10" x14ac:dyDescent="0.3">
      <c r="B2591" s="10">
        <f t="shared" si="80"/>
        <v>2016</v>
      </c>
      <c r="C2591" s="10">
        <f t="shared" si="81"/>
        <v>6</v>
      </c>
      <c r="D2591" s="20">
        <v>42524</v>
      </c>
      <c r="E2591">
        <v>418.25</v>
      </c>
      <c r="F2591">
        <v>1132</v>
      </c>
      <c r="G2591">
        <v>414.3</v>
      </c>
      <c r="H2591">
        <v>497.25</v>
      </c>
      <c r="I2591">
        <v>32.26</v>
      </c>
      <c r="J2591">
        <v>3.5236999999999998</v>
      </c>
    </row>
    <row r="2592" spans="2:10" x14ac:dyDescent="0.3">
      <c r="B2592" s="10">
        <f t="shared" si="80"/>
        <v>2016</v>
      </c>
      <c r="C2592" s="10">
        <f t="shared" si="81"/>
        <v>6</v>
      </c>
      <c r="D2592" s="20">
        <v>42523</v>
      </c>
      <c r="E2592">
        <v>415.25</v>
      </c>
      <c r="F2592">
        <v>1144.25</v>
      </c>
      <c r="G2592">
        <v>418.3</v>
      </c>
      <c r="H2592">
        <v>485.5</v>
      </c>
      <c r="I2592">
        <v>32.26</v>
      </c>
      <c r="J2592">
        <v>3.5916000000000001</v>
      </c>
    </row>
    <row r="2593" spans="2:10" x14ac:dyDescent="0.3">
      <c r="B2593" s="10">
        <f t="shared" si="80"/>
        <v>2016</v>
      </c>
      <c r="C2593" s="10">
        <f t="shared" si="81"/>
        <v>6</v>
      </c>
      <c r="D2593" s="20">
        <v>42522</v>
      </c>
      <c r="E2593">
        <v>413.75</v>
      </c>
      <c r="F2593">
        <v>1099.75</v>
      </c>
      <c r="G2593">
        <v>399.1</v>
      </c>
      <c r="H2593">
        <v>473.75</v>
      </c>
      <c r="I2593">
        <v>32.19</v>
      </c>
      <c r="J2593">
        <v>3.5996000000000001</v>
      </c>
    </row>
    <row r="2594" spans="2:10" x14ac:dyDescent="0.3">
      <c r="B2594" s="10">
        <f t="shared" si="80"/>
        <v>2016</v>
      </c>
      <c r="C2594" s="10">
        <f t="shared" si="81"/>
        <v>5</v>
      </c>
      <c r="D2594" s="20">
        <v>42521</v>
      </c>
      <c r="E2594">
        <v>404.75</v>
      </c>
      <c r="F2594">
        <v>1078.5</v>
      </c>
      <c r="G2594">
        <v>396.6</v>
      </c>
      <c r="H2594">
        <v>464.5</v>
      </c>
      <c r="I2594">
        <v>31.82</v>
      </c>
      <c r="J2594">
        <v>3.6105</v>
      </c>
    </row>
    <row r="2595" spans="2:10" x14ac:dyDescent="0.3">
      <c r="B2595" s="10">
        <f t="shared" si="80"/>
        <v>2016</v>
      </c>
      <c r="C2595" s="10">
        <f t="shared" si="81"/>
        <v>5</v>
      </c>
      <c r="D2595" s="20">
        <v>42520</v>
      </c>
      <c r="J2595">
        <v>3.57</v>
      </c>
    </row>
    <row r="2596" spans="2:10" x14ac:dyDescent="0.3">
      <c r="B2596" s="10">
        <f t="shared" si="80"/>
        <v>2016</v>
      </c>
      <c r="C2596" s="10">
        <f t="shared" si="81"/>
        <v>5</v>
      </c>
      <c r="D2596" s="20">
        <v>42517</v>
      </c>
      <c r="E2596">
        <v>412.75</v>
      </c>
      <c r="F2596">
        <v>1086.5</v>
      </c>
      <c r="G2596">
        <v>402.6</v>
      </c>
      <c r="H2596">
        <v>481.5</v>
      </c>
      <c r="I2596">
        <v>31.48</v>
      </c>
      <c r="J2596">
        <v>3.6105</v>
      </c>
    </row>
    <row r="2597" spans="2:10" x14ac:dyDescent="0.3">
      <c r="B2597" s="10">
        <f t="shared" si="80"/>
        <v>2016</v>
      </c>
      <c r="C2597" s="10">
        <f t="shared" si="81"/>
        <v>5</v>
      </c>
      <c r="D2597" s="20">
        <v>42516</v>
      </c>
      <c r="E2597">
        <v>408.25</v>
      </c>
      <c r="F2597">
        <v>1079.75</v>
      </c>
      <c r="G2597">
        <v>409.6</v>
      </c>
      <c r="H2597">
        <v>481.25</v>
      </c>
      <c r="I2597">
        <v>31.04</v>
      </c>
      <c r="J2597">
        <v>3.581</v>
      </c>
    </row>
    <row r="2598" spans="2:10" x14ac:dyDescent="0.3">
      <c r="B2598" s="10">
        <f t="shared" si="80"/>
        <v>2016</v>
      </c>
      <c r="C2598" s="10">
        <f t="shared" si="81"/>
        <v>5</v>
      </c>
      <c r="D2598" s="20">
        <v>42515</v>
      </c>
      <c r="E2598">
        <v>404.75</v>
      </c>
      <c r="F2598">
        <v>1085.5</v>
      </c>
      <c r="G2598">
        <v>407.2</v>
      </c>
      <c r="H2598">
        <v>466</v>
      </c>
      <c r="I2598">
        <v>31.34</v>
      </c>
      <c r="J2598">
        <v>3.5832999999999999</v>
      </c>
    </row>
    <row r="2599" spans="2:10" x14ac:dyDescent="0.3">
      <c r="B2599" s="10">
        <f t="shared" si="80"/>
        <v>2016</v>
      </c>
      <c r="C2599" s="10">
        <f t="shared" si="81"/>
        <v>5</v>
      </c>
      <c r="D2599" s="20">
        <v>42514</v>
      </c>
      <c r="E2599">
        <v>397.5</v>
      </c>
      <c r="F2599">
        <v>1054.75</v>
      </c>
      <c r="G2599">
        <v>388.9</v>
      </c>
      <c r="H2599">
        <v>464</v>
      </c>
      <c r="I2599">
        <v>30.89</v>
      </c>
      <c r="J2599">
        <v>3.5703</v>
      </c>
    </row>
    <row r="2600" spans="2:10" x14ac:dyDescent="0.3">
      <c r="B2600" s="10">
        <f t="shared" si="80"/>
        <v>2016</v>
      </c>
      <c r="C2600" s="10">
        <f t="shared" si="81"/>
        <v>5</v>
      </c>
      <c r="D2600" s="20">
        <v>42513</v>
      </c>
      <c r="E2600">
        <v>397.75</v>
      </c>
      <c r="F2600">
        <v>1058.5</v>
      </c>
      <c r="G2600">
        <v>387.7</v>
      </c>
      <c r="H2600">
        <v>462</v>
      </c>
      <c r="I2600">
        <v>31.15</v>
      </c>
      <c r="J2600">
        <v>3.5722</v>
      </c>
    </row>
    <row r="2601" spans="2:10" x14ac:dyDescent="0.3">
      <c r="B2601" s="10">
        <f t="shared" si="80"/>
        <v>2016</v>
      </c>
      <c r="C2601" s="10">
        <f t="shared" si="81"/>
        <v>5</v>
      </c>
      <c r="D2601" s="20">
        <v>42510</v>
      </c>
      <c r="E2601">
        <v>394.5</v>
      </c>
      <c r="F2601">
        <v>1074.25</v>
      </c>
      <c r="G2601">
        <v>392.7</v>
      </c>
      <c r="H2601">
        <v>467.75</v>
      </c>
      <c r="I2601">
        <v>31.27</v>
      </c>
      <c r="J2601">
        <v>3.5194999999999999</v>
      </c>
    </row>
    <row r="2602" spans="2:10" x14ac:dyDescent="0.3">
      <c r="B2602" s="10">
        <f t="shared" si="80"/>
        <v>2016</v>
      </c>
      <c r="C2602" s="10">
        <f t="shared" si="81"/>
        <v>5</v>
      </c>
      <c r="D2602" s="20">
        <v>42509</v>
      </c>
      <c r="E2602">
        <v>390</v>
      </c>
      <c r="F2602">
        <v>1071.5</v>
      </c>
      <c r="G2602">
        <v>378.1</v>
      </c>
      <c r="H2602">
        <v>468.75</v>
      </c>
      <c r="I2602">
        <v>31.91</v>
      </c>
      <c r="J2602">
        <v>3.5630999999999999</v>
      </c>
    </row>
    <row r="2603" spans="2:10" x14ac:dyDescent="0.3">
      <c r="B2603" s="10">
        <f t="shared" si="80"/>
        <v>2016</v>
      </c>
      <c r="C2603" s="10">
        <f t="shared" si="81"/>
        <v>5</v>
      </c>
      <c r="D2603" s="20">
        <v>42508</v>
      </c>
      <c r="E2603">
        <v>399.5</v>
      </c>
      <c r="F2603">
        <v>1075.25</v>
      </c>
      <c r="G2603">
        <v>372.7</v>
      </c>
      <c r="H2603">
        <v>480</v>
      </c>
      <c r="I2603">
        <v>32.450000000000003</v>
      </c>
      <c r="J2603">
        <v>3.5670000000000002</v>
      </c>
    </row>
    <row r="2604" spans="2:10" x14ac:dyDescent="0.3">
      <c r="B2604" s="10">
        <f t="shared" si="80"/>
        <v>2016</v>
      </c>
      <c r="C2604" s="10">
        <f t="shared" si="81"/>
        <v>5</v>
      </c>
      <c r="D2604" s="20">
        <v>42507</v>
      </c>
      <c r="E2604">
        <v>397</v>
      </c>
      <c r="F2604">
        <v>1080.25</v>
      </c>
      <c r="G2604">
        <v>369.1</v>
      </c>
      <c r="H2604">
        <v>481.75</v>
      </c>
      <c r="I2604">
        <v>32.78</v>
      </c>
      <c r="J2604">
        <v>3.4872999999999998</v>
      </c>
    </row>
    <row r="2605" spans="2:10" x14ac:dyDescent="0.3">
      <c r="B2605" s="10">
        <f t="shared" si="80"/>
        <v>2016</v>
      </c>
      <c r="C2605" s="10">
        <f t="shared" si="81"/>
        <v>5</v>
      </c>
      <c r="D2605" s="20">
        <v>42506</v>
      </c>
      <c r="E2605">
        <v>394</v>
      </c>
      <c r="F2605">
        <v>1064.5</v>
      </c>
      <c r="G2605">
        <v>361.2</v>
      </c>
      <c r="H2605">
        <v>474.75</v>
      </c>
      <c r="I2605">
        <v>32.79</v>
      </c>
      <c r="J2605">
        <v>3.4988000000000001</v>
      </c>
    </row>
    <row r="2606" spans="2:10" x14ac:dyDescent="0.3">
      <c r="B2606" s="10">
        <f t="shared" si="80"/>
        <v>2016</v>
      </c>
      <c r="C2606" s="10">
        <f t="shared" si="81"/>
        <v>5</v>
      </c>
      <c r="D2606" s="20">
        <v>42503</v>
      </c>
      <c r="E2606">
        <v>382</v>
      </c>
      <c r="F2606">
        <v>1055</v>
      </c>
      <c r="G2606">
        <v>361</v>
      </c>
      <c r="H2606">
        <v>465</v>
      </c>
      <c r="I2606">
        <v>32.17</v>
      </c>
      <c r="J2606">
        <v>3.5325000000000002</v>
      </c>
    </row>
    <row r="2607" spans="2:10" x14ac:dyDescent="0.3">
      <c r="B2607" s="10">
        <f t="shared" si="80"/>
        <v>2016</v>
      </c>
      <c r="C2607" s="10">
        <f t="shared" si="81"/>
        <v>5</v>
      </c>
      <c r="D2607" s="20">
        <v>42502</v>
      </c>
      <c r="E2607">
        <v>385.25</v>
      </c>
      <c r="F2607">
        <v>1064.5</v>
      </c>
      <c r="G2607">
        <v>366.8</v>
      </c>
      <c r="H2607">
        <v>458.5</v>
      </c>
      <c r="I2607">
        <v>32.299999999999997</v>
      </c>
      <c r="J2607">
        <v>3.4845000000000002</v>
      </c>
    </row>
    <row r="2608" spans="2:10" x14ac:dyDescent="0.3">
      <c r="B2608" s="10">
        <f t="shared" si="80"/>
        <v>2016</v>
      </c>
      <c r="C2608" s="10">
        <f t="shared" si="81"/>
        <v>5</v>
      </c>
      <c r="D2608" s="20">
        <v>42501</v>
      </c>
      <c r="E2608">
        <v>374</v>
      </c>
      <c r="F2608">
        <v>1069.75</v>
      </c>
      <c r="G2608">
        <v>364.4</v>
      </c>
      <c r="H2608">
        <v>449.5</v>
      </c>
      <c r="I2608">
        <v>33.08</v>
      </c>
      <c r="J2608">
        <v>3.4512999999999998</v>
      </c>
    </row>
    <row r="2609" spans="2:10" x14ac:dyDescent="0.3">
      <c r="B2609" s="10">
        <f t="shared" si="80"/>
        <v>2016</v>
      </c>
      <c r="C2609" s="10">
        <f t="shared" si="81"/>
        <v>5</v>
      </c>
      <c r="D2609" s="20">
        <v>42500</v>
      </c>
      <c r="E2609">
        <v>378.5</v>
      </c>
      <c r="F2609">
        <v>1076</v>
      </c>
      <c r="G2609">
        <v>360.4</v>
      </c>
      <c r="H2609">
        <v>451.5</v>
      </c>
      <c r="I2609">
        <v>33.130000000000003</v>
      </c>
      <c r="J2609">
        <v>3.4752999999999998</v>
      </c>
    </row>
    <row r="2610" spans="2:10" x14ac:dyDescent="0.3">
      <c r="B2610" s="10">
        <f t="shared" si="80"/>
        <v>2016</v>
      </c>
      <c r="C2610" s="10">
        <f t="shared" si="81"/>
        <v>5</v>
      </c>
      <c r="D2610" s="20">
        <v>42499</v>
      </c>
      <c r="E2610">
        <v>367.75</v>
      </c>
      <c r="F2610">
        <v>1018.75</v>
      </c>
      <c r="G2610">
        <v>340.2</v>
      </c>
      <c r="H2610">
        <v>447</v>
      </c>
      <c r="I2610">
        <v>32.54</v>
      </c>
      <c r="J2610">
        <v>3.5152000000000001</v>
      </c>
    </row>
    <row r="2611" spans="2:10" x14ac:dyDescent="0.3">
      <c r="B2611" s="10">
        <f t="shared" si="80"/>
        <v>2016</v>
      </c>
      <c r="C2611" s="10">
        <f t="shared" si="81"/>
        <v>5</v>
      </c>
      <c r="D2611" s="20">
        <v>42496</v>
      </c>
      <c r="E2611">
        <v>376</v>
      </c>
      <c r="F2611">
        <v>1026.25</v>
      </c>
      <c r="G2611">
        <v>341.2</v>
      </c>
      <c r="H2611">
        <v>453.25</v>
      </c>
      <c r="I2611">
        <v>32.81</v>
      </c>
      <c r="J2611">
        <v>3.5007999999999999</v>
      </c>
    </row>
    <row r="2612" spans="2:10" x14ac:dyDescent="0.3">
      <c r="B2612" s="10">
        <f t="shared" si="80"/>
        <v>2016</v>
      </c>
      <c r="C2612" s="10">
        <f t="shared" si="81"/>
        <v>5</v>
      </c>
      <c r="D2612" s="20">
        <v>42495</v>
      </c>
      <c r="E2612">
        <v>371.75</v>
      </c>
      <c r="F2612">
        <v>1003.5</v>
      </c>
      <c r="G2612">
        <v>335</v>
      </c>
      <c r="H2612">
        <v>453</v>
      </c>
      <c r="I2612">
        <v>32.01</v>
      </c>
      <c r="J2612">
        <v>3.5343</v>
      </c>
    </row>
    <row r="2613" spans="2:10" x14ac:dyDescent="0.3">
      <c r="B2613" s="10">
        <f t="shared" si="80"/>
        <v>2016</v>
      </c>
      <c r="C2613" s="10">
        <f t="shared" si="81"/>
        <v>5</v>
      </c>
      <c r="D2613" s="20">
        <v>42494</v>
      </c>
      <c r="E2613">
        <v>373.25</v>
      </c>
      <c r="F2613">
        <v>1024.5</v>
      </c>
      <c r="G2613">
        <v>343</v>
      </c>
      <c r="H2613">
        <v>460.5</v>
      </c>
      <c r="I2613">
        <v>32.200000000000003</v>
      </c>
      <c r="J2613">
        <v>3.5461999999999998</v>
      </c>
    </row>
    <row r="2614" spans="2:10" x14ac:dyDescent="0.3">
      <c r="B2614" s="10">
        <f t="shared" si="80"/>
        <v>2016</v>
      </c>
      <c r="C2614" s="10">
        <f t="shared" si="81"/>
        <v>5</v>
      </c>
      <c r="D2614" s="20">
        <v>42493</v>
      </c>
      <c r="E2614">
        <v>378.25</v>
      </c>
      <c r="F2614">
        <v>1021.5</v>
      </c>
      <c r="G2614">
        <v>339.5</v>
      </c>
      <c r="H2614">
        <v>459.75</v>
      </c>
      <c r="I2614">
        <v>32.130000000000003</v>
      </c>
      <c r="J2614">
        <v>3.5583999999999998</v>
      </c>
    </row>
    <row r="2615" spans="2:10" x14ac:dyDescent="0.3">
      <c r="B2615" s="10">
        <f t="shared" si="80"/>
        <v>2016</v>
      </c>
      <c r="C2615" s="10">
        <f t="shared" si="81"/>
        <v>5</v>
      </c>
      <c r="D2615" s="20">
        <v>42492</v>
      </c>
      <c r="E2615">
        <v>390.25</v>
      </c>
      <c r="F2615">
        <v>1035.5</v>
      </c>
      <c r="G2615">
        <v>345.3</v>
      </c>
      <c r="H2615">
        <v>477</v>
      </c>
      <c r="I2615">
        <v>32.19</v>
      </c>
      <c r="J2615">
        <v>3.5005999999999999</v>
      </c>
    </row>
    <row r="2616" spans="2:10" x14ac:dyDescent="0.3">
      <c r="B2616" s="10">
        <f t="shared" si="80"/>
        <v>2016</v>
      </c>
      <c r="C2616" s="10">
        <f t="shared" si="81"/>
        <v>4</v>
      </c>
      <c r="D2616" s="20">
        <v>42489</v>
      </c>
      <c r="E2616">
        <v>390.25</v>
      </c>
      <c r="F2616">
        <v>1021</v>
      </c>
      <c r="G2616">
        <v>332.1</v>
      </c>
      <c r="H2616">
        <v>478</v>
      </c>
      <c r="I2616">
        <v>32.880000000000003</v>
      </c>
      <c r="J2616">
        <v>3.4352</v>
      </c>
    </row>
    <row r="2617" spans="2:10" x14ac:dyDescent="0.3">
      <c r="B2617" s="10">
        <f t="shared" si="80"/>
        <v>2016</v>
      </c>
      <c r="C2617" s="10">
        <f t="shared" si="81"/>
        <v>4</v>
      </c>
      <c r="D2617" s="20">
        <v>42488</v>
      </c>
      <c r="E2617">
        <v>387</v>
      </c>
      <c r="F2617">
        <v>1018</v>
      </c>
      <c r="G2617">
        <v>330.6</v>
      </c>
      <c r="H2617">
        <v>475.5</v>
      </c>
      <c r="I2617">
        <v>33.049999999999997</v>
      </c>
      <c r="J2617">
        <v>3.4874999999999998</v>
      </c>
    </row>
    <row r="2618" spans="2:10" x14ac:dyDescent="0.3">
      <c r="B2618" s="10">
        <f t="shared" si="80"/>
        <v>2016</v>
      </c>
      <c r="C2618" s="10">
        <f t="shared" si="81"/>
        <v>4</v>
      </c>
      <c r="D2618" s="20">
        <v>42487</v>
      </c>
      <c r="E2618">
        <v>380.75</v>
      </c>
      <c r="F2618">
        <v>1019</v>
      </c>
      <c r="G2618">
        <v>325.2</v>
      </c>
      <c r="H2618">
        <v>474.25</v>
      </c>
      <c r="I2618">
        <v>33.619999999999997</v>
      </c>
      <c r="J2618">
        <v>3.5261999999999998</v>
      </c>
    </row>
    <row r="2619" spans="2:10" x14ac:dyDescent="0.3">
      <c r="B2619" s="10">
        <f t="shared" si="80"/>
        <v>2016</v>
      </c>
      <c r="C2619" s="10">
        <f t="shared" si="81"/>
        <v>4</v>
      </c>
      <c r="D2619" s="20">
        <v>42486</v>
      </c>
      <c r="E2619">
        <v>382.25</v>
      </c>
      <c r="F2619">
        <v>1017.75</v>
      </c>
      <c r="G2619">
        <v>323.3</v>
      </c>
      <c r="H2619">
        <v>479.75</v>
      </c>
      <c r="I2619">
        <v>33.94</v>
      </c>
      <c r="J2619">
        <v>3.5287999999999999</v>
      </c>
    </row>
    <row r="2620" spans="2:10" x14ac:dyDescent="0.3">
      <c r="B2620" s="10">
        <f t="shared" si="80"/>
        <v>2016</v>
      </c>
      <c r="C2620" s="10">
        <f t="shared" si="81"/>
        <v>4</v>
      </c>
      <c r="D2620" s="20">
        <v>42485</v>
      </c>
      <c r="E2620">
        <v>377</v>
      </c>
      <c r="F2620">
        <v>999.75</v>
      </c>
      <c r="G2620">
        <v>316.39999999999998</v>
      </c>
      <c r="H2620">
        <v>471.25</v>
      </c>
      <c r="I2620">
        <v>33.9</v>
      </c>
      <c r="J2620">
        <v>3.5543</v>
      </c>
    </row>
    <row r="2621" spans="2:10" x14ac:dyDescent="0.3">
      <c r="B2621" s="10">
        <f t="shared" si="80"/>
        <v>2016</v>
      </c>
      <c r="C2621" s="10">
        <f t="shared" si="81"/>
        <v>4</v>
      </c>
      <c r="D2621" s="20">
        <v>42482</v>
      </c>
      <c r="E2621">
        <v>371.75</v>
      </c>
      <c r="F2621">
        <v>987</v>
      </c>
      <c r="G2621">
        <v>311.7</v>
      </c>
      <c r="H2621">
        <v>467</v>
      </c>
      <c r="I2621">
        <v>33.99</v>
      </c>
      <c r="J2621">
        <v>3.5638000000000001</v>
      </c>
    </row>
    <row r="2622" spans="2:10" x14ac:dyDescent="0.3">
      <c r="B2622" s="10">
        <f t="shared" si="80"/>
        <v>2016</v>
      </c>
      <c r="C2622" s="10">
        <f t="shared" si="81"/>
        <v>4</v>
      </c>
      <c r="D2622" s="20">
        <v>42481</v>
      </c>
      <c r="E2622">
        <v>384.5</v>
      </c>
      <c r="F2622">
        <v>1018.75</v>
      </c>
      <c r="G2622">
        <v>325.2</v>
      </c>
      <c r="H2622">
        <v>495.75</v>
      </c>
      <c r="I2622">
        <v>34.21</v>
      </c>
      <c r="J2622">
        <v>3.5371000000000001</v>
      </c>
    </row>
    <row r="2623" spans="2:10" x14ac:dyDescent="0.3">
      <c r="B2623" s="10">
        <f t="shared" si="80"/>
        <v>2016</v>
      </c>
      <c r="C2623" s="10">
        <f t="shared" si="81"/>
        <v>4</v>
      </c>
      <c r="D2623" s="20">
        <v>42480</v>
      </c>
      <c r="E2623">
        <v>394.75</v>
      </c>
      <c r="F2623">
        <v>1009.75</v>
      </c>
      <c r="G2623">
        <v>318.89999999999998</v>
      </c>
      <c r="H2623">
        <v>504.25</v>
      </c>
      <c r="I2623">
        <v>34.64</v>
      </c>
      <c r="J2623">
        <v>3.5284</v>
      </c>
    </row>
    <row r="2624" spans="2:10" x14ac:dyDescent="0.3">
      <c r="B2624" s="10">
        <f t="shared" ref="B2624:B2687" si="82">YEAR(D2624)</f>
        <v>2016</v>
      </c>
      <c r="C2624" s="10">
        <f t="shared" ref="C2624:C2687" si="83">MONTH(D2624)</f>
        <v>4</v>
      </c>
      <c r="D2624" s="20">
        <v>42479</v>
      </c>
      <c r="E2624">
        <v>384.5</v>
      </c>
      <c r="F2624">
        <v>985.5</v>
      </c>
      <c r="G2624">
        <v>305.10000000000002</v>
      </c>
      <c r="H2624">
        <v>486.25</v>
      </c>
      <c r="I2624">
        <v>34.78</v>
      </c>
      <c r="J2624">
        <v>3.5326</v>
      </c>
    </row>
    <row r="2625" spans="2:10" x14ac:dyDescent="0.3">
      <c r="B2625" s="10">
        <f t="shared" si="82"/>
        <v>2016</v>
      </c>
      <c r="C2625" s="10">
        <f t="shared" si="83"/>
        <v>4</v>
      </c>
      <c r="D2625" s="20">
        <v>42478</v>
      </c>
      <c r="E2625">
        <v>381</v>
      </c>
      <c r="F2625">
        <v>954.25</v>
      </c>
      <c r="G2625">
        <v>293</v>
      </c>
      <c r="H2625">
        <v>472.75</v>
      </c>
      <c r="I2625">
        <v>33.950000000000003</v>
      </c>
      <c r="J2625">
        <v>3.6147</v>
      </c>
    </row>
    <row r="2626" spans="2:10" x14ac:dyDescent="0.3">
      <c r="B2626" s="10">
        <f t="shared" si="82"/>
        <v>2016</v>
      </c>
      <c r="C2626" s="10">
        <f t="shared" si="83"/>
        <v>4</v>
      </c>
      <c r="D2626" s="20">
        <v>42475</v>
      </c>
      <c r="E2626">
        <v>378.5</v>
      </c>
      <c r="F2626">
        <v>956</v>
      </c>
      <c r="G2626">
        <v>295.89999999999998</v>
      </c>
      <c r="H2626">
        <v>459.75</v>
      </c>
      <c r="I2626">
        <v>33.380000000000003</v>
      </c>
      <c r="J2626">
        <v>3.5325000000000002</v>
      </c>
    </row>
    <row r="2627" spans="2:10" x14ac:dyDescent="0.3">
      <c r="B2627" s="10">
        <f t="shared" si="82"/>
        <v>2016</v>
      </c>
      <c r="C2627" s="10">
        <f t="shared" si="83"/>
        <v>4</v>
      </c>
      <c r="D2627" s="20">
        <v>42474</v>
      </c>
      <c r="E2627">
        <v>374</v>
      </c>
      <c r="F2627">
        <v>948</v>
      </c>
      <c r="G2627">
        <v>290.10000000000002</v>
      </c>
      <c r="H2627">
        <v>459.75</v>
      </c>
      <c r="I2627">
        <v>33.69</v>
      </c>
      <c r="J2627">
        <v>3.4824000000000002</v>
      </c>
    </row>
    <row r="2628" spans="2:10" x14ac:dyDescent="0.3">
      <c r="B2628" s="10">
        <f t="shared" si="82"/>
        <v>2016</v>
      </c>
      <c r="C2628" s="10">
        <f t="shared" si="83"/>
        <v>4</v>
      </c>
      <c r="D2628" s="20">
        <v>42473</v>
      </c>
      <c r="E2628">
        <v>373.5</v>
      </c>
      <c r="F2628">
        <v>955.75</v>
      </c>
      <c r="G2628">
        <v>292.7</v>
      </c>
      <c r="H2628">
        <v>461.5</v>
      </c>
      <c r="I2628">
        <v>33.96</v>
      </c>
      <c r="J2628">
        <v>3.4973999999999998</v>
      </c>
    </row>
    <row r="2629" spans="2:10" x14ac:dyDescent="0.3">
      <c r="B2629" s="10">
        <f t="shared" si="82"/>
        <v>2016</v>
      </c>
      <c r="C2629" s="10">
        <f t="shared" si="83"/>
        <v>4</v>
      </c>
      <c r="D2629" s="20">
        <v>42472</v>
      </c>
      <c r="E2629">
        <v>362.75</v>
      </c>
      <c r="F2629">
        <v>936.25</v>
      </c>
      <c r="G2629">
        <v>285.10000000000002</v>
      </c>
      <c r="H2629">
        <v>452.5</v>
      </c>
      <c r="I2629">
        <v>33.69</v>
      </c>
      <c r="J2629">
        <v>3.492</v>
      </c>
    </row>
    <row r="2630" spans="2:10" x14ac:dyDescent="0.3">
      <c r="B2630" s="10">
        <f t="shared" si="82"/>
        <v>2016</v>
      </c>
      <c r="C2630" s="10">
        <f t="shared" si="83"/>
        <v>4</v>
      </c>
      <c r="D2630" s="20">
        <v>42471</v>
      </c>
      <c r="E2630">
        <v>356.75</v>
      </c>
      <c r="F2630">
        <v>928.25</v>
      </c>
      <c r="G2630">
        <v>280.10000000000002</v>
      </c>
      <c r="H2630">
        <v>447.25</v>
      </c>
      <c r="I2630">
        <v>33.9</v>
      </c>
      <c r="J2630">
        <v>3.4912000000000001</v>
      </c>
    </row>
    <row r="2631" spans="2:10" x14ac:dyDescent="0.3">
      <c r="B2631" s="10">
        <f t="shared" si="82"/>
        <v>2016</v>
      </c>
      <c r="C2631" s="10">
        <f t="shared" si="83"/>
        <v>4</v>
      </c>
      <c r="D2631" s="20">
        <v>42468</v>
      </c>
      <c r="E2631">
        <v>362.25</v>
      </c>
      <c r="F2631">
        <v>916.75</v>
      </c>
      <c r="G2631">
        <v>273.7</v>
      </c>
      <c r="H2631">
        <v>460.25</v>
      </c>
      <c r="I2631">
        <v>33.94</v>
      </c>
      <c r="J2631">
        <v>3.5886</v>
      </c>
    </row>
    <row r="2632" spans="2:10" x14ac:dyDescent="0.3">
      <c r="B2632" s="10">
        <f t="shared" si="82"/>
        <v>2016</v>
      </c>
      <c r="C2632" s="10">
        <f t="shared" si="83"/>
        <v>4</v>
      </c>
      <c r="D2632" s="20">
        <v>42467</v>
      </c>
      <c r="E2632">
        <v>361.5</v>
      </c>
      <c r="F2632">
        <v>904.5</v>
      </c>
      <c r="G2632">
        <v>266.8</v>
      </c>
      <c r="H2632">
        <v>457</v>
      </c>
      <c r="I2632">
        <v>34.1</v>
      </c>
      <c r="J2632">
        <v>3.6890000000000001</v>
      </c>
    </row>
    <row r="2633" spans="2:10" x14ac:dyDescent="0.3">
      <c r="B2633" s="10">
        <f t="shared" si="82"/>
        <v>2016</v>
      </c>
      <c r="C2633" s="10">
        <f t="shared" si="83"/>
        <v>4</v>
      </c>
      <c r="D2633" s="20">
        <v>42466</v>
      </c>
      <c r="E2633">
        <v>358</v>
      </c>
      <c r="F2633">
        <v>908</v>
      </c>
      <c r="G2633">
        <v>267.89999999999998</v>
      </c>
      <c r="H2633">
        <v>463</v>
      </c>
      <c r="I2633">
        <v>34.26</v>
      </c>
      <c r="J2633">
        <v>3.6398000000000001</v>
      </c>
    </row>
    <row r="2634" spans="2:10" x14ac:dyDescent="0.3">
      <c r="B2634" s="10">
        <f t="shared" si="82"/>
        <v>2016</v>
      </c>
      <c r="C2634" s="10">
        <f t="shared" si="83"/>
        <v>4</v>
      </c>
      <c r="D2634" s="20">
        <v>42465</v>
      </c>
      <c r="E2634">
        <v>356.75</v>
      </c>
      <c r="F2634">
        <v>904.75</v>
      </c>
      <c r="G2634">
        <v>268.7</v>
      </c>
      <c r="H2634">
        <v>474</v>
      </c>
      <c r="I2634">
        <v>33.99</v>
      </c>
      <c r="J2634">
        <v>3.6795</v>
      </c>
    </row>
    <row r="2635" spans="2:10" x14ac:dyDescent="0.3">
      <c r="B2635" s="10">
        <f t="shared" si="82"/>
        <v>2016</v>
      </c>
      <c r="C2635" s="10">
        <f t="shared" si="83"/>
        <v>4</v>
      </c>
      <c r="D2635" s="20">
        <v>42464</v>
      </c>
      <c r="E2635">
        <v>354.5</v>
      </c>
      <c r="F2635">
        <v>913.5</v>
      </c>
      <c r="G2635">
        <v>268.2</v>
      </c>
      <c r="H2635">
        <v>474.75</v>
      </c>
      <c r="I2635">
        <v>34.69</v>
      </c>
      <c r="J2635">
        <v>3.6227999999999998</v>
      </c>
    </row>
    <row r="2636" spans="2:10" x14ac:dyDescent="0.3">
      <c r="B2636" s="10">
        <f t="shared" si="82"/>
        <v>2016</v>
      </c>
      <c r="C2636" s="10">
        <f t="shared" si="83"/>
        <v>4</v>
      </c>
      <c r="D2636" s="20">
        <v>42461</v>
      </c>
      <c r="E2636">
        <v>354</v>
      </c>
      <c r="F2636">
        <v>918.25</v>
      </c>
      <c r="G2636">
        <v>272.3</v>
      </c>
      <c r="H2636">
        <v>475.75</v>
      </c>
      <c r="I2636">
        <v>34.450000000000003</v>
      </c>
      <c r="J2636">
        <v>3.5525000000000002</v>
      </c>
    </row>
    <row r="2637" spans="2:10" x14ac:dyDescent="0.3">
      <c r="B2637" s="10">
        <f t="shared" si="82"/>
        <v>2016</v>
      </c>
      <c r="C2637" s="10">
        <f t="shared" si="83"/>
        <v>3</v>
      </c>
      <c r="D2637" s="20">
        <v>42460</v>
      </c>
      <c r="E2637">
        <v>351.5</v>
      </c>
      <c r="F2637">
        <v>910.75</v>
      </c>
      <c r="G2637">
        <v>270.3</v>
      </c>
      <c r="H2637">
        <v>473.5</v>
      </c>
      <c r="I2637">
        <v>34.22</v>
      </c>
      <c r="J2637">
        <v>3.5924999999999998</v>
      </c>
    </row>
    <row r="2638" spans="2:10" x14ac:dyDescent="0.3">
      <c r="B2638" s="10">
        <f t="shared" si="82"/>
        <v>2016</v>
      </c>
      <c r="C2638" s="10">
        <f t="shared" si="83"/>
        <v>3</v>
      </c>
      <c r="D2638" s="20">
        <v>42459</v>
      </c>
      <c r="E2638">
        <v>367</v>
      </c>
      <c r="F2638">
        <v>909</v>
      </c>
      <c r="G2638">
        <v>271.89999999999998</v>
      </c>
      <c r="H2638">
        <v>464</v>
      </c>
      <c r="I2638">
        <v>33.79</v>
      </c>
      <c r="J2638">
        <v>3.5988000000000002</v>
      </c>
    </row>
    <row r="2639" spans="2:10" x14ac:dyDescent="0.3">
      <c r="B2639" s="10">
        <f t="shared" si="82"/>
        <v>2016</v>
      </c>
      <c r="C2639" s="10">
        <f t="shared" si="83"/>
        <v>3</v>
      </c>
      <c r="D2639" s="20">
        <v>42458</v>
      </c>
      <c r="E2639">
        <v>373</v>
      </c>
      <c r="F2639">
        <v>916</v>
      </c>
      <c r="G2639">
        <v>273.2</v>
      </c>
      <c r="H2639">
        <v>476.75</v>
      </c>
      <c r="I2639">
        <v>34.049999999999997</v>
      </c>
      <c r="J2639">
        <v>3.6379000000000001</v>
      </c>
    </row>
    <row r="2640" spans="2:10" x14ac:dyDescent="0.3">
      <c r="B2640" s="10">
        <f t="shared" si="82"/>
        <v>2016</v>
      </c>
      <c r="C2640" s="10">
        <f t="shared" si="83"/>
        <v>3</v>
      </c>
      <c r="D2640" s="20">
        <v>42457</v>
      </c>
      <c r="E2640">
        <v>370.5</v>
      </c>
      <c r="F2640">
        <v>909</v>
      </c>
      <c r="G2640">
        <v>272.10000000000002</v>
      </c>
      <c r="H2640">
        <v>471</v>
      </c>
      <c r="I2640">
        <v>33.630000000000003</v>
      </c>
      <c r="J2640">
        <v>3.6269999999999998</v>
      </c>
    </row>
    <row r="2641" spans="2:10" x14ac:dyDescent="0.3">
      <c r="B2641" s="10">
        <f t="shared" si="82"/>
        <v>2016</v>
      </c>
      <c r="C2641" s="10">
        <f t="shared" si="83"/>
        <v>3</v>
      </c>
      <c r="D2641" s="20">
        <v>42454</v>
      </c>
      <c r="J2641">
        <v>3.6829999999999998</v>
      </c>
    </row>
    <row r="2642" spans="2:10" x14ac:dyDescent="0.3">
      <c r="B2642" s="10">
        <f t="shared" si="82"/>
        <v>2016</v>
      </c>
      <c r="C2642" s="10">
        <f t="shared" si="83"/>
        <v>3</v>
      </c>
      <c r="D2642" s="20">
        <v>42453</v>
      </c>
      <c r="E2642">
        <v>370</v>
      </c>
      <c r="F2642">
        <v>910.5</v>
      </c>
      <c r="G2642">
        <v>275.3</v>
      </c>
      <c r="H2642">
        <v>463</v>
      </c>
      <c r="I2642">
        <v>33.18</v>
      </c>
      <c r="J2642">
        <v>3.6756000000000002</v>
      </c>
    </row>
    <row r="2643" spans="2:10" x14ac:dyDescent="0.3">
      <c r="B2643" s="10">
        <f t="shared" si="82"/>
        <v>2016</v>
      </c>
      <c r="C2643" s="10">
        <f t="shared" si="83"/>
        <v>3</v>
      </c>
      <c r="D2643" s="20">
        <v>42452</v>
      </c>
      <c r="E2643">
        <v>368.5</v>
      </c>
      <c r="F2643">
        <v>905.25</v>
      </c>
      <c r="G2643">
        <v>270.89999999999998</v>
      </c>
      <c r="H2643">
        <v>463</v>
      </c>
      <c r="I2643">
        <v>33.36</v>
      </c>
      <c r="J2643">
        <v>3.6840999999999999</v>
      </c>
    </row>
    <row r="2644" spans="2:10" x14ac:dyDescent="0.3">
      <c r="B2644" s="10">
        <f t="shared" si="82"/>
        <v>2016</v>
      </c>
      <c r="C2644" s="10">
        <f t="shared" si="83"/>
        <v>3</v>
      </c>
      <c r="D2644" s="20">
        <v>42451</v>
      </c>
      <c r="E2644">
        <v>370</v>
      </c>
      <c r="F2644">
        <v>910.25</v>
      </c>
      <c r="G2644">
        <v>271</v>
      </c>
      <c r="H2644">
        <v>466.75</v>
      </c>
      <c r="I2644">
        <v>33.93</v>
      </c>
      <c r="J2644">
        <v>3.5806</v>
      </c>
    </row>
    <row r="2645" spans="2:10" x14ac:dyDescent="0.3">
      <c r="B2645" s="10">
        <f t="shared" si="82"/>
        <v>2016</v>
      </c>
      <c r="C2645" s="10">
        <f t="shared" si="83"/>
        <v>3</v>
      </c>
      <c r="D2645" s="20">
        <v>42450</v>
      </c>
      <c r="E2645">
        <v>369.5</v>
      </c>
      <c r="F2645">
        <v>902</v>
      </c>
      <c r="G2645">
        <v>268.8</v>
      </c>
      <c r="H2645">
        <v>466.5</v>
      </c>
      <c r="I2645">
        <v>33.58</v>
      </c>
      <c r="J2645">
        <v>3.6164999999999998</v>
      </c>
    </row>
    <row r="2646" spans="2:10" x14ac:dyDescent="0.3">
      <c r="B2646" s="10">
        <f t="shared" si="82"/>
        <v>2016</v>
      </c>
      <c r="C2646" s="10">
        <f t="shared" si="83"/>
        <v>3</v>
      </c>
      <c r="D2646" s="20">
        <v>42447</v>
      </c>
      <c r="E2646">
        <v>367</v>
      </c>
      <c r="F2646">
        <v>897.5</v>
      </c>
      <c r="G2646">
        <v>266.60000000000002</v>
      </c>
      <c r="H2646">
        <v>463</v>
      </c>
      <c r="I2646">
        <v>33.42</v>
      </c>
      <c r="J2646">
        <v>3.6225000000000001</v>
      </c>
    </row>
    <row r="2647" spans="2:10" x14ac:dyDescent="0.3">
      <c r="B2647" s="10">
        <f t="shared" si="82"/>
        <v>2016</v>
      </c>
      <c r="C2647" s="10">
        <f t="shared" si="83"/>
        <v>3</v>
      </c>
      <c r="D2647" s="20">
        <v>42446</v>
      </c>
      <c r="E2647">
        <v>368.5</v>
      </c>
      <c r="F2647">
        <v>897.75</v>
      </c>
      <c r="G2647">
        <v>267</v>
      </c>
      <c r="H2647">
        <v>462.5</v>
      </c>
      <c r="I2647">
        <v>33.409999999999997</v>
      </c>
      <c r="J2647">
        <v>3.6257999999999999</v>
      </c>
    </row>
    <row r="2648" spans="2:10" x14ac:dyDescent="0.3">
      <c r="B2648" s="10">
        <f t="shared" si="82"/>
        <v>2016</v>
      </c>
      <c r="C2648" s="10">
        <f t="shared" si="83"/>
        <v>3</v>
      </c>
      <c r="D2648" s="20">
        <v>42445</v>
      </c>
      <c r="E2648">
        <v>368.25</v>
      </c>
      <c r="F2648">
        <v>894.5</v>
      </c>
      <c r="G2648">
        <v>267.7</v>
      </c>
      <c r="H2648">
        <v>470.75</v>
      </c>
      <c r="I2648">
        <v>32.69</v>
      </c>
      <c r="J2648">
        <v>3.7414000000000001</v>
      </c>
    </row>
    <row r="2649" spans="2:10" x14ac:dyDescent="0.3">
      <c r="B2649" s="10">
        <f t="shared" si="82"/>
        <v>2016</v>
      </c>
      <c r="C2649" s="10">
        <f t="shared" si="83"/>
        <v>3</v>
      </c>
      <c r="D2649" s="20">
        <v>42444</v>
      </c>
      <c r="E2649">
        <v>368.5</v>
      </c>
      <c r="F2649">
        <v>892</v>
      </c>
      <c r="G2649">
        <v>268.2</v>
      </c>
      <c r="H2649">
        <v>477.25</v>
      </c>
      <c r="I2649">
        <v>32.49</v>
      </c>
      <c r="J2649">
        <v>3.7641</v>
      </c>
    </row>
    <row r="2650" spans="2:10" x14ac:dyDescent="0.3">
      <c r="B2650" s="10">
        <f t="shared" si="82"/>
        <v>2016</v>
      </c>
      <c r="C2650" s="10">
        <f t="shared" si="83"/>
        <v>3</v>
      </c>
      <c r="D2650" s="20">
        <v>42443</v>
      </c>
      <c r="E2650">
        <v>366.75</v>
      </c>
      <c r="F2650">
        <v>888</v>
      </c>
      <c r="G2650">
        <v>268.10000000000002</v>
      </c>
      <c r="H2650">
        <v>471.5</v>
      </c>
      <c r="I2650">
        <v>32.25</v>
      </c>
      <c r="J2650">
        <v>3.6604999999999999</v>
      </c>
    </row>
    <row r="2651" spans="2:10" x14ac:dyDescent="0.3">
      <c r="B2651" s="10">
        <f t="shared" si="82"/>
        <v>2016</v>
      </c>
      <c r="C2651" s="10">
        <f t="shared" si="83"/>
        <v>3</v>
      </c>
      <c r="D2651" s="20">
        <v>42440</v>
      </c>
      <c r="E2651">
        <v>366</v>
      </c>
      <c r="F2651">
        <v>888</v>
      </c>
      <c r="G2651">
        <v>272</v>
      </c>
      <c r="H2651">
        <v>469.75</v>
      </c>
      <c r="I2651">
        <v>31.93</v>
      </c>
      <c r="J2651">
        <v>3.5811000000000002</v>
      </c>
    </row>
    <row r="2652" spans="2:10" x14ac:dyDescent="0.3">
      <c r="B2652" s="10">
        <f t="shared" si="82"/>
        <v>2016</v>
      </c>
      <c r="C2652" s="10">
        <f t="shared" si="83"/>
        <v>3</v>
      </c>
      <c r="D2652" s="20">
        <v>42439</v>
      </c>
      <c r="E2652">
        <v>362.5</v>
      </c>
      <c r="F2652">
        <v>881.75</v>
      </c>
      <c r="G2652">
        <v>270.2</v>
      </c>
      <c r="H2652">
        <v>471.5</v>
      </c>
      <c r="I2652">
        <v>31.41</v>
      </c>
      <c r="J2652">
        <v>3.62</v>
      </c>
    </row>
    <row r="2653" spans="2:10" x14ac:dyDescent="0.3">
      <c r="B2653" s="10">
        <f t="shared" si="82"/>
        <v>2016</v>
      </c>
      <c r="C2653" s="10">
        <f t="shared" si="83"/>
        <v>3</v>
      </c>
      <c r="D2653" s="20">
        <v>42438</v>
      </c>
      <c r="E2653">
        <v>359</v>
      </c>
      <c r="F2653">
        <v>880</v>
      </c>
      <c r="G2653">
        <v>269.60000000000002</v>
      </c>
      <c r="H2653">
        <v>463.75</v>
      </c>
      <c r="I2653">
        <v>31.52</v>
      </c>
      <c r="J2653">
        <v>3.6833999999999998</v>
      </c>
    </row>
    <row r="2654" spans="2:10" x14ac:dyDescent="0.3">
      <c r="B2654" s="10">
        <f t="shared" si="82"/>
        <v>2016</v>
      </c>
      <c r="C2654" s="10">
        <f t="shared" si="83"/>
        <v>3</v>
      </c>
      <c r="D2654" s="20">
        <v>42437</v>
      </c>
      <c r="E2654">
        <v>358.75</v>
      </c>
      <c r="F2654">
        <v>877.5</v>
      </c>
      <c r="G2654">
        <v>270.8</v>
      </c>
      <c r="H2654">
        <v>461.25</v>
      </c>
      <c r="I2654">
        <v>30.92</v>
      </c>
      <c r="J2654">
        <v>3.7541000000000002</v>
      </c>
    </row>
    <row r="2655" spans="2:10" x14ac:dyDescent="0.3">
      <c r="B2655" s="10">
        <f t="shared" si="82"/>
        <v>2016</v>
      </c>
      <c r="C2655" s="10">
        <f t="shared" si="83"/>
        <v>3</v>
      </c>
      <c r="D2655" s="20">
        <v>42436</v>
      </c>
      <c r="E2655">
        <v>355</v>
      </c>
      <c r="F2655">
        <v>873.5</v>
      </c>
      <c r="G2655">
        <v>268.5</v>
      </c>
      <c r="H2655">
        <v>457.75</v>
      </c>
      <c r="I2655">
        <v>30.95</v>
      </c>
      <c r="J2655">
        <v>3.7814999999999999</v>
      </c>
    </row>
    <row r="2656" spans="2:10" x14ac:dyDescent="0.3">
      <c r="B2656" s="10">
        <f t="shared" si="82"/>
        <v>2016</v>
      </c>
      <c r="C2656" s="10">
        <f t="shared" si="83"/>
        <v>3</v>
      </c>
      <c r="D2656" s="20">
        <v>42433</v>
      </c>
      <c r="E2656">
        <v>354.5</v>
      </c>
      <c r="F2656">
        <v>870.5</v>
      </c>
      <c r="G2656">
        <v>267.7</v>
      </c>
      <c r="H2656">
        <v>454.75</v>
      </c>
      <c r="I2656">
        <v>30.73</v>
      </c>
      <c r="J2656">
        <v>3.7585999999999999</v>
      </c>
    </row>
    <row r="2657" spans="2:10" x14ac:dyDescent="0.3">
      <c r="B2657" s="10">
        <f t="shared" si="82"/>
        <v>2016</v>
      </c>
      <c r="C2657" s="10">
        <f t="shared" si="83"/>
        <v>3</v>
      </c>
      <c r="D2657" s="20">
        <v>42432</v>
      </c>
      <c r="E2657">
        <v>353.75</v>
      </c>
      <c r="F2657">
        <v>856.25</v>
      </c>
      <c r="G2657">
        <v>262</v>
      </c>
      <c r="H2657">
        <v>453.25</v>
      </c>
      <c r="I2657">
        <v>30.41</v>
      </c>
      <c r="J2657">
        <v>3.7976000000000001</v>
      </c>
    </row>
    <row r="2658" spans="2:10" x14ac:dyDescent="0.3">
      <c r="B2658" s="10">
        <f t="shared" si="82"/>
        <v>2016</v>
      </c>
      <c r="C2658" s="10">
        <f t="shared" si="83"/>
        <v>3</v>
      </c>
      <c r="D2658" s="20">
        <v>42431</v>
      </c>
      <c r="E2658">
        <v>354.5</v>
      </c>
      <c r="F2658">
        <v>854.25</v>
      </c>
      <c r="G2658">
        <v>261.2</v>
      </c>
      <c r="H2658">
        <v>442.75</v>
      </c>
      <c r="I2658">
        <v>30.17</v>
      </c>
      <c r="J2658">
        <v>3.8917000000000002</v>
      </c>
    </row>
    <row r="2659" spans="2:10" x14ac:dyDescent="0.3">
      <c r="B2659" s="10">
        <f t="shared" si="82"/>
        <v>2016</v>
      </c>
      <c r="C2659" s="10">
        <f t="shared" si="83"/>
        <v>3</v>
      </c>
      <c r="D2659" s="20">
        <v>42430</v>
      </c>
      <c r="E2659">
        <v>353.75</v>
      </c>
      <c r="F2659">
        <v>850.75</v>
      </c>
      <c r="G2659">
        <v>258.10000000000002</v>
      </c>
      <c r="H2659">
        <v>438.5</v>
      </c>
      <c r="I2659">
        <v>30.32</v>
      </c>
      <c r="J2659">
        <v>3.9260000000000002</v>
      </c>
    </row>
    <row r="2660" spans="2:10" x14ac:dyDescent="0.3">
      <c r="B2660" s="10">
        <f t="shared" si="82"/>
        <v>2016</v>
      </c>
      <c r="C2660" s="10">
        <f t="shared" si="83"/>
        <v>2</v>
      </c>
      <c r="D2660" s="20">
        <v>42429</v>
      </c>
      <c r="E2660">
        <v>353.5</v>
      </c>
      <c r="F2660">
        <v>853</v>
      </c>
      <c r="G2660">
        <v>259.3</v>
      </c>
      <c r="H2660">
        <v>445</v>
      </c>
      <c r="I2660">
        <v>30.64</v>
      </c>
      <c r="J2660">
        <v>4.0156000000000001</v>
      </c>
    </row>
    <row r="2661" spans="2:10" x14ac:dyDescent="0.3">
      <c r="B2661" s="10">
        <f t="shared" si="82"/>
        <v>2016</v>
      </c>
      <c r="C2661" s="10">
        <f t="shared" si="83"/>
        <v>2</v>
      </c>
      <c r="D2661" s="20">
        <v>42426</v>
      </c>
      <c r="E2661">
        <v>354.5</v>
      </c>
      <c r="F2661">
        <v>855</v>
      </c>
      <c r="G2661">
        <v>257.2</v>
      </c>
      <c r="H2661">
        <v>443.25</v>
      </c>
      <c r="I2661">
        <v>31.03</v>
      </c>
      <c r="J2661">
        <v>3.9925000000000002</v>
      </c>
    </row>
    <row r="2662" spans="2:10" x14ac:dyDescent="0.3">
      <c r="B2662" s="10">
        <f t="shared" si="82"/>
        <v>2016</v>
      </c>
      <c r="C2662" s="10">
        <f t="shared" si="83"/>
        <v>2</v>
      </c>
      <c r="D2662" s="20">
        <v>42425</v>
      </c>
      <c r="E2662">
        <v>355.5</v>
      </c>
      <c r="F2662">
        <v>859</v>
      </c>
      <c r="G2662">
        <v>260</v>
      </c>
      <c r="H2662">
        <v>445.25</v>
      </c>
      <c r="I2662">
        <v>30.65</v>
      </c>
      <c r="J2662">
        <v>3.9544999999999999</v>
      </c>
    </row>
    <row r="2663" spans="2:10" x14ac:dyDescent="0.3">
      <c r="B2663" s="10">
        <f t="shared" si="82"/>
        <v>2016</v>
      </c>
      <c r="C2663" s="10">
        <f t="shared" si="83"/>
        <v>2</v>
      </c>
      <c r="D2663" s="20">
        <v>42424</v>
      </c>
      <c r="E2663">
        <v>359.75</v>
      </c>
      <c r="F2663">
        <v>867.5</v>
      </c>
      <c r="G2663">
        <v>262.89999999999998</v>
      </c>
      <c r="H2663">
        <v>442.75</v>
      </c>
      <c r="I2663">
        <v>30.92</v>
      </c>
      <c r="J2663">
        <v>3.9575999999999998</v>
      </c>
    </row>
    <row r="2664" spans="2:10" x14ac:dyDescent="0.3">
      <c r="B2664" s="10">
        <f t="shared" si="82"/>
        <v>2016</v>
      </c>
      <c r="C2664" s="10">
        <f t="shared" si="83"/>
        <v>2</v>
      </c>
      <c r="D2664" s="20">
        <v>42423</v>
      </c>
      <c r="E2664">
        <v>362</v>
      </c>
      <c r="F2664">
        <v>869.25</v>
      </c>
      <c r="G2664">
        <v>263.2</v>
      </c>
      <c r="H2664">
        <v>448</v>
      </c>
      <c r="I2664">
        <v>30.75</v>
      </c>
      <c r="J2664">
        <v>3.9554</v>
      </c>
    </row>
    <row r="2665" spans="2:10" x14ac:dyDescent="0.3">
      <c r="B2665" s="10">
        <f t="shared" si="82"/>
        <v>2016</v>
      </c>
      <c r="C2665" s="10">
        <f t="shared" si="83"/>
        <v>2</v>
      </c>
      <c r="D2665" s="20">
        <v>42422</v>
      </c>
      <c r="E2665">
        <v>367.5</v>
      </c>
      <c r="F2665">
        <v>881</v>
      </c>
      <c r="G2665">
        <v>264.89999999999998</v>
      </c>
      <c r="H2665">
        <v>458.5</v>
      </c>
      <c r="I2665">
        <v>31.49</v>
      </c>
      <c r="J2665">
        <v>3.9458000000000002</v>
      </c>
    </row>
    <row r="2666" spans="2:10" x14ac:dyDescent="0.3">
      <c r="B2666" s="10">
        <f t="shared" si="82"/>
        <v>2016</v>
      </c>
      <c r="C2666" s="10">
        <f t="shared" si="83"/>
        <v>2</v>
      </c>
      <c r="D2666" s="20">
        <v>42419</v>
      </c>
      <c r="E2666">
        <v>365.5</v>
      </c>
      <c r="F2666">
        <v>878.25</v>
      </c>
      <c r="G2666">
        <v>264.5</v>
      </c>
      <c r="H2666">
        <v>461.75</v>
      </c>
      <c r="I2666">
        <v>31.39</v>
      </c>
      <c r="J2666">
        <v>4.0198999999999998</v>
      </c>
    </row>
    <row r="2667" spans="2:10" x14ac:dyDescent="0.3">
      <c r="B2667" s="10">
        <f t="shared" si="82"/>
        <v>2016</v>
      </c>
      <c r="C2667" s="10">
        <f t="shared" si="83"/>
        <v>2</v>
      </c>
      <c r="D2667" s="20">
        <v>42418</v>
      </c>
      <c r="E2667">
        <v>365.5</v>
      </c>
      <c r="F2667">
        <v>879.75</v>
      </c>
      <c r="G2667">
        <v>263.5</v>
      </c>
      <c r="H2667">
        <v>462.25</v>
      </c>
      <c r="I2667">
        <v>31.83</v>
      </c>
      <c r="J2667">
        <v>4.0269000000000004</v>
      </c>
    </row>
    <row r="2668" spans="2:10" x14ac:dyDescent="0.3">
      <c r="B2668" s="10">
        <f t="shared" si="82"/>
        <v>2016</v>
      </c>
      <c r="C2668" s="10">
        <f t="shared" si="83"/>
        <v>2</v>
      </c>
      <c r="D2668" s="20">
        <v>42417</v>
      </c>
      <c r="E2668">
        <v>367.25</v>
      </c>
      <c r="F2668">
        <v>882.5</v>
      </c>
      <c r="G2668">
        <v>263.60000000000002</v>
      </c>
      <c r="H2668">
        <v>468.5</v>
      </c>
      <c r="I2668">
        <v>31.99</v>
      </c>
      <c r="J2668">
        <v>3.9836</v>
      </c>
    </row>
    <row r="2669" spans="2:10" x14ac:dyDescent="0.3">
      <c r="B2669" s="10">
        <f t="shared" si="82"/>
        <v>2016</v>
      </c>
      <c r="C2669" s="10">
        <f t="shared" si="83"/>
        <v>2</v>
      </c>
      <c r="D2669" s="20">
        <v>42416</v>
      </c>
      <c r="E2669">
        <v>363</v>
      </c>
      <c r="F2669">
        <v>879.75</v>
      </c>
      <c r="G2669">
        <v>264.8</v>
      </c>
      <c r="H2669">
        <v>464.25</v>
      </c>
      <c r="I2669">
        <v>31.61</v>
      </c>
      <c r="J2669">
        <v>4.0708000000000002</v>
      </c>
    </row>
    <row r="2670" spans="2:10" x14ac:dyDescent="0.3">
      <c r="B2670" s="10">
        <f t="shared" si="82"/>
        <v>2016</v>
      </c>
      <c r="C2670" s="10">
        <f t="shared" si="83"/>
        <v>2</v>
      </c>
      <c r="D2670" s="20">
        <v>42415</v>
      </c>
      <c r="J2670">
        <v>4.0045000000000002</v>
      </c>
    </row>
    <row r="2671" spans="2:10" x14ac:dyDescent="0.3">
      <c r="B2671" s="10">
        <f t="shared" si="82"/>
        <v>2016</v>
      </c>
      <c r="C2671" s="10">
        <f t="shared" si="83"/>
        <v>2</v>
      </c>
      <c r="D2671" s="20">
        <v>42412</v>
      </c>
      <c r="E2671">
        <v>358.75</v>
      </c>
      <c r="F2671">
        <v>872.75</v>
      </c>
      <c r="G2671">
        <v>262</v>
      </c>
      <c r="H2671">
        <v>457.5</v>
      </c>
      <c r="I2671">
        <v>31.8</v>
      </c>
      <c r="J2671">
        <v>4.0011999999999999</v>
      </c>
    </row>
    <row r="2672" spans="2:10" x14ac:dyDescent="0.3">
      <c r="B2672" s="10">
        <f t="shared" si="82"/>
        <v>2016</v>
      </c>
      <c r="C2672" s="10">
        <f t="shared" si="83"/>
        <v>2</v>
      </c>
      <c r="D2672" s="20">
        <v>42411</v>
      </c>
      <c r="E2672">
        <v>360.25</v>
      </c>
      <c r="F2672">
        <v>873.5</v>
      </c>
      <c r="G2672">
        <v>263.7</v>
      </c>
      <c r="H2672">
        <v>458.25</v>
      </c>
      <c r="I2672">
        <v>31.59</v>
      </c>
      <c r="J2672">
        <v>3.9931000000000001</v>
      </c>
    </row>
    <row r="2673" spans="2:10" x14ac:dyDescent="0.3">
      <c r="B2673" s="10">
        <f t="shared" si="82"/>
        <v>2016</v>
      </c>
      <c r="C2673" s="10">
        <f t="shared" si="83"/>
        <v>2</v>
      </c>
      <c r="D2673" s="20">
        <v>42410</v>
      </c>
      <c r="E2673">
        <v>360.25</v>
      </c>
      <c r="F2673">
        <v>862.25</v>
      </c>
      <c r="G2673">
        <v>261</v>
      </c>
      <c r="H2673">
        <v>461.25</v>
      </c>
      <c r="I2673">
        <v>31.01</v>
      </c>
      <c r="J2673">
        <v>3.927</v>
      </c>
    </row>
    <row r="2674" spans="2:10" x14ac:dyDescent="0.3">
      <c r="B2674" s="10">
        <f t="shared" si="82"/>
        <v>2016</v>
      </c>
      <c r="C2674" s="10">
        <f t="shared" si="83"/>
        <v>2</v>
      </c>
      <c r="D2674" s="20">
        <v>42409</v>
      </c>
      <c r="E2674">
        <v>361</v>
      </c>
      <c r="F2674">
        <v>863.25</v>
      </c>
      <c r="G2674">
        <v>263.10000000000002</v>
      </c>
      <c r="H2674">
        <v>457.5</v>
      </c>
      <c r="I2674">
        <v>30.7</v>
      </c>
      <c r="J2674">
        <v>3.8841000000000001</v>
      </c>
    </row>
    <row r="2675" spans="2:10" x14ac:dyDescent="0.3">
      <c r="B2675" s="10">
        <f t="shared" si="82"/>
        <v>2016</v>
      </c>
      <c r="C2675" s="10">
        <f t="shared" si="83"/>
        <v>2</v>
      </c>
      <c r="D2675" s="20">
        <v>42408</v>
      </c>
      <c r="E2675">
        <v>362.25</v>
      </c>
      <c r="F2675">
        <v>862.5</v>
      </c>
      <c r="G2675">
        <v>264.5</v>
      </c>
      <c r="H2675">
        <v>458.5</v>
      </c>
      <c r="I2675">
        <v>30.75</v>
      </c>
      <c r="J2675">
        <v>3.8938999999999999</v>
      </c>
    </row>
    <row r="2676" spans="2:10" x14ac:dyDescent="0.3">
      <c r="B2676" s="10">
        <f t="shared" si="82"/>
        <v>2016</v>
      </c>
      <c r="C2676" s="10">
        <f t="shared" si="83"/>
        <v>2</v>
      </c>
      <c r="D2676" s="20">
        <v>42405</v>
      </c>
      <c r="E2676">
        <v>365.75</v>
      </c>
      <c r="F2676">
        <v>867.5</v>
      </c>
      <c r="G2676">
        <v>265</v>
      </c>
      <c r="H2676">
        <v>466.75</v>
      </c>
      <c r="I2676">
        <v>31.23</v>
      </c>
      <c r="J2676">
        <v>3.9020000000000001</v>
      </c>
    </row>
    <row r="2677" spans="2:10" x14ac:dyDescent="0.3">
      <c r="B2677" s="10">
        <f t="shared" si="82"/>
        <v>2016</v>
      </c>
      <c r="C2677" s="10">
        <f t="shared" si="83"/>
        <v>2</v>
      </c>
      <c r="D2677" s="20">
        <v>42404</v>
      </c>
      <c r="E2677">
        <v>368.5</v>
      </c>
      <c r="F2677">
        <v>874.5</v>
      </c>
      <c r="G2677">
        <v>267.60000000000002</v>
      </c>
      <c r="H2677">
        <v>472.75</v>
      </c>
      <c r="I2677">
        <v>31.24</v>
      </c>
      <c r="J2677">
        <v>3.8881999999999999</v>
      </c>
    </row>
    <row r="2678" spans="2:10" x14ac:dyDescent="0.3">
      <c r="B2678" s="10">
        <f t="shared" si="82"/>
        <v>2016</v>
      </c>
      <c r="C2678" s="10">
        <f t="shared" si="83"/>
        <v>2</v>
      </c>
      <c r="D2678" s="20">
        <v>42403</v>
      </c>
      <c r="E2678">
        <v>371</v>
      </c>
      <c r="F2678">
        <v>876.75</v>
      </c>
      <c r="G2678">
        <v>270.10000000000002</v>
      </c>
      <c r="H2678">
        <v>480</v>
      </c>
      <c r="I2678">
        <v>30.98</v>
      </c>
      <c r="J2678">
        <v>3.8938999999999999</v>
      </c>
    </row>
    <row r="2679" spans="2:10" x14ac:dyDescent="0.3">
      <c r="B2679" s="10">
        <f t="shared" si="82"/>
        <v>2016</v>
      </c>
      <c r="C2679" s="10">
        <f t="shared" si="83"/>
        <v>2</v>
      </c>
      <c r="D2679" s="20">
        <v>42402</v>
      </c>
      <c r="E2679">
        <v>372.5</v>
      </c>
      <c r="F2679">
        <v>886.25</v>
      </c>
      <c r="G2679">
        <v>274.60000000000002</v>
      </c>
      <c r="H2679">
        <v>475.25</v>
      </c>
      <c r="I2679">
        <v>30.79</v>
      </c>
      <c r="J2679">
        <v>3.988</v>
      </c>
    </row>
    <row r="2680" spans="2:10" x14ac:dyDescent="0.3">
      <c r="B2680" s="10">
        <f t="shared" si="82"/>
        <v>2016</v>
      </c>
      <c r="C2680" s="10">
        <f t="shared" si="83"/>
        <v>2</v>
      </c>
      <c r="D2680" s="20">
        <v>42401</v>
      </c>
      <c r="E2680">
        <v>371.25</v>
      </c>
      <c r="F2680">
        <v>880.75</v>
      </c>
      <c r="G2680">
        <v>271</v>
      </c>
      <c r="H2680">
        <v>475.25</v>
      </c>
      <c r="I2680">
        <v>30.76</v>
      </c>
      <c r="J2680">
        <v>3.9613999999999998</v>
      </c>
    </row>
    <row r="2681" spans="2:10" x14ac:dyDescent="0.3">
      <c r="B2681" s="10">
        <f t="shared" si="82"/>
        <v>2016</v>
      </c>
      <c r="C2681" s="10">
        <f t="shared" si="83"/>
        <v>1</v>
      </c>
      <c r="D2681" s="20">
        <v>42398</v>
      </c>
      <c r="E2681">
        <v>372</v>
      </c>
      <c r="F2681">
        <v>882.25</v>
      </c>
      <c r="G2681">
        <v>272.39999999999998</v>
      </c>
      <c r="H2681">
        <v>479.25</v>
      </c>
      <c r="I2681">
        <v>30.88</v>
      </c>
      <c r="J2681">
        <v>3.9973000000000001</v>
      </c>
    </row>
    <row r="2682" spans="2:10" x14ac:dyDescent="0.3">
      <c r="B2682" s="10">
        <f t="shared" si="82"/>
        <v>2016</v>
      </c>
      <c r="C2682" s="10">
        <f t="shared" si="83"/>
        <v>1</v>
      </c>
      <c r="D2682" s="20">
        <v>42397</v>
      </c>
      <c r="E2682">
        <v>365.5</v>
      </c>
      <c r="F2682">
        <v>867.75</v>
      </c>
      <c r="G2682">
        <v>266.89999999999998</v>
      </c>
      <c r="H2682">
        <v>472.25</v>
      </c>
      <c r="I2682">
        <v>30.69</v>
      </c>
      <c r="J2682">
        <v>4.0683999999999996</v>
      </c>
    </row>
    <row r="2683" spans="2:10" x14ac:dyDescent="0.3">
      <c r="B2683" s="10">
        <f t="shared" si="82"/>
        <v>2016</v>
      </c>
      <c r="C2683" s="10">
        <f t="shared" si="83"/>
        <v>1</v>
      </c>
      <c r="D2683" s="20">
        <v>42396</v>
      </c>
      <c r="E2683">
        <v>369.25</v>
      </c>
      <c r="F2683">
        <v>883</v>
      </c>
      <c r="G2683">
        <v>272.5</v>
      </c>
      <c r="H2683">
        <v>476.5</v>
      </c>
      <c r="I2683">
        <v>30.87</v>
      </c>
      <c r="J2683">
        <v>4.1062000000000003</v>
      </c>
    </row>
    <row r="2684" spans="2:10" x14ac:dyDescent="0.3">
      <c r="B2684" s="10">
        <f t="shared" si="82"/>
        <v>2016</v>
      </c>
      <c r="C2684" s="10">
        <f t="shared" si="83"/>
        <v>1</v>
      </c>
      <c r="D2684" s="20">
        <v>42395</v>
      </c>
      <c r="E2684">
        <v>369.25</v>
      </c>
      <c r="F2684">
        <v>876.5</v>
      </c>
      <c r="G2684">
        <v>269.89999999999998</v>
      </c>
      <c r="H2684">
        <v>484.75</v>
      </c>
      <c r="I2684">
        <v>30.74</v>
      </c>
      <c r="J2684">
        <v>4.0521000000000003</v>
      </c>
    </row>
    <row r="2685" spans="2:10" x14ac:dyDescent="0.3">
      <c r="B2685" s="10">
        <f t="shared" si="82"/>
        <v>2016</v>
      </c>
      <c r="C2685" s="10">
        <f t="shared" si="83"/>
        <v>1</v>
      </c>
      <c r="D2685" s="20">
        <v>42394</v>
      </c>
      <c r="E2685">
        <v>369.75</v>
      </c>
      <c r="F2685">
        <v>880.5</v>
      </c>
      <c r="G2685">
        <v>272.5</v>
      </c>
      <c r="H2685">
        <v>481.5</v>
      </c>
      <c r="I2685">
        <v>30.44</v>
      </c>
      <c r="J2685">
        <v>4.0888</v>
      </c>
    </row>
    <row r="2686" spans="2:10" x14ac:dyDescent="0.3">
      <c r="B2686" s="10">
        <f t="shared" si="82"/>
        <v>2016</v>
      </c>
      <c r="C2686" s="10">
        <f t="shared" si="83"/>
        <v>1</v>
      </c>
      <c r="D2686" s="20">
        <v>42391</v>
      </c>
      <c r="E2686">
        <v>370.25</v>
      </c>
      <c r="F2686">
        <v>876.5</v>
      </c>
      <c r="G2686">
        <v>268.5</v>
      </c>
      <c r="H2686">
        <v>475.5</v>
      </c>
      <c r="I2686">
        <v>30.5</v>
      </c>
      <c r="J2686">
        <v>4.093</v>
      </c>
    </row>
    <row r="2687" spans="2:10" x14ac:dyDescent="0.3">
      <c r="B2687" s="10">
        <f t="shared" si="82"/>
        <v>2016</v>
      </c>
      <c r="C2687" s="10">
        <f t="shared" si="83"/>
        <v>1</v>
      </c>
      <c r="D2687" s="20">
        <v>42390</v>
      </c>
      <c r="E2687">
        <v>367</v>
      </c>
      <c r="F2687">
        <v>878.5</v>
      </c>
      <c r="G2687">
        <v>272.2</v>
      </c>
      <c r="H2687">
        <v>475</v>
      </c>
      <c r="I2687">
        <v>29.94</v>
      </c>
      <c r="J2687">
        <v>4.1559999999999997</v>
      </c>
    </row>
    <row r="2688" spans="2:10" x14ac:dyDescent="0.3">
      <c r="B2688" s="10">
        <f t="shared" ref="B2688:B2751" si="84">YEAR(D2688)</f>
        <v>2016</v>
      </c>
      <c r="C2688" s="10">
        <f t="shared" ref="C2688:C2751" si="85">MONTH(D2688)</f>
        <v>1</v>
      </c>
      <c r="D2688" s="20">
        <v>42389</v>
      </c>
      <c r="E2688">
        <v>368.75</v>
      </c>
      <c r="F2688">
        <v>874</v>
      </c>
      <c r="G2688">
        <v>269.8</v>
      </c>
      <c r="H2688">
        <v>471.5</v>
      </c>
      <c r="I2688">
        <v>29.81</v>
      </c>
      <c r="J2688">
        <v>4.0956000000000001</v>
      </c>
    </row>
    <row r="2689" spans="2:10" x14ac:dyDescent="0.3">
      <c r="B2689" s="10">
        <f t="shared" si="84"/>
        <v>2016</v>
      </c>
      <c r="C2689" s="10">
        <f t="shared" si="85"/>
        <v>1</v>
      </c>
      <c r="D2689" s="20">
        <v>42388</v>
      </c>
      <c r="E2689">
        <v>367.75</v>
      </c>
      <c r="F2689">
        <v>883.5</v>
      </c>
      <c r="G2689">
        <v>271.3</v>
      </c>
      <c r="H2689">
        <v>474.5</v>
      </c>
      <c r="I2689">
        <v>30.03</v>
      </c>
      <c r="J2689">
        <v>4.0610999999999997</v>
      </c>
    </row>
    <row r="2690" spans="2:10" x14ac:dyDescent="0.3">
      <c r="B2690" s="10">
        <f t="shared" si="84"/>
        <v>2016</v>
      </c>
      <c r="C2690" s="10">
        <f t="shared" si="85"/>
        <v>1</v>
      </c>
      <c r="D2690" s="20">
        <v>42387</v>
      </c>
      <c r="J2690">
        <v>4.0541999999999998</v>
      </c>
    </row>
    <row r="2691" spans="2:10" x14ac:dyDescent="0.3">
      <c r="B2691" s="10">
        <f t="shared" si="84"/>
        <v>2016</v>
      </c>
      <c r="C2691" s="10">
        <f t="shared" si="85"/>
        <v>1</v>
      </c>
      <c r="D2691" s="20">
        <v>42384</v>
      </c>
      <c r="E2691">
        <v>363.25</v>
      </c>
      <c r="F2691">
        <v>879</v>
      </c>
      <c r="G2691">
        <v>270.7</v>
      </c>
      <c r="H2691">
        <v>473.75</v>
      </c>
      <c r="I2691">
        <v>29.65</v>
      </c>
      <c r="J2691">
        <v>4.0464000000000002</v>
      </c>
    </row>
    <row r="2692" spans="2:10" x14ac:dyDescent="0.3">
      <c r="B2692" s="10">
        <f t="shared" si="84"/>
        <v>2016</v>
      </c>
      <c r="C2692" s="10">
        <f t="shared" si="85"/>
        <v>1</v>
      </c>
      <c r="D2692" s="20">
        <v>42383</v>
      </c>
      <c r="E2692">
        <v>358</v>
      </c>
      <c r="F2692">
        <v>896</v>
      </c>
      <c r="G2692">
        <v>269.7</v>
      </c>
      <c r="H2692">
        <v>468.75</v>
      </c>
      <c r="I2692">
        <v>29.68</v>
      </c>
      <c r="J2692">
        <v>3.9981</v>
      </c>
    </row>
    <row r="2693" spans="2:10" x14ac:dyDescent="0.3">
      <c r="B2693" s="10">
        <f t="shared" si="84"/>
        <v>2016</v>
      </c>
      <c r="C2693" s="10">
        <f t="shared" si="85"/>
        <v>1</v>
      </c>
      <c r="D2693" s="20">
        <v>42382</v>
      </c>
      <c r="E2693">
        <v>358</v>
      </c>
      <c r="F2693">
        <v>899</v>
      </c>
      <c r="G2693">
        <v>272.89999999999998</v>
      </c>
      <c r="H2693">
        <v>478</v>
      </c>
      <c r="I2693">
        <v>29.36</v>
      </c>
      <c r="J2693">
        <v>4.0143000000000004</v>
      </c>
    </row>
    <row r="2694" spans="2:10" x14ac:dyDescent="0.3">
      <c r="B2694" s="10">
        <f t="shared" si="84"/>
        <v>2016</v>
      </c>
      <c r="C2694" s="10">
        <f t="shared" si="85"/>
        <v>1</v>
      </c>
      <c r="D2694" s="20">
        <v>42381</v>
      </c>
      <c r="E2694">
        <v>356.75</v>
      </c>
      <c r="F2694">
        <v>890.75</v>
      </c>
      <c r="G2694">
        <v>274.7</v>
      </c>
      <c r="H2694">
        <v>481.25</v>
      </c>
      <c r="I2694">
        <v>29.01</v>
      </c>
      <c r="J2694">
        <v>4.0274999999999999</v>
      </c>
    </row>
    <row r="2695" spans="2:10" x14ac:dyDescent="0.3">
      <c r="B2695" s="10">
        <f t="shared" si="84"/>
        <v>2016</v>
      </c>
      <c r="C2695" s="10">
        <f t="shared" si="85"/>
        <v>1</v>
      </c>
      <c r="D2695" s="20">
        <v>42380</v>
      </c>
      <c r="E2695">
        <v>351.75</v>
      </c>
      <c r="F2695">
        <v>881</v>
      </c>
      <c r="G2695">
        <v>268.8</v>
      </c>
      <c r="H2695">
        <v>469</v>
      </c>
      <c r="I2695">
        <v>29.08</v>
      </c>
      <c r="J2695">
        <v>4.0522</v>
      </c>
    </row>
    <row r="2696" spans="2:10" x14ac:dyDescent="0.3">
      <c r="B2696" s="10">
        <f t="shared" si="84"/>
        <v>2016</v>
      </c>
      <c r="C2696" s="10">
        <f t="shared" si="85"/>
        <v>1</v>
      </c>
      <c r="D2696" s="20">
        <v>42377</v>
      </c>
      <c r="E2696">
        <v>357</v>
      </c>
      <c r="F2696">
        <v>879.5</v>
      </c>
      <c r="G2696">
        <v>267.89999999999998</v>
      </c>
      <c r="H2696">
        <v>478.5</v>
      </c>
      <c r="I2696">
        <v>29.45</v>
      </c>
      <c r="J2696">
        <v>4.0229999999999997</v>
      </c>
    </row>
    <row r="2697" spans="2:10" x14ac:dyDescent="0.3">
      <c r="B2697" s="10">
        <f t="shared" si="84"/>
        <v>2016</v>
      </c>
      <c r="C2697" s="10">
        <f t="shared" si="85"/>
        <v>1</v>
      </c>
      <c r="D2697" s="20">
        <v>42376</v>
      </c>
      <c r="E2697">
        <v>353</v>
      </c>
      <c r="F2697">
        <v>877</v>
      </c>
      <c r="G2697">
        <v>266.2</v>
      </c>
      <c r="H2697">
        <v>468.5</v>
      </c>
      <c r="I2697">
        <v>29.44</v>
      </c>
      <c r="J2697">
        <v>4.0433000000000003</v>
      </c>
    </row>
    <row r="2698" spans="2:10" x14ac:dyDescent="0.3">
      <c r="B2698" s="10">
        <f t="shared" si="84"/>
        <v>2016</v>
      </c>
      <c r="C2698" s="10">
        <f t="shared" si="85"/>
        <v>1</v>
      </c>
      <c r="D2698" s="20">
        <v>42375</v>
      </c>
      <c r="E2698">
        <v>353.25</v>
      </c>
      <c r="F2698">
        <v>875.75</v>
      </c>
      <c r="G2698">
        <v>266.89999999999998</v>
      </c>
      <c r="H2698">
        <v>462.75</v>
      </c>
      <c r="I2698">
        <v>29.59</v>
      </c>
      <c r="J2698">
        <v>4.0228999999999999</v>
      </c>
    </row>
    <row r="2699" spans="2:10" x14ac:dyDescent="0.3">
      <c r="B2699" s="10">
        <f t="shared" si="84"/>
        <v>2016</v>
      </c>
      <c r="C2699" s="10">
        <f t="shared" si="85"/>
        <v>1</v>
      </c>
      <c r="D2699" s="20">
        <v>42374</v>
      </c>
      <c r="E2699">
        <v>353</v>
      </c>
      <c r="F2699">
        <v>867.75</v>
      </c>
      <c r="G2699">
        <v>265.3</v>
      </c>
      <c r="H2699">
        <v>461.25</v>
      </c>
      <c r="I2699">
        <v>29.63</v>
      </c>
      <c r="J2699">
        <v>4.0061999999999998</v>
      </c>
    </row>
    <row r="2700" spans="2:10" x14ac:dyDescent="0.3">
      <c r="B2700" s="10">
        <f t="shared" si="84"/>
        <v>2016</v>
      </c>
      <c r="C2700" s="10">
        <f t="shared" si="85"/>
        <v>1</v>
      </c>
      <c r="D2700" s="20">
        <v>42373</v>
      </c>
      <c r="E2700">
        <v>351.5</v>
      </c>
      <c r="F2700">
        <v>864.5</v>
      </c>
      <c r="G2700">
        <v>263.2</v>
      </c>
      <c r="H2700">
        <v>458.25</v>
      </c>
      <c r="I2700">
        <v>29.93</v>
      </c>
      <c r="J2700">
        <v>4.0387000000000004</v>
      </c>
    </row>
    <row r="2701" spans="2:10" x14ac:dyDescent="0.3">
      <c r="B2701" s="10">
        <f t="shared" si="84"/>
        <v>2016</v>
      </c>
      <c r="C2701" s="10">
        <f t="shared" si="85"/>
        <v>1</v>
      </c>
      <c r="D2701" s="20">
        <v>42370</v>
      </c>
      <c r="J2701">
        <v>3.9592999999999998</v>
      </c>
    </row>
    <row r="2702" spans="2:10" x14ac:dyDescent="0.3">
      <c r="B2702" s="10">
        <f t="shared" si="84"/>
        <v>2015</v>
      </c>
      <c r="C2702" s="10">
        <f t="shared" si="85"/>
        <v>12</v>
      </c>
      <c r="D2702" s="20">
        <v>42369</v>
      </c>
      <c r="E2702">
        <v>358.75</v>
      </c>
      <c r="F2702">
        <v>871.25</v>
      </c>
      <c r="G2702">
        <v>264.3</v>
      </c>
      <c r="H2702">
        <v>470</v>
      </c>
      <c r="I2702">
        <v>30.55</v>
      </c>
      <c r="J2702">
        <v>3.9592999999999998</v>
      </c>
    </row>
    <row r="2703" spans="2:10" x14ac:dyDescent="0.3">
      <c r="B2703" s="10">
        <f t="shared" si="84"/>
        <v>2015</v>
      </c>
      <c r="C2703" s="10">
        <f t="shared" si="85"/>
        <v>12</v>
      </c>
      <c r="D2703" s="20">
        <v>42368</v>
      </c>
      <c r="E2703">
        <v>359</v>
      </c>
      <c r="F2703">
        <v>875.5</v>
      </c>
      <c r="G2703">
        <v>265.8</v>
      </c>
      <c r="H2703">
        <v>469.75</v>
      </c>
      <c r="I2703">
        <v>30.84</v>
      </c>
      <c r="J2703">
        <v>3.9592999999999998</v>
      </c>
    </row>
    <row r="2704" spans="2:10" x14ac:dyDescent="0.3">
      <c r="B2704" s="10">
        <f t="shared" si="84"/>
        <v>2015</v>
      </c>
      <c r="C2704" s="10">
        <f t="shared" si="85"/>
        <v>12</v>
      </c>
      <c r="D2704" s="20">
        <v>42367</v>
      </c>
      <c r="E2704">
        <v>362.5</v>
      </c>
      <c r="F2704">
        <v>870</v>
      </c>
      <c r="G2704">
        <v>268.5</v>
      </c>
      <c r="H2704">
        <v>475.75</v>
      </c>
      <c r="I2704">
        <v>30.52</v>
      </c>
      <c r="J2704">
        <v>3.8639999999999999</v>
      </c>
    </row>
    <row r="2705" spans="2:10" x14ac:dyDescent="0.3">
      <c r="B2705" s="10">
        <f t="shared" si="84"/>
        <v>2015</v>
      </c>
      <c r="C2705" s="10">
        <f t="shared" si="85"/>
        <v>12</v>
      </c>
      <c r="D2705" s="20">
        <v>42366</v>
      </c>
      <c r="E2705">
        <v>361</v>
      </c>
      <c r="F2705">
        <v>865</v>
      </c>
      <c r="G2705">
        <v>267.3</v>
      </c>
      <c r="H2705">
        <v>466.5</v>
      </c>
      <c r="I2705">
        <v>30.2</v>
      </c>
      <c r="J2705">
        <v>3.8571</v>
      </c>
    </row>
    <row r="2706" spans="2:10" x14ac:dyDescent="0.3">
      <c r="B2706" s="10">
        <f t="shared" si="84"/>
        <v>2015</v>
      </c>
      <c r="C2706" s="10">
        <f t="shared" si="85"/>
        <v>12</v>
      </c>
      <c r="D2706" s="20">
        <v>42363</v>
      </c>
      <c r="J2706">
        <v>3.9447999999999999</v>
      </c>
    </row>
    <row r="2707" spans="2:10" x14ac:dyDescent="0.3">
      <c r="B2707" s="10">
        <f t="shared" si="84"/>
        <v>2015</v>
      </c>
      <c r="C2707" s="10">
        <f t="shared" si="85"/>
        <v>12</v>
      </c>
      <c r="D2707" s="20">
        <v>42362</v>
      </c>
      <c r="E2707">
        <v>364.5</v>
      </c>
      <c r="F2707">
        <v>875.25</v>
      </c>
      <c r="G2707">
        <v>269</v>
      </c>
      <c r="H2707">
        <v>467.5</v>
      </c>
      <c r="I2707">
        <v>30.87</v>
      </c>
      <c r="J2707">
        <v>3.9514999999999998</v>
      </c>
    </row>
    <row r="2708" spans="2:10" x14ac:dyDescent="0.3">
      <c r="B2708" s="10">
        <f t="shared" si="84"/>
        <v>2015</v>
      </c>
      <c r="C2708" s="10">
        <f t="shared" si="85"/>
        <v>12</v>
      </c>
      <c r="D2708" s="20">
        <v>42361</v>
      </c>
      <c r="E2708">
        <v>365.5</v>
      </c>
      <c r="F2708">
        <v>881.75</v>
      </c>
      <c r="G2708">
        <v>272.39999999999998</v>
      </c>
      <c r="H2708">
        <v>469.5</v>
      </c>
      <c r="I2708">
        <v>30.52</v>
      </c>
      <c r="J2708">
        <v>3.9403999999999999</v>
      </c>
    </row>
    <row r="2709" spans="2:10" x14ac:dyDescent="0.3">
      <c r="B2709" s="10">
        <f t="shared" si="84"/>
        <v>2015</v>
      </c>
      <c r="C2709" s="10">
        <f t="shared" si="85"/>
        <v>12</v>
      </c>
      <c r="D2709" s="20">
        <v>42360</v>
      </c>
      <c r="E2709">
        <v>366.25</v>
      </c>
      <c r="F2709">
        <v>885.25</v>
      </c>
      <c r="G2709">
        <v>276.89999999999998</v>
      </c>
      <c r="H2709">
        <v>471.75</v>
      </c>
      <c r="I2709">
        <v>30.44</v>
      </c>
      <c r="J2709">
        <v>3.9883999999999999</v>
      </c>
    </row>
    <row r="2710" spans="2:10" x14ac:dyDescent="0.3">
      <c r="B2710" s="10">
        <f t="shared" si="84"/>
        <v>2015</v>
      </c>
      <c r="C2710" s="10">
        <f t="shared" si="85"/>
        <v>12</v>
      </c>
      <c r="D2710" s="20">
        <v>42359</v>
      </c>
      <c r="E2710">
        <v>372</v>
      </c>
      <c r="F2710">
        <v>891.25</v>
      </c>
      <c r="G2710">
        <v>279</v>
      </c>
      <c r="H2710">
        <v>479</v>
      </c>
      <c r="I2710">
        <v>30.77</v>
      </c>
      <c r="J2710">
        <v>4.0118999999999998</v>
      </c>
    </row>
    <row r="2711" spans="2:10" x14ac:dyDescent="0.3">
      <c r="B2711" s="10">
        <f t="shared" si="84"/>
        <v>2015</v>
      </c>
      <c r="C2711" s="10">
        <f t="shared" si="85"/>
        <v>12</v>
      </c>
      <c r="D2711" s="20">
        <v>42356</v>
      </c>
      <c r="E2711">
        <v>374.5</v>
      </c>
      <c r="F2711">
        <v>892.25</v>
      </c>
      <c r="G2711">
        <v>281</v>
      </c>
      <c r="H2711">
        <v>486.75</v>
      </c>
      <c r="I2711">
        <v>30.53</v>
      </c>
      <c r="J2711">
        <v>3.9809000000000001</v>
      </c>
    </row>
    <row r="2712" spans="2:10" x14ac:dyDescent="0.3">
      <c r="B2712" s="10">
        <f t="shared" si="84"/>
        <v>2015</v>
      </c>
      <c r="C2712" s="10">
        <f t="shared" si="85"/>
        <v>12</v>
      </c>
      <c r="D2712" s="20">
        <v>42355</v>
      </c>
      <c r="E2712">
        <v>374.25</v>
      </c>
      <c r="F2712">
        <v>877</v>
      </c>
      <c r="G2712">
        <v>275.89999999999998</v>
      </c>
      <c r="H2712">
        <v>484</v>
      </c>
      <c r="I2712">
        <v>30.07</v>
      </c>
      <c r="J2712">
        <v>3.8780999999999999</v>
      </c>
    </row>
    <row r="2713" spans="2:10" x14ac:dyDescent="0.3">
      <c r="B2713" s="10">
        <f t="shared" si="84"/>
        <v>2015</v>
      </c>
      <c r="C2713" s="10">
        <f t="shared" si="85"/>
        <v>12</v>
      </c>
      <c r="D2713" s="20">
        <v>42354</v>
      </c>
      <c r="E2713">
        <v>369.75</v>
      </c>
      <c r="F2713">
        <v>862.5</v>
      </c>
      <c r="G2713">
        <v>269.89999999999998</v>
      </c>
      <c r="H2713">
        <v>483.5</v>
      </c>
      <c r="I2713">
        <v>30.37</v>
      </c>
      <c r="J2713">
        <v>3.8833000000000002</v>
      </c>
    </row>
    <row r="2714" spans="2:10" x14ac:dyDescent="0.3">
      <c r="B2714" s="10">
        <f t="shared" si="84"/>
        <v>2015</v>
      </c>
      <c r="C2714" s="10">
        <f t="shared" si="85"/>
        <v>12</v>
      </c>
      <c r="D2714" s="20">
        <v>42353</v>
      </c>
      <c r="E2714">
        <v>377.25</v>
      </c>
      <c r="F2714">
        <v>867.25</v>
      </c>
      <c r="G2714">
        <v>271.8</v>
      </c>
      <c r="H2714">
        <v>494.25</v>
      </c>
      <c r="I2714">
        <v>30.7</v>
      </c>
      <c r="J2714">
        <v>3.8715000000000002</v>
      </c>
    </row>
    <row r="2715" spans="2:10" x14ac:dyDescent="0.3">
      <c r="B2715" s="10">
        <f t="shared" si="84"/>
        <v>2015</v>
      </c>
      <c r="C2715" s="10">
        <f t="shared" si="85"/>
        <v>12</v>
      </c>
      <c r="D2715" s="20">
        <v>42352</v>
      </c>
      <c r="E2715">
        <v>381.75</v>
      </c>
      <c r="F2715">
        <v>874.25</v>
      </c>
      <c r="G2715">
        <v>277.8</v>
      </c>
      <c r="H2715">
        <v>487.75</v>
      </c>
      <c r="I2715">
        <v>31.3</v>
      </c>
      <c r="J2715">
        <v>3.8763999999999998</v>
      </c>
    </row>
    <row r="2716" spans="2:10" x14ac:dyDescent="0.3">
      <c r="B2716" s="10">
        <f t="shared" si="84"/>
        <v>2015</v>
      </c>
      <c r="C2716" s="10">
        <f t="shared" si="85"/>
        <v>12</v>
      </c>
      <c r="D2716" s="20">
        <v>42349</v>
      </c>
      <c r="E2716">
        <v>373</v>
      </c>
      <c r="F2716">
        <v>870.75</v>
      </c>
      <c r="G2716">
        <v>272.2</v>
      </c>
      <c r="H2716">
        <v>482.75</v>
      </c>
      <c r="I2716">
        <v>31.08</v>
      </c>
      <c r="J2716">
        <v>3.8715000000000002</v>
      </c>
    </row>
    <row r="2717" spans="2:10" x14ac:dyDescent="0.3">
      <c r="B2717" s="10">
        <f t="shared" si="84"/>
        <v>2015</v>
      </c>
      <c r="C2717" s="10">
        <f t="shared" si="85"/>
        <v>12</v>
      </c>
      <c r="D2717" s="20">
        <v>42348</v>
      </c>
      <c r="E2717">
        <v>377.25</v>
      </c>
      <c r="F2717">
        <v>878.25</v>
      </c>
      <c r="G2717">
        <v>274.2</v>
      </c>
      <c r="H2717">
        <v>484.5</v>
      </c>
      <c r="I2717">
        <v>31.51</v>
      </c>
      <c r="J2717">
        <v>3.8111000000000002</v>
      </c>
    </row>
    <row r="2718" spans="2:10" x14ac:dyDescent="0.3">
      <c r="B2718" s="10">
        <f t="shared" si="84"/>
        <v>2015</v>
      </c>
      <c r="C2718" s="10">
        <f t="shared" si="85"/>
        <v>12</v>
      </c>
      <c r="D2718" s="20">
        <v>42347</v>
      </c>
      <c r="E2718">
        <v>371.75</v>
      </c>
      <c r="F2718">
        <v>876.75</v>
      </c>
      <c r="G2718">
        <v>278.8</v>
      </c>
      <c r="H2718">
        <v>478</v>
      </c>
      <c r="I2718">
        <v>30.86</v>
      </c>
      <c r="J2718">
        <v>3.7486999999999999</v>
      </c>
    </row>
    <row r="2719" spans="2:10" x14ac:dyDescent="0.3">
      <c r="B2719" s="10">
        <f t="shared" si="84"/>
        <v>2015</v>
      </c>
      <c r="C2719" s="10">
        <f t="shared" si="85"/>
        <v>12</v>
      </c>
      <c r="D2719" s="20">
        <v>42346</v>
      </c>
      <c r="E2719">
        <v>370</v>
      </c>
      <c r="F2719">
        <v>876.75</v>
      </c>
      <c r="G2719">
        <v>276.60000000000002</v>
      </c>
      <c r="H2719">
        <v>470.75</v>
      </c>
      <c r="I2719">
        <v>31.23</v>
      </c>
      <c r="J2719">
        <v>3.7947000000000002</v>
      </c>
    </row>
    <row r="2720" spans="2:10" x14ac:dyDescent="0.3">
      <c r="B2720" s="10">
        <f t="shared" si="84"/>
        <v>2015</v>
      </c>
      <c r="C2720" s="10">
        <f t="shared" si="85"/>
        <v>12</v>
      </c>
      <c r="D2720" s="20">
        <v>42345</v>
      </c>
      <c r="E2720">
        <v>368.5</v>
      </c>
      <c r="F2720">
        <v>882.25</v>
      </c>
      <c r="G2720">
        <v>278.89999999999998</v>
      </c>
      <c r="H2720">
        <v>470.25</v>
      </c>
      <c r="I2720">
        <v>30.98</v>
      </c>
      <c r="J2720">
        <v>3.7665999999999999</v>
      </c>
    </row>
    <row r="2721" spans="2:10" x14ac:dyDescent="0.3">
      <c r="B2721" s="10">
        <f t="shared" si="84"/>
        <v>2015</v>
      </c>
      <c r="C2721" s="10">
        <f t="shared" si="85"/>
        <v>12</v>
      </c>
      <c r="D2721" s="20">
        <v>42342</v>
      </c>
      <c r="E2721">
        <v>376.25</v>
      </c>
      <c r="F2721">
        <v>906</v>
      </c>
      <c r="G2721">
        <v>285.10000000000002</v>
      </c>
      <c r="H2721">
        <v>471.25</v>
      </c>
      <c r="I2721">
        <v>31.8</v>
      </c>
      <c r="J2721">
        <v>3.7505999999999999</v>
      </c>
    </row>
    <row r="2722" spans="2:10" x14ac:dyDescent="0.3">
      <c r="B2722" s="10">
        <f t="shared" si="84"/>
        <v>2015</v>
      </c>
      <c r="C2722" s="10">
        <f t="shared" si="85"/>
        <v>12</v>
      </c>
      <c r="D2722" s="20">
        <v>42341</v>
      </c>
      <c r="E2722">
        <v>370.25</v>
      </c>
      <c r="F2722">
        <v>897.5</v>
      </c>
      <c r="G2722">
        <v>287.10000000000002</v>
      </c>
      <c r="H2722">
        <v>464.75</v>
      </c>
      <c r="I2722">
        <v>30.59</v>
      </c>
      <c r="J2722">
        <v>3.7581000000000002</v>
      </c>
    </row>
    <row r="2723" spans="2:10" x14ac:dyDescent="0.3">
      <c r="B2723" s="10">
        <f t="shared" si="84"/>
        <v>2015</v>
      </c>
      <c r="C2723" s="10">
        <f t="shared" si="85"/>
        <v>12</v>
      </c>
      <c r="D2723" s="20">
        <v>42340</v>
      </c>
      <c r="E2723">
        <v>364</v>
      </c>
      <c r="F2723">
        <v>892.25</v>
      </c>
      <c r="G2723">
        <v>286.3</v>
      </c>
      <c r="H2723">
        <v>452.25</v>
      </c>
      <c r="I2723">
        <v>30.27</v>
      </c>
      <c r="J2723">
        <v>3.8336999999999999</v>
      </c>
    </row>
    <row r="2724" spans="2:10" x14ac:dyDescent="0.3">
      <c r="B2724" s="10">
        <f t="shared" si="84"/>
        <v>2015</v>
      </c>
      <c r="C2724" s="10">
        <f t="shared" si="85"/>
        <v>12</v>
      </c>
      <c r="D2724" s="20">
        <v>42339</v>
      </c>
      <c r="E2724">
        <v>367</v>
      </c>
      <c r="F2724">
        <v>889.25</v>
      </c>
      <c r="G2724">
        <v>285.7</v>
      </c>
      <c r="H2724">
        <v>456.5</v>
      </c>
      <c r="I2724">
        <v>29.78</v>
      </c>
      <c r="J2724">
        <v>3.8559999999999999</v>
      </c>
    </row>
    <row r="2725" spans="2:10" x14ac:dyDescent="0.3">
      <c r="B2725" s="10">
        <f t="shared" si="84"/>
        <v>2015</v>
      </c>
      <c r="C2725" s="10">
        <f t="shared" si="85"/>
        <v>11</v>
      </c>
      <c r="D2725" s="20">
        <v>42338</v>
      </c>
      <c r="E2725">
        <v>365</v>
      </c>
      <c r="F2725">
        <v>881</v>
      </c>
      <c r="G2725">
        <v>284.60000000000002</v>
      </c>
      <c r="H2725">
        <v>460</v>
      </c>
      <c r="I2725">
        <v>29.1</v>
      </c>
      <c r="J2725">
        <v>3.8675000000000002</v>
      </c>
    </row>
    <row r="2726" spans="2:10" x14ac:dyDescent="0.3">
      <c r="B2726" s="10">
        <f t="shared" si="84"/>
        <v>2015</v>
      </c>
      <c r="C2726" s="10">
        <f t="shared" si="85"/>
        <v>11</v>
      </c>
      <c r="D2726" s="20">
        <v>42335</v>
      </c>
      <c r="E2726">
        <v>359.25</v>
      </c>
      <c r="F2726">
        <v>873</v>
      </c>
      <c r="G2726">
        <v>282.39999999999998</v>
      </c>
      <c r="H2726">
        <v>465.75</v>
      </c>
      <c r="I2726">
        <v>28.75</v>
      </c>
      <c r="J2726">
        <v>3.8449</v>
      </c>
    </row>
    <row r="2727" spans="2:10" x14ac:dyDescent="0.3">
      <c r="B2727" s="10">
        <f t="shared" si="84"/>
        <v>2015</v>
      </c>
      <c r="C2727" s="10">
        <f t="shared" si="85"/>
        <v>11</v>
      </c>
      <c r="D2727" s="20">
        <v>42334</v>
      </c>
      <c r="J2727">
        <v>3.7418999999999998</v>
      </c>
    </row>
    <row r="2728" spans="2:10" x14ac:dyDescent="0.3">
      <c r="B2728" s="10">
        <f t="shared" si="84"/>
        <v>2015</v>
      </c>
      <c r="C2728" s="10">
        <f t="shared" si="85"/>
        <v>11</v>
      </c>
      <c r="D2728" s="20">
        <v>42333</v>
      </c>
      <c r="E2728">
        <v>366</v>
      </c>
      <c r="F2728">
        <v>875.25</v>
      </c>
      <c r="G2728">
        <v>284.8</v>
      </c>
      <c r="H2728">
        <v>479.25</v>
      </c>
      <c r="I2728">
        <v>28.89</v>
      </c>
      <c r="J2728">
        <v>3.7410000000000001</v>
      </c>
    </row>
    <row r="2729" spans="2:10" x14ac:dyDescent="0.3">
      <c r="B2729" s="10">
        <f t="shared" si="84"/>
        <v>2015</v>
      </c>
      <c r="C2729" s="10">
        <f t="shared" si="85"/>
        <v>11</v>
      </c>
      <c r="D2729" s="20">
        <v>42332</v>
      </c>
      <c r="E2729">
        <v>364.25</v>
      </c>
      <c r="F2729">
        <v>863.75</v>
      </c>
      <c r="G2729">
        <v>283.8</v>
      </c>
      <c r="H2729">
        <v>484.25</v>
      </c>
      <c r="I2729">
        <v>28.31</v>
      </c>
      <c r="J2729">
        <v>3.6985000000000001</v>
      </c>
    </row>
    <row r="2730" spans="2:10" x14ac:dyDescent="0.3">
      <c r="B2730" s="10">
        <f t="shared" si="84"/>
        <v>2015</v>
      </c>
      <c r="C2730" s="10">
        <f t="shared" si="85"/>
        <v>11</v>
      </c>
      <c r="D2730" s="20">
        <v>42331</v>
      </c>
      <c r="E2730">
        <v>367.25</v>
      </c>
      <c r="F2730">
        <v>864.25</v>
      </c>
      <c r="G2730">
        <v>285.3</v>
      </c>
      <c r="H2730">
        <v>495</v>
      </c>
      <c r="I2730">
        <v>27.91</v>
      </c>
      <c r="J2730">
        <v>3.7315</v>
      </c>
    </row>
    <row r="2731" spans="2:10" x14ac:dyDescent="0.3">
      <c r="B2731" s="10">
        <f t="shared" si="84"/>
        <v>2015</v>
      </c>
      <c r="C2731" s="10">
        <f t="shared" si="85"/>
        <v>11</v>
      </c>
      <c r="D2731" s="20">
        <v>42328</v>
      </c>
      <c r="E2731">
        <v>363.25</v>
      </c>
      <c r="F2731">
        <v>857.5</v>
      </c>
      <c r="G2731">
        <v>283</v>
      </c>
      <c r="H2731">
        <v>488.5</v>
      </c>
      <c r="I2731">
        <v>27.9</v>
      </c>
      <c r="J2731">
        <v>3.7037</v>
      </c>
    </row>
    <row r="2732" spans="2:10" x14ac:dyDescent="0.3">
      <c r="B2732" s="10">
        <f t="shared" si="84"/>
        <v>2015</v>
      </c>
      <c r="C2732" s="10">
        <f t="shared" si="85"/>
        <v>11</v>
      </c>
      <c r="D2732" s="20">
        <v>42327</v>
      </c>
      <c r="E2732">
        <v>364.25</v>
      </c>
      <c r="F2732">
        <v>860</v>
      </c>
      <c r="G2732">
        <v>286.60000000000002</v>
      </c>
      <c r="H2732">
        <v>490.75</v>
      </c>
      <c r="I2732">
        <v>27.55</v>
      </c>
      <c r="J2732">
        <v>3.7166000000000001</v>
      </c>
    </row>
    <row r="2733" spans="2:10" x14ac:dyDescent="0.3">
      <c r="B2733" s="10">
        <f t="shared" si="84"/>
        <v>2015</v>
      </c>
      <c r="C2733" s="10">
        <f t="shared" si="85"/>
        <v>11</v>
      </c>
      <c r="D2733" s="20">
        <v>42326</v>
      </c>
      <c r="E2733">
        <v>361.75</v>
      </c>
      <c r="F2733">
        <v>857.75</v>
      </c>
      <c r="G2733">
        <v>285.60000000000002</v>
      </c>
      <c r="H2733">
        <v>483.25</v>
      </c>
      <c r="I2733">
        <v>27.44</v>
      </c>
      <c r="J2733">
        <v>3.7652999999999999</v>
      </c>
    </row>
    <row r="2734" spans="2:10" x14ac:dyDescent="0.3">
      <c r="B2734" s="10">
        <f t="shared" si="84"/>
        <v>2015</v>
      </c>
      <c r="C2734" s="10">
        <f t="shared" si="85"/>
        <v>11</v>
      </c>
      <c r="D2734" s="20">
        <v>42325</v>
      </c>
      <c r="E2734">
        <v>362</v>
      </c>
      <c r="F2734">
        <v>864</v>
      </c>
      <c r="G2734">
        <v>288.5</v>
      </c>
      <c r="H2734">
        <v>487.5</v>
      </c>
      <c r="I2734">
        <v>27.47</v>
      </c>
      <c r="J2734">
        <v>3.8090000000000002</v>
      </c>
    </row>
    <row r="2735" spans="2:10" x14ac:dyDescent="0.3">
      <c r="B2735" s="10">
        <f t="shared" si="84"/>
        <v>2015</v>
      </c>
      <c r="C2735" s="10">
        <f t="shared" si="85"/>
        <v>11</v>
      </c>
      <c r="D2735" s="20">
        <v>42324</v>
      </c>
      <c r="E2735">
        <v>360</v>
      </c>
      <c r="F2735">
        <v>859.5</v>
      </c>
      <c r="G2735">
        <v>288.8</v>
      </c>
      <c r="H2735">
        <v>494</v>
      </c>
      <c r="I2735">
        <v>27.29</v>
      </c>
      <c r="J2735">
        <v>3.8191999999999999</v>
      </c>
    </row>
    <row r="2736" spans="2:10" x14ac:dyDescent="0.3">
      <c r="B2736" s="10">
        <f t="shared" si="84"/>
        <v>2015</v>
      </c>
      <c r="C2736" s="10">
        <f t="shared" si="85"/>
        <v>11</v>
      </c>
      <c r="D2736" s="20">
        <v>42321</v>
      </c>
      <c r="E2736">
        <v>358.25</v>
      </c>
      <c r="F2736">
        <v>859</v>
      </c>
      <c r="G2736">
        <v>288.8</v>
      </c>
      <c r="H2736">
        <v>495.75</v>
      </c>
      <c r="I2736">
        <v>27.04</v>
      </c>
      <c r="J2736">
        <v>3.8441000000000001</v>
      </c>
    </row>
    <row r="2737" spans="2:10" x14ac:dyDescent="0.3">
      <c r="B2737" s="10">
        <f t="shared" si="84"/>
        <v>2015</v>
      </c>
      <c r="C2737" s="10">
        <f t="shared" si="85"/>
        <v>11</v>
      </c>
      <c r="D2737" s="20">
        <v>42320</v>
      </c>
      <c r="E2737">
        <v>362</v>
      </c>
      <c r="F2737">
        <v>869.25</v>
      </c>
      <c r="G2737">
        <v>291.39999999999998</v>
      </c>
      <c r="H2737">
        <v>498</v>
      </c>
      <c r="I2737">
        <v>27.44</v>
      </c>
      <c r="J2737">
        <v>3.7707000000000002</v>
      </c>
    </row>
    <row r="2738" spans="2:10" x14ac:dyDescent="0.3">
      <c r="B2738" s="10">
        <f t="shared" si="84"/>
        <v>2015</v>
      </c>
      <c r="C2738" s="10">
        <f t="shared" si="85"/>
        <v>11</v>
      </c>
      <c r="D2738" s="20">
        <v>42319</v>
      </c>
      <c r="E2738">
        <v>362.25</v>
      </c>
      <c r="F2738">
        <v>868.5</v>
      </c>
      <c r="G2738">
        <v>294</v>
      </c>
      <c r="H2738">
        <v>494.75</v>
      </c>
      <c r="I2738">
        <v>27.18</v>
      </c>
      <c r="J2738">
        <v>3.7624</v>
      </c>
    </row>
    <row r="2739" spans="2:10" x14ac:dyDescent="0.3">
      <c r="B2739" s="10">
        <f t="shared" si="84"/>
        <v>2015</v>
      </c>
      <c r="C2739" s="10">
        <f t="shared" si="85"/>
        <v>11</v>
      </c>
      <c r="D2739" s="20">
        <v>42318</v>
      </c>
      <c r="E2739">
        <v>359</v>
      </c>
      <c r="F2739">
        <v>864.5</v>
      </c>
      <c r="G2739">
        <v>292.2</v>
      </c>
      <c r="H2739">
        <v>490.75</v>
      </c>
      <c r="I2739">
        <v>27.27</v>
      </c>
      <c r="J2739">
        <v>3.7507000000000001</v>
      </c>
    </row>
    <row r="2740" spans="2:10" x14ac:dyDescent="0.3">
      <c r="B2740" s="10">
        <f t="shared" si="84"/>
        <v>2015</v>
      </c>
      <c r="C2740" s="10">
        <f t="shared" si="85"/>
        <v>11</v>
      </c>
      <c r="D2740" s="20">
        <v>42317</v>
      </c>
      <c r="E2740">
        <v>366.75</v>
      </c>
      <c r="F2740">
        <v>873.5</v>
      </c>
      <c r="G2740">
        <v>295</v>
      </c>
      <c r="H2740">
        <v>501.75</v>
      </c>
      <c r="I2740">
        <v>27.77</v>
      </c>
      <c r="J2740">
        <v>3.7988</v>
      </c>
    </row>
    <row r="2741" spans="2:10" x14ac:dyDescent="0.3">
      <c r="B2741" s="10">
        <f t="shared" si="84"/>
        <v>2015</v>
      </c>
      <c r="C2741" s="10">
        <f t="shared" si="85"/>
        <v>11</v>
      </c>
      <c r="D2741" s="20">
        <v>42314</v>
      </c>
      <c r="E2741">
        <v>373</v>
      </c>
      <c r="F2741">
        <v>871.25</v>
      </c>
      <c r="G2741">
        <v>295.7</v>
      </c>
      <c r="H2741">
        <v>523.25</v>
      </c>
      <c r="I2741">
        <v>28.04</v>
      </c>
      <c r="J2741">
        <v>3.7698</v>
      </c>
    </row>
    <row r="2742" spans="2:10" x14ac:dyDescent="0.3">
      <c r="B2742" s="10">
        <f t="shared" si="84"/>
        <v>2015</v>
      </c>
      <c r="C2742" s="10">
        <f t="shared" si="85"/>
        <v>11</v>
      </c>
      <c r="D2742" s="20">
        <v>42313</v>
      </c>
      <c r="E2742">
        <v>374.5</v>
      </c>
      <c r="F2742">
        <v>867.75</v>
      </c>
      <c r="G2742">
        <v>296.39999999999998</v>
      </c>
      <c r="H2742">
        <v>526.25</v>
      </c>
      <c r="I2742">
        <v>27.83</v>
      </c>
      <c r="J2742">
        <v>3.7797999999999998</v>
      </c>
    </row>
    <row r="2743" spans="2:10" x14ac:dyDescent="0.3">
      <c r="B2743" s="10">
        <f t="shared" si="84"/>
        <v>2015</v>
      </c>
      <c r="C2743" s="10">
        <f t="shared" si="85"/>
        <v>11</v>
      </c>
      <c r="D2743" s="20">
        <v>42312</v>
      </c>
      <c r="E2743">
        <v>380.5</v>
      </c>
      <c r="F2743">
        <v>882</v>
      </c>
      <c r="G2743">
        <v>301.8</v>
      </c>
      <c r="H2743">
        <v>526.25</v>
      </c>
      <c r="I2743">
        <v>28.5</v>
      </c>
      <c r="J2743">
        <v>3.8001</v>
      </c>
    </row>
    <row r="2744" spans="2:10" x14ac:dyDescent="0.3">
      <c r="B2744" s="10">
        <f t="shared" si="84"/>
        <v>2015</v>
      </c>
      <c r="C2744" s="10">
        <f t="shared" si="85"/>
        <v>11</v>
      </c>
      <c r="D2744" s="20">
        <v>42311</v>
      </c>
      <c r="E2744">
        <v>380.5</v>
      </c>
      <c r="F2744">
        <v>878.5</v>
      </c>
      <c r="G2744">
        <v>301.3</v>
      </c>
      <c r="H2744">
        <v>516.5</v>
      </c>
      <c r="I2744">
        <v>28.15</v>
      </c>
      <c r="J2744">
        <v>3.7696999999999998</v>
      </c>
    </row>
    <row r="2745" spans="2:10" x14ac:dyDescent="0.3">
      <c r="B2745" s="10">
        <f t="shared" si="84"/>
        <v>2015</v>
      </c>
      <c r="C2745" s="10">
        <f t="shared" si="85"/>
        <v>11</v>
      </c>
      <c r="D2745" s="20">
        <v>42310</v>
      </c>
      <c r="E2745">
        <v>376.5</v>
      </c>
      <c r="F2745">
        <v>877.75</v>
      </c>
      <c r="G2745">
        <v>302.2</v>
      </c>
      <c r="H2745">
        <v>508</v>
      </c>
      <c r="I2745">
        <v>27.85</v>
      </c>
      <c r="J2745">
        <v>3.8492000000000002</v>
      </c>
    </row>
    <row r="2746" spans="2:10" x14ac:dyDescent="0.3">
      <c r="B2746" s="10">
        <f t="shared" si="84"/>
        <v>2015</v>
      </c>
      <c r="C2746" s="10">
        <f t="shared" si="85"/>
        <v>10</v>
      </c>
      <c r="D2746" s="20">
        <v>42307</v>
      </c>
      <c r="E2746">
        <v>382.25</v>
      </c>
      <c r="F2746">
        <v>883.75</v>
      </c>
      <c r="G2746">
        <v>304.39999999999998</v>
      </c>
      <c r="H2746">
        <v>522</v>
      </c>
      <c r="I2746">
        <v>28.2</v>
      </c>
      <c r="J2746">
        <v>3.8561999999999999</v>
      </c>
    </row>
    <row r="2747" spans="2:10" x14ac:dyDescent="0.3">
      <c r="B2747" s="10">
        <f t="shared" si="84"/>
        <v>2015</v>
      </c>
      <c r="C2747" s="10">
        <f t="shared" si="85"/>
        <v>10</v>
      </c>
      <c r="D2747" s="20">
        <v>42306</v>
      </c>
      <c r="E2747">
        <v>380</v>
      </c>
      <c r="F2747">
        <v>878.75</v>
      </c>
      <c r="G2747">
        <v>301.60000000000002</v>
      </c>
      <c r="H2747">
        <v>515</v>
      </c>
      <c r="I2747">
        <v>27.88</v>
      </c>
      <c r="J2747">
        <v>3.8494000000000002</v>
      </c>
    </row>
    <row r="2748" spans="2:10" x14ac:dyDescent="0.3">
      <c r="B2748" s="10">
        <f t="shared" si="84"/>
        <v>2015</v>
      </c>
      <c r="C2748" s="10">
        <f t="shared" si="85"/>
        <v>10</v>
      </c>
      <c r="D2748" s="20">
        <v>42305</v>
      </c>
      <c r="E2748">
        <v>376</v>
      </c>
      <c r="F2748">
        <v>881.5</v>
      </c>
      <c r="G2748">
        <v>299.89999999999998</v>
      </c>
      <c r="H2748">
        <v>506</v>
      </c>
      <c r="I2748">
        <v>28.11</v>
      </c>
      <c r="J2748">
        <v>3.9079000000000002</v>
      </c>
    </row>
    <row r="2749" spans="2:10" x14ac:dyDescent="0.3">
      <c r="B2749" s="10">
        <f t="shared" si="84"/>
        <v>2015</v>
      </c>
      <c r="C2749" s="10">
        <f t="shared" si="85"/>
        <v>10</v>
      </c>
      <c r="D2749" s="20">
        <v>42304</v>
      </c>
      <c r="E2749">
        <v>380</v>
      </c>
      <c r="F2749">
        <v>891.25</v>
      </c>
      <c r="G2749">
        <v>304.7</v>
      </c>
      <c r="H2749">
        <v>509.25</v>
      </c>
      <c r="I2749">
        <v>27.89</v>
      </c>
      <c r="J2749">
        <v>3.8868</v>
      </c>
    </row>
    <row r="2750" spans="2:10" x14ac:dyDescent="0.3">
      <c r="B2750" s="10">
        <f t="shared" si="84"/>
        <v>2015</v>
      </c>
      <c r="C2750" s="10">
        <f t="shared" si="85"/>
        <v>10</v>
      </c>
      <c r="D2750" s="20">
        <v>42303</v>
      </c>
      <c r="E2750">
        <v>384.5</v>
      </c>
      <c r="F2750">
        <v>885</v>
      </c>
      <c r="G2750">
        <v>302.2</v>
      </c>
      <c r="H2750">
        <v>509</v>
      </c>
      <c r="I2750">
        <v>27.78</v>
      </c>
      <c r="J2750">
        <v>3.9045000000000001</v>
      </c>
    </row>
    <row r="2751" spans="2:10" x14ac:dyDescent="0.3">
      <c r="B2751" s="10">
        <f t="shared" si="84"/>
        <v>2015</v>
      </c>
      <c r="C2751" s="10">
        <f t="shared" si="85"/>
        <v>10</v>
      </c>
      <c r="D2751" s="20">
        <v>42300</v>
      </c>
      <c r="E2751">
        <v>379.75</v>
      </c>
      <c r="F2751">
        <v>895.5</v>
      </c>
      <c r="G2751">
        <v>305.10000000000002</v>
      </c>
      <c r="H2751">
        <v>490.5</v>
      </c>
      <c r="I2751">
        <v>28.57</v>
      </c>
      <c r="J2751">
        <v>3.8792</v>
      </c>
    </row>
    <row r="2752" spans="2:10" x14ac:dyDescent="0.3">
      <c r="B2752" s="10">
        <f t="shared" ref="B2752:B2815" si="86">YEAR(D2752)</f>
        <v>2015</v>
      </c>
      <c r="C2752" s="10">
        <f t="shared" ref="C2752:C2815" si="87">MONTH(D2752)</f>
        <v>10</v>
      </c>
      <c r="D2752" s="20">
        <v>42299</v>
      </c>
      <c r="E2752">
        <v>378.25</v>
      </c>
      <c r="F2752">
        <v>898.75</v>
      </c>
      <c r="G2752">
        <v>307.8</v>
      </c>
      <c r="H2752">
        <v>490.75</v>
      </c>
      <c r="I2752">
        <v>28.85</v>
      </c>
      <c r="J2752">
        <v>3.9073000000000002</v>
      </c>
    </row>
    <row r="2753" spans="2:10" x14ac:dyDescent="0.3">
      <c r="B2753" s="10">
        <f t="shared" si="86"/>
        <v>2015</v>
      </c>
      <c r="C2753" s="10">
        <f t="shared" si="87"/>
        <v>10</v>
      </c>
      <c r="D2753" s="20">
        <v>42298</v>
      </c>
      <c r="E2753">
        <v>380.75</v>
      </c>
      <c r="F2753">
        <v>905.25</v>
      </c>
      <c r="G2753">
        <v>310.5</v>
      </c>
      <c r="H2753">
        <v>494.75</v>
      </c>
      <c r="I2753">
        <v>29.18</v>
      </c>
      <c r="J2753">
        <v>3.9399000000000002</v>
      </c>
    </row>
    <row r="2754" spans="2:10" x14ac:dyDescent="0.3">
      <c r="B2754" s="10">
        <f t="shared" si="86"/>
        <v>2015</v>
      </c>
      <c r="C2754" s="10">
        <f t="shared" si="87"/>
        <v>10</v>
      </c>
      <c r="D2754" s="20">
        <v>42297</v>
      </c>
      <c r="E2754">
        <v>376.75</v>
      </c>
      <c r="F2754">
        <v>896</v>
      </c>
      <c r="G2754">
        <v>309.5</v>
      </c>
      <c r="H2754">
        <v>491.25</v>
      </c>
      <c r="I2754">
        <v>28.66</v>
      </c>
      <c r="J2754">
        <v>3.9058000000000002</v>
      </c>
    </row>
    <row r="2755" spans="2:10" x14ac:dyDescent="0.3">
      <c r="B2755" s="10">
        <f t="shared" si="86"/>
        <v>2015</v>
      </c>
      <c r="C2755" s="10">
        <f t="shared" si="87"/>
        <v>10</v>
      </c>
      <c r="D2755" s="20">
        <v>42296</v>
      </c>
      <c r="E2755">
        <v>373</v>
      </c>
      <c r="F2755">
        <v>891</v>
      </c>
      <c r="G2755">
        <v>310.8</v>
      </c>
      <c r="H2755">
        <v>485.75</v>
      </c>
      <c r="I2755">
        <v>28.14</v>
      </c>
      <c r="J2755">
        <v>3.8841999999999999</v>
      </c>
    </row>
    <row r="2756" spans="2:10" x14ac:dyDescent="0.3">
      <c r="B2756" s="10">
        <f t="shared" si="86"/>
        <v>2015</v>
      </c>
      <c r="C2756" s="10">
        <f t="shared" si="87"/>
        <v>10</v>
      </c>
      <c r="D2756" s="20">
        <v>42293</v>
      </c>
      <c r="E2756">
        <v>376.75</v>
      </c>
      <c r="F2756">
        <v>898.25</v>
      </c>
      <c r="G2756">
        <v>312</v>
      </c>
      <c r="H2756">
        <v>492.25</v>
      </c>
      <c r="I2756">
        <v>28.6</v>
      </c>
      <c r="J2756">
        <v>3.9237000000000002</v>
      </c>
    </row>
    <row r="2757" spans="2:10" x14ac:dyDescent="0.3">
      <c r="B2757" s="10">
        <f t="shared" si="86"/>
        <v>2015</v>
      </c>
      <c r="C2757" s="10">
        <f t="shared" si="87"/>
        <v>10</v>
      </c>
      <c r="D2757" s="20">
        <v>42292</v>
      </c>
      <c r="E2757">
        <v>375.5</v>
      </c>
      <c r="F2757">
        <v>905.25</v>
      </c>
      <c r="G2757">
        <v>314</v>
      </c>
      <c r="H2757">
        <v>502.5</v>
      </c>
      <c r="I2757">
        <v>28.58</v>
      </c>
      <c r="J2757">
        <v>3.8028</v>
      </c>
    </row>
    <row r="2758" spans="2:10" x14ac:dyDescent="0.3">
      <c r="B2758" s="10">
        <f t="shared" si="86"/>
        <v>2015</v>
      </c>
      <c r="C2758" s="10">
        <f t="shared" si="87"/>
        <v>10</v>
      </c>
      <c r="D2758" s="20">
        <v>42291</v>
      </c>
      <c r="E2758">
        <v>379</v>
      </c>
      <c r="F2758">
        <v>910.5</v>
      </c>
      <c r="G2758">
        <v>317.8</v>
      </c>
      <c r="H2758">
        <v>508.25</v>
      </c>
      <c r="I2758">
        <v>28.77</v>
      </c>
      <c r="J2758">
        <v>3.8104</v>
      </c>
    </row>
    <row r="2759" spans="2:10" x14ac:dyDescent="0.3">
      <c r="B2759" s="10">
        <f t="shared" si="86"/>
        <v>2015</v>
      </c>
      <c r="C2759" s="10">
        <f t="shared" si="87"/>
        <v>10</v>
      </c>
      <c r="D2759" s="20">
        <v>42290</v>
      </c>
      <c r="E2759">
        <v>384.5</v>
      </c>
      <c r="F2759">
        <v>914</v>
      </c>
      <c r="G2759">
        <v>320.7</v>
      </c>
      <c r="H2759">
        <v>519</v>
      </c>
      <c r="I2759">
        <v>28.6</v>
      </c>
      <c r="J2759">
        <v>3.8921999999999999</v>
      </c>
    </row>
    <row r="2760" spans="2:10" x14ac:dyDescent="0.3">
      <c r="B2760" s="10">
        <f t="shared" si="86"/>
        <v>2015</v>
      </c>
      <c r="C2760" s="10">
        <f t="shared" si="87"/>
        <v>10</v>
      </c>
      <c r="D2760" s="20">
        <v>42289</v>
      </c>
      <c r="E2760">
        <v>380.75</v>
      </c>
      <c r="F2760">
        <v>887.5</v>
      </c>
      <c r="G2760">
        <v>309.3</v>
      </c>
      <c r="H2760">
        <v>506.75</v>
      </c>
      <c r="I2760">
        <v>28.01</v>
      </c>
      <c r="J2760">
        <v>3.7624</v>
      </c>
    </row>
    <row r="2761" spans="2:10" x14ac:dyDescent="0.3">
      <c r="B2761" s="10">
        <f t="shared" si="86"/>
        <v>2015</v>
      </c>
      <c r="C2761" s="10">
        <f t="shared" si="87"/>
        <v>10</v>
      </c>
      <c r="D2761" s="20">
        <v>42286</v>
      </c>
      <c r="E2761">
        <v>382.75</v>
      </c>
      <c r="F2761">
        <v>885.75</v>
      </c>
      <c r="G2761">
        <v>306.89999999999998</v>
      </c>
      <c r="H2761">
        <v>509.25</v>
      </c>
      <c r="I2761">
        <v>28.17</v>
      </c>
      <c r="J2761">
        <v>3.7650999999999999</v>
      </c>
    </row>
    <row r="2762" spans="2:10" x14ac:dyDescent="0.3">
      <c r="B2762" s="10">
        <f t="shared" si="86"/>
        <v>2015</v>
      </c>
      <c r="C2762" s="10">
        <f t="shared" si="87"/>
        <v>10</v>
      </c>
      <c r="D2762" s="20">
        <v>42285</v>
      </c>
      <c r="E2762">
        <v>391.25</v>
      </c>
      <c r="F2762">
        <v>881.25</v>
      </c>
      <c r="G2762">
        <v>303.8</v>
      </c>
      <c r="H2762">
        <v>511.5</v>
      </c>
      <c r="I2762">
        <v>28.17</v>
      </c>
      <c r="J2762">
        <v>3.7831999999999999</v>
      </c>
    </row>
    <row r="2763" spans="2:10" x14ac:dyDescent="0.3">
      <c r="B2763" s="10">
        <f t="shared" si="86"/>
        <v>2015</v>
      </c>
      <c r="C2763" s="10">
        <f t="shared" si="87"/>
        <v>10</v>
      </c>
      <c r="D2763" s="20">
        <v>42284</v>
      </c>
      <c r="E2763">
        <v>395.75</v>
      </c>
      <c r="F2763">
        <v>891</v>
      </c>
      <c r="G2763">
        <v>305.2</v>
      </c>
      <c r="H2763">
        <v>516.75</v>
      </c>
      <c r="I2763">
        <v>28.42</v>
      </c>
      <c r="J2763">
        <v>3.8826000000000001</v>
      </c>
    </row>
    <row r="2764" spans="2:10" x14ac:dyDescent="0.3">
      <c r="B2764" s="10">
        <f t="shared" si="86"/>
        <v>2015</v>
      </c>
      <c r="C2764" s="10">
        <f t="shared" si="87"/>
        <v>10</v>
      </c>
      <c r="D2764" s="20">
        <v>42283</v>
      </c>
      <c r="E2764">
        <v>398.25</v>
      </c>
      <c r="F2764">
        <v>888</v>
      </c>
      <c r="G2764">
        <v>301.8</v>
      </c>
      <c r="H2764">
        <v>526.25</v>
      </c>
      <c r="I2764">
        <v>28.51</v>
      </c>
      <c r="J2764">
        <v>3.8534000000000002</v>
      </c>
    </row>
    <row r="2765" spans="2:10" x14ac:dyDescent="0.3">
      <c r="B2765" s="10">
        <f t="shared" si="86"/>
        <v>2015</v>
      </c>
      <c r="C2765" s="10">
        <f t="shared" si="87"/>
        <v>10</v>
      </c>
      <c r="D2765" s="20">
        <v>42282</v>
      </c>
      <c r="E2765">
        <v>393.5</v>
      </c>
      <c r="F2765">
        <v>884.25</v>
      </c>
      <c r="G2765">
        <v>301</v>
      </c>
      <c r="H2765">
        <v>515.5</v>
      </c>
      <c r="I2765">
        <v>28.48</v>
      </c>
      <c r="J2765">
        <v>3.9117999999999999</v>
      </c>
    </row>
    <row r="2766" spans="2:10" x14ac:dyDescent="0.3">
      <c r="B2766" s="10">
        <f t="shared" si="86"/>
        <v>2015</v>
      </c>
      <c r="C2766" s="10">
        <f t="shared" si="87"/>
        <v>10</v>
      </c>
      <c r="D2766" s="20">
        <v>42279</v>
      </c>
      <c r="E2766">
        <v>389.25</v>
      </c>
      <c r="F2766">
        <v>874.25</v>
      </c>
      <c r="G2766">
        <v>298.5</v>
      </c>
      <c r="H2766">
        <v>513.25</v>
      </c>
      <c r="I2766">
        <v>27.84</v>
      </c>
      <c r="J2766">
        <v>3.9316</v>
      </c>
    </row>
    <row r="2767" spans="2:10" x14ac:dyDescent="0.3">
      <c r="B2767" s="10">
        <f t="shared" si="86"/>
        <v>2015</v>
      </c>
      <c r="C2767" s="10">
        <f t="shared" si="87"/>
        <v>10</v>
      </c>
      <c r="D2767" s="20">
        <v>42278</v>
      </c>
      <c r="E2767">
        <v>388.75</v>
      </c>
      <c r="F2767">
        <v>877.25</v>
      </c>
      <c r="G2767">
        <v>302.60000000000002</v>
      </c>
      <c r="H2767">
        <v>518.25</v>
      </c>
      <c r="I2767">
        <v>27.09</v>
      </c>
      <c r="J2767">
        <v>4.0091999999999999</v>
      </c>
    </row>
    <row r="2768" spans="2:10" x14ac:dyDescent="0.3">
      <c r="B2768" s="10">
        <f t="shared" si="86"/>
        <v>2015</v>
      </c>
      <c r="C2768" s="10">
        <f t="shared" si="87"/>
        <v>9</v>
      </c>
      <c r="D2768" s="20">
        <v>42277</v>
      </c>
      <c r="E2768">
        <v>387.75</v>
      </c>
      <c r="F2768">
        <v>892</v>
      </c>
      <c r="G2768">
        <v>308.3</v>
      </c>
      <c r="H2768">
        <v>512.75</v>
      </c>
      <c r="I2768">
        <v>27.1</v>
      </c>
      <c r="J2768">
        <v>3.9478</v>
      </c>
    </row>
    <row r="2769" spans="2:10" x14ac:dyDescent="0.3">
      <c r="B2769" s="10">
        <f t="shared" si="86"/>
        <v>2015</v>
      </c>
      <c r="C2769" s="10">
        <f t="shared" si="87"/>
        <v>9</v>
      </c>
      <c r="D2769" s="20">
        <v>42276</v>
      </c>
      <c r="E2769">
        <v>389</v>
      </c>
      <c r="F2769">
        <v>884.25</v>
      </c>
      <c r="G2769">
        <v>305.7</v>
      </c>
      <c r="H2769">
        <v>503.75</v>
      </c>
      <c r="I2769">
        <v>27.46</v>
      </c>
      <c r="J2769">
        <v>4.0618999999999996</v>
      </c>
    </row>
    <row r="2770" spans="2:10" x14ac:dyDescent="0.3">
      <c r="B2770" s="10">
        <f t="shared" si="86"/>
        <v>2015</v>
      </c>
      <c r="C2770" s="10">
        <f t="shared" si="87"/>
        <v>9</v>
      </c>
      <c r="D2770" s="20">
        <v>42275</v>
      </c>
      <c r="E2770">
        <v>386.75</v>
      </c>
      <c r="F2770">
        <v>876.75</v>
      </c>
      <c r="G2770">
        <v>304.7</v>
      </c>
      <c r="H2770">
        <v>505.5</v>
      </c>
      <c r="I2770">
        <v>27.18</v>
      </c>
      <c r="J2770">
        <v>4.1067999999999998</v>
      </c>
    </row>
    <row r="2771" spans="2:10" x14ac:dyDescent="0.3">
      <c r="B2771" s="10">
        <f t="shared" si="86"/>
        <v>2015</v>
      </c>
      <c r="C2771" s="10">
        <f t="shared" si="87"/>
        <v>9</v>
      </c>
      <c r="D2771" s="20">
        <v>42272</v>
      </c>
      <c r="E2771">
        <v>389</v>
      </c>
      <c r="F2771">
        <v>889.25</v>
      </c>
      <c r="G2771">
        <v>308.7</v>
      </c>
      <c r="H2771">
        <v>507.75</v>
      </c>
      <c r="I2771">
        <v>27.72</v>
      </c>
      <c r="J2771">
        <v>3.9767999999999999</v>
      </c>
    </row>
    <row r="2772" spans="2:10" x14ac:dyDescent="0.3">
      <c r="B2772" s="10">
        <f t="shared" si="86"/>
        <v>2015</v>
      </c>
      <c r="C2772" s="10">
        <f t="shared" si="87"/>
        <v>9</v>
      </c>
      <c r="D2772" s="20">
        <v>42271</v>
      </c>
      <c r="E2772">
        <v>381.5</v>
      </c>
      <c r="F2772">
        <v>868</v>
      </c>
      <c r="G2772">
        <v>302.39999999999998</v>
      </c>
      <c r="H2772">
        <v>497.25</v>
      </c>
      <c r="I2772">
        <v>26.98</v>
      </c>
      <c r="J2772">
        <v>3.9363000000000001</v>
      </c>
    </row>
    <row r="2773" spans="2:10" x14ac:dyDescent="0.3">
      <c r="B2773" s="10">
        <f t="shared" si="86"/>
        <v>2015</v>
      </c>
      <c r="C2773" s="10">
        <f t="shared" si="87"/>
        <v>9</v>
      </c>
      <c r="D2773" s="20">
        <v>42270</v>
      </c>
      <c r="E2773">
        <v>383.25</v>
      </c>
      <c r="F2773">
        <v>863.75</v>
      </c>
      <c r="G2773">
        <v>303.10000000000002</v>
      </c>
      <c r="H2773">
        <v>507.5</v>
      </c>
      <c r="I2773">
        <v>26.33</v>
      </c>
      <c r="J2773">
        <v>4.1775000000000002</v>
      </c>
    </row>
    <row r="2774" spans="2:10" x14ac:dyDescent="0.3">
      <c r="B2774" s="10">
        <f t="shared" si="86"/>
        <v>2015</v>
      </c>
      <c r="C2774" s="10">
        <f t="shared" si="87"/>
        <v>9</v>
      </c>
      <c r="D2774" s="20">
        <v>42269</v>
      </c>
      <c r="E2774">
        <v>380.5</v>
      </c>
      <c r="F2774">
        <v>861.75</v>
      </c>
      <c r="G2774">
        <v>304.89999999999998</v>
      </c>
      <c r="H2774">
        <v>495.5</v>
      </c>
      <c r="I2774">
        <v>26.13</v>
      </c>
      <c r="J2774">
        <v>4.0487000000000002</v>
      </c>
    </row>
    <row r="2775" spans="2:10" x14ac:dyDescent="0.3">
      <c r="B2775" s="10">
        <f t="shared" si="86"/>
        <v>2015</v>
      </c>
      <c r="C2775" s="10">
        <f t="shared" si="87"/>
        <v>9</v>
      </c>
      <c r="D2775" s="20">
        <v>42268</v>
      </c>
      <c r="E2775">
        <v>384.5</v>
      </c>
      <c r="F2775">
        <v>874.25</v>
      </c>
      <c r="G2775">
        <v>309.60000000000002</v>
      </c>
      <c r="H2775">
        <v>496.75</v>
      </c>
      <c r="I2775">
        <v>26.5</v>
      </c>
      <c r="J2775">
        <v>3.9853999999999998</v>
      </c>
    </row>
    <row r="2776" spans="2:10" x14ac:dyDescent="0.3">
      <c r="B2776" s="10">
        <f t="shared" si="86"/>
        <v>2015</v>
      </c>
      <c r="C2776" s="10">
        <f t="shared" si="87"/>
        <v>9</v>
      </c>
      <c r="D2776" s="20">
        <v>42265</v>
      </c>
      <c r="E2776">
        <v>377.25</v>
      </c>
      <c r="F2776">
        <v>867.25</v>
      </c>
      <c r="G2776">
        <v>309</v>
      </c>
      <c r="H2776">
        <v>486.75</v>
      </c>
      <c r="I2776">
        <v>26.05</v>
      </c>
      <c r="J2776">
        <v>3.9445000000000001</v>
      </c>
    </row>
    <row r="2777" spans="2:10" x14ac:dyDescent="0.3">
      <c r="B2777" s="10">
        <f t="shared" si="86"/>
        <v>2015</v>
      </c>
      <c r="C2777" s="10">
        <f t="shared" si="87"/>
        <v>9</v>
      </c>
      <c r="D2777" s="20">
        <v>42264</v>
      </c>
      <c r="E2777">
        <v>379.75</v>
      </c>
      <c r="F2777">
        <v>884.5</v>
      </c>
      <c r="G2777">
        <v>313.2</v>
      </c>
      <c r="H2777">
        <v>481.5</v>
      </c>
      <c r="I2777">
        <v>26.67</v>
      </c>
      <c r="J2777">
        <v>3.8976000000000002</v>
      </c>
    </row>
    <row r="2778" spans="2:10" x14ac:dyDescent="0.3">
      <c r="B2778" s="10">
        <f t="shared" si="86"/>
        <v>2015</v>
      </c>
      <c r="C2778" s="10">
        <f t="shared" si="87"/>
        <v>9</v>
      </c>
      <c r="D2778" s="20">
        <v>42263</v>
      </c>
      <c r="E2778">
        <v>386</v>
      </c>
      <c r="F2778">
        <v>887.25</v>
      </c>
      <c r="G2778">
        <v>316.3</v>
      </c>
      <c r="H2778">
        <v>488.25</v>
      </c>
      <c r="I2778">
        <v>26.68</v>
      </c>
      <c r="J2778">
        <v>3.8277000000000001</v>
      </c>
    </row>
    <row r="2779" spans="2:10" x14ac:dyDescent="0.3">
      <c r="B2779" s="10">
        <f t="shared" si="86"/>
        <v>2015</v>
      </c>
      <c r="C2779" s="10">
        <f t="shared" si="87"/>
        <v>9</v>
      </c>
      <c r="D2779" s="20">
        <v>42262</v>
      </c>
      <c r="E2779">
        <v>390.5</v>
      </c>
      <c r="F2779">
        <v>889</v>
      </c>
      <c r="G2779">
        <v>318.60000000000002</v>
      </c>
      <c r="H2779">
        <v>494.75</v>
      </c>
      <c r="I2779">
        <v>26.47</v>
      </c>
      <c r="J2779">
        <v>3.863</v>
      </c>
    </row>
    <row r="2780" spans="2:10" x14ac:dyDescent="0.3">
      <c r="B2780" s="10">
        <f t="shared" si="86"/>
        <v>2015</v>
      </c>
      <c r="C2780" s="10">
        <f t="shared" si="87"/>
        <v>9</v>
      </c>
      <c r="D2780" s="20">
        <v>42261</v>
      </c>
      <c r="E2780">
        <v>379</v>
      </c>
      <c r="F2780">
        <v>882.75</v>
      </c>
      <c r="G2780">
        <v>312.7</v>
      </c>
      <c r="H2780">
        <v>485.75</v>
      </c>
      <c r="I2780">
        <v>26.89</v>
      </c>
      <c r="J2780">
        <v>3.8138999999999998</v>
      </c>
    </row>
    <row r="2781" spans="2:10" x14ac:dyDescent="0.3">
      <c r="B2781" s="10">
        <f t="shared" si="86"/>
        <v>2015</v>
      </c>
      <c r="C2781" s="10">
        <f t="shared" si="87"/>
        <v>9</v>
      </c>
      <c r="D2781" s="20">
        <v>42258</v>
      </c>
      <c r="E2781">
        <v>374.5</v>
      </c>
      <c r="F2781">
        <v>887.75</v>
      </c>
      <c r="G2781">
        <v>314.10000000000002</v>
      </c>
      <c r="H2781">
        <v>475.5</v>
      </c>
      <c r="I2781">
        <v>26.58</v>
      </c>
      <c r="J2781">
        <v>3.87</v>
      </c>
    </row>
    <row r="2782" spans="2:10" x14ac:dyDescent="0.3">
      <c r="B2782" s="10">
        <f t="shared" si="86"/>
        <v>2015</v>
      </c>
      <c r="C2782" s="10">
        <f t="shared" si="87"/>
        <v>9</v>
      </c>
      <c r="D2782" s="20">
        <v>42257</v>
      </c>
      <c r="E2782">
        <v>361.75</v>
      </c>
      <c r="F2782">
        <v>884.5</v>
      </c>
      <c r="G2782">
        <v>311.39999999999998</v>
      </c>
      <c r="H2782">
        <v>468</v>
      </c>
      <c r="I2782">
        <v>26.87</v>
      </c>
      <c r="J2782">
        <v>3.8491</v>
      </c>
    </row>
    <row r="2783" spans="2:10" x14ac:dyDescent="0.3">
      <c r="B2783" s="10">
        <f t="shared" si="86"/>
        <v>2015</v>
      </c>
      <c r="C2783" s="10">
        <f t="shared" si="87"/>
        <v>9</v>
      </c>
      <c r="D2783" s="20">
        <v>42256</v>
      </c>
      <c r="E2783">
        <v>356.5</v>
      </c>
      <c r="F2783">
        <v>882.75</v>
      </c>
      <c r="G2783">
        <v>312.5</v>
      </c>
      <c r="H2783">
        <v>462</v>
      </c>
      <c r="I2783">
        <v>26.6</v>
      </c>
      <c r="J2783">
        <v>3.7778</v>
      </c>
    </row>
    <row r="2784" spans="2:10" x14ac:dyDescent="0.3">
      <c r="B2784" s="10">
        <f t="shared" si="86"/>
        <v>2015</v>
      </c>
      <c r="C2784" s="10">
        <f t="shared" si="87"/>
        <v>9</v>
      </c>
      <c r="D2784" s="20">
        <v>42255</v>
      </c>
      <c r="E2784">
        <v>355</v>
      </c>
      <c r="F2784">
        <v>890.75</v>
      </c>
      <c r="G2784">
        <v>312</v>
      </c>
      <c r="H2784">
        <v>465.25</v>
      </c>
      <c r="I2784">
        <v>26.85</v>
      </c>
      <c r="J2784">
        <v>3.8184999999999998</v>
      </c>
    </row>
    <row r="2785" spans="2:10" x14ac:dyDescent="0.3">
      <c r="B2785" s="10">
        <f t="shared" si="86"/>
        <v>2015</v>
      </c>
      <c r="C2785" s="10">
        <f t="shared" si="87"/>
        <v>9</v>
      </c>
      <c r="D2785" s="20">
        <v>42254</v>
      </c>
      <c r="J2785">
        <v>3.8372000000000002</v>
      </c>
    </row>
    <row r="2786" spans="2:10" x14ac:dyDescent="0.3">
      <c r="B2786" s="10">
        <f t="shared" si="86"/>
        <v>2015</v>
      </c>
      <c r="C2786" s="10">
        <f t="shared" si="87"/>
        <v>9</v>
      </c>
      <c r="D2786" s="20">
        <v>42251</v>
      </c>
      <c r="E2786">
        <v>349.5</v>
      </c>
      <c r="F2786">
        <v>877.25</v>
      </c>
      <c r="G2786">
        <v>313.89999999999998</v>
      </c>
      <c r="H2786">
        <v>457.75</v>
      </c>
      <c r="I2786">
        <v>26.44</v>
      </c>
      <c r="J2786">
        <v>3.8439000000000001</v>
      </c>
    </row>
    <row r="2787" spans="2:10" x14ac:dyDescent="0.3">
      <c r="B2787" s="10">
        <f t="shared" si="86"/>
        <v>2015</v>
      </c>
      <c r="C2787" s="10">
        <f t="shared" si="87"/>
        <v>9</v>
      </c>
      <c r="D2787" s="20">
        <v>42250</v>
      </c>
      <c r="E2787">
        <v>347.75</v>
      </c>
      <c r="F2787">
        <v>879.75</v>
      </c>
      <c r="G2787">
        <v>316.5</v>
      </c>
      <c r="H2787">
        <v>456.5</v>
      </c>
      <c r="I2787">
        <v>26.76</v>
      </c>
      <c r="J2787">
        <v>3.7376999999999998</v>
      </c>
    </row>
    <row r="2788" spans="2:10" x14ac:dyDescent="0.3">
      <c r="B2788" s="10">
        <f t="shared" si="86"/>
        <v>2015</v>
      </c>
      <c r="C2788" s="10">
        <f t="shared" si="87"/>
        <v>9</v>
      </c>
      <c r="D2788" s="20">
        <v>42249</v>
      </c>
      <c r="E2788">
        <v>354</v>
      </c>
      <c r="F2788">
        <v>883.75</v>
      </c>
      <c r="G2788">
        <v>318.10000000000002</v>
      </c>
      <c r="H2788">
        <v>473</v>
      </c>
      <c r="I2788">
        <v>26.76</v>
      </c>
      <c r="J2788">
        <v>3.7587999999999999</v>
      </c>
    </row>
    <row r="2789" spans="2:10" x14ac:dyDescent="0.3">
      <c r="B2789" s="10">
        <f t="shared" si="86"/>
        <v>2015</v>
      </c>
      <c r="C2789" s="10">
        <f t="shared" si="87"/>
        <v>9</v>
      </c>
      <c r="D2789" s="20">
        <v>42248</v>
      </c>
      <c r="E2789">
        <v>356</v>
      </c>
      <c r="F2789">
        <v>884.75</v>
      </c>
      <c r="G2789">
        <v>317.89999999999998</v>
      </c>
      <c r="H2789">
        <v>484</v>
      </c>
      <c r="I2789">
        <v>27.22</v>
      </c>
      <c r="J2789">
        <v>3.7016</v>
      </c>
    </row>
    <row r="2790" spans="2:10" x14ac:dyDescent="0.3">
      <c r="B2790" s="10">
        <f t="shared" si="86"/>
        <v>2015</v>
      </c>
      <c r="C2790" s="10">
        <f t="shared" si="87"/>
        <v>8</v>
      </c>
      <c r="D2790" s="20">
        <v>42247</v>
      </c>
      <c r="E2790">
        <v>363.75</v>
      </c>
      <c r="F2790">
        <v>897.5</v>
      </c>
      <c r="G2790">
        <v>320.89999999999998</v>
      </c>
      <c r="H2790">
        <v>482.5</v>
      </c>
      <c r="I2790">
        <v>27.92</v>
      </c>
      <c r="J2790">
        <v>3.6187</v>
      </c>
    </row>
    <row r="2791" spans="2:10" x14ac:dyDescent="0.3">
      <c r="B2791" s="10">
        <f t="shared" si="86"/>
        <v>2015</v>
      </c>
      <c r="C2791" s="10">
        <f t="shared" si="87"/>
        <v>8</v>
      </c>
      <c r="D2791" s="20">
        <v>42244</v>
      </c>
      <c r="E2791">
        <v>363.25</v>
      </c>
      <c r="F2791">
        <v>893.25</v>
      </c>
      <c r="G2791">
        <v>321.39999999999998</v>
      </c>
      <c r="H2791">
        <v>477</v>
      </c>
      <c r="I2791">
        <v>27.79</v>
      </c>
      <c r="J2791">
        <v>3.5808</v>
      </c>
    </row>
    <row r="2792" spans="2:10" x14ac:dyDescent="0.3">
      <c r="B2792" s="10">
        <f t="shared" si="86"/>
        <v>2015</v>
      </c>
      <c r="C2792" s="10">
        <f t="shared" si="87"/>
        <v>8</v>
      </c>
      <c r="D2792" s="20">
        <v>42243</v>
      </c>
      <c r="E2792">
        <v>363.75</v>
      </c>
      <c r="F2792">
        <v>886.25</v>
      </c>
      <c r="G2792">
        <v>322.89999999999998</v>
      </c>
      <c r="H2792">
        <v>484.25</v>
      </c>
      <c r="I2792">
        <v>26.89</v>
      </c>
      <c r="J2792">
        <v>3.5506000000000002</v>
      </c>
    </row>
    <row r="2793" spans="2:10" x14ac:dyDescent="0.3">
      <c r="B2793" s="10">
        <f t="shared" si="86"/>
        <v>2015</v>
      </c>
      <c r="C2793" s="10">
        <f t="shared" si="87"/>
        <v>8</v>
      </c>
      <c r="D2793" s="20">
        <v>42242</v>
      </c>
      <c r="E2793">
        <v>361.75</v>
      </c>
      <c r="F2793">
        <v>877.75</v>
      </c>
      <c r="G2793">
        <v>324.39999999999998</v>
      </c>
      <c r="H2793">
        <v>489.75</v>
      </c>
      <c r="I2793">
        <v>26.12</v>
      </c>
      <c r="J2793">
        <v>3.5952000000000002</v>
      </c>
    </row>
    <row r="2794" spans="2:10" x14ac:dyDescent="0.3">
      <c r="B2794" s="10">
        <f t="shared" si="86"/>
        <v>2015</v>
      </c>
      <c r="C2794" s="10">
        <f t="shared" si="87"/>
        <v>8</v>
      </c>
      <c r="D2794" s="20">
        <v>42241</v>
      </c>
      <c r="E2794">
        <v>365.5</v>
      </c>
      <c r="F2794">
        <v>894.25</v>
      </c>
      <c r="G2794">
        <v>327.60000000000002</v>
      </c>
      <c r="H2794">
        <v>495</v>
      </c>
      <c r="I2794">
        <v>26.82</v>
      </c>
      <c r="J2794">
        <v>3.6172</v>
      </c>
    </row>
    <row r="2795" spans="2:10" x14ac:dyDescent="0.3">
      <c r="B2795" s="10">
        <f t="shared" si="86"/>
        <v>2015</v>
      </c>
      <c r="C2795" s="10">
        <f t="shared" si="87"/>
        <v>8</v>
      </c>
      <c r="D2795" s="20">
        <v>42240</v>
      </c>
      <c r="E2795">
        <v>368.75</v>
      </c>
      <c r="F2795">
        <v>892.75</v>
      </c>
      <c r="G2795">
        <v>326.39999999999998</v>
      </c>
      <c r="H2795">
        <v>503.25</v>
      </c>
      <c r="I2795">
        <v>26.55</v>
      </c>
      <c r="J2795">
        <v>3.5531000000000001</v>
      </c>
    </row>
    <row r="2796" spans="2:10" x14ac:dyDescent="0.3">
      <c r="B2796" s="10">
        <f t="shared" si="86"/>
        <v>2015</v>
      </c>
      <c r="C2796" s="10">
        <f t="shared" si="87"/>
        <v>8</v>
      </c>
      <c r="D2796" s="20">
        <v>42237</v>
      </c>
      <c r="E2796">
        <v>365.25</v>
      </c>
      <c r="F2796">
        <v>905.25</v>
      </c>
      <c r="G2796">
        <v>326.89999999999998</v>
      </c>
      <c r="H2796">
        <v>499.5</v>
      </c>
      <c r="I2796">
        <v>27.36</v>
      </c>
      <c r="J2796">
        <v>3.4992999999999999</v>
      </c>
    </row>
    <row r="2797" spans="2:10" x14ac:dyDescent="0.3">
      <c r="B2797" s="10">
        <f t="shared" si="86"/>
        <v>2015</v>
      </c>
      <c r="C2797" s="10">
        <f t="shared" si="87"/>
        <v>8</v>
      </c>
      <c r="D2797" s="20">
        <v>42236</v>
      </c>
      <c r="E2797">
        <v>371</v>
      </c>
      <c r="F2797">
        <v>921.5</v>
      </c>
      <c r="G2797">
        <v>330.9</v>
      </c>
      <c r="H2797">
        <v>506.25</v>
      </c>
      <c r="I2797">
        <v>27.98</v>
      </c>
      <c r="J2797">
        <v>3.4559000000000002</v>
      </c>
    </row>
    <row r="2798" spans="2:10" x14ac:dyDescent="0.3">
      <c r="B2798" s="10">
        <f t="shared" si="86"/>
        <v>2015</v>
      </c>
      <c r="C2798" s="10">
        <f t="shared" si="87"/>
        <v>8</v>
      </c>
      <c r="D2798" s="20">
        <v>42235</v>
      </c>
      <c r="E2798">
        <v>367.25</v>
      </c>
      <c r="F2798">
        <v>903.5</v>
      </c>
      <c r="G2798">
        <v>324</v>
      </c>
      <c r="H2798">
        <v>496.25</v>
      </c>
      <c r="I2798">
        <v>27.89</v>
      </c>
      <c r="J2798">
        <v>3.4923999999999999</v>
      </c>
    </row>
    <row r="2799" spans="2:10" x14ac:dyDescent="0.3">
      <c r="B2799" s="10">
        <f t="shared" si="86"/>
        <v>2015</v>
      </c>
      <c r="C2799" s="10">
        <f t="shared" si="87"/>
        <v>8</v>
      </c>
      <c r="D2799" s="20">
        <v>42234</v>
      </c>
      <c r="E2799">
        <v>366.25</v>
      </c>
      <c r="F2799">
        <v>913.25</v>
      </c>
      <c r="G2799">
        <v>324.60000000000002</v>
      </c>
      <c r="H2799">
        <v>494.25</v>
      </c>
      <c r="I2799">
        <v>28.32</v>
      </c>
      <c r="J2799">
        <v>3.4678</v>
      </c>
    </row>
    <row r="2800" spans="2:10" x14ac:dyDescent="0.3">
      <c r="B2800" s="10">
        <f t="shared" si="86"/>
        <v>2015</v>
      </c>
      <c r="C2800" s="10">
        <f t="shared" si="87"/>
        <v>8</v>
      </c>
      <c r="D2800" s="20">
        <v>42233</v>
      </c>
      <c r="E2800">
        <v>363.25</v>
      </c>
      <c r="F2800">
        <v>927</v>
      </c>
      <c r="G2800">
        <v>325.39999999999998</v>
      </c>
      <c r="H2800">
        <v>500.5</v>
      </c>
      <c r="I2800">
        <v>29.06</v>
      </c>
      <c r="J2800">
        <v>3.4796999999999998</v>
      </c>
    </row>
    <row r="2801" spans="2:10" x14ac:dyDescent="0.3">
      <c r="B2801" s="10">
        <f t="shared" si="86"/>
        <v>2015</v>
      </c>
      <c r="C2801" s="10">
        <f t="shared" si="87"/>
        <v>8</v>
      </c>
      <c r="D2801" s="20">
        <v>42230</v>
      </c>
      <c r="E2801">
        <v>364</v>
      </c>
      <c r="F2801">
        <v>978.5</v>
      </c>
      <c r="G2801">
        <v>330.9</v>
      </c>
      <c r="H2801">
        <v>506.5</v>
      </c>
      <c r="I2801">
        <v>28.78</v>
      </c>
      <c r="J2801">
        <v>3.4834000000000001</v>
      </c>
    </row>
    <row r="2802" spans="2:10" x14ac:dyDescent="0.3">
      <c r="B2802" s="10">
        <f t="shared" si="86"/>
        <v>2015</v>
      </c>
      <c r="C2802" s="10">
        <f t="shared" si="87"/>
        <v>8</v>
      </c>
      <c r="D2802" s="20">
        <v>42229</v>
      </c>
      <c r="E2802">
        <v>363.75</v>
      </c>
      <c r="F2802">
        <v>993</v>
      </c>
      <c r="G2802">
        <v>344.1</v>
      </c>
      <c r="H2802">
        <v>503.25</v>
      </c>
      <c r="I2802">
        <v>28.91</v>
      </c>
      <c r="J2802">
        <v>3.5181</v>
      </c>
    </row>
    <row r="2803" spans="2:10" x14ac:dyDescent="0.3">
      <c r="B2803" s="10">
        <f t="shared" si="86"/>
        <v>2015</v>
      </c>
      <c r="C2803" s="10">
        <f t="shared" si="87"/>
        <v>8</v>
      </c>
      <c r="D2803" s="20">
        <v>42228</v>
      </c>
      <c r="E2803">
        <v>357.25</v>
      </c>
      <c r="F2803">
        <v>951</v>
      </c>
      <c r="G2803">
        <v>335.9</v>
      </c>
      <c r="H2803">
        <v>492.25</v>
      </c>
      <c r="I2803">
        <v>29.03</v>
      </c>
      <c r="J2803">
        <v>3.4803999999999999</v>
      </c>
    </row>
    <row r="2804" spans="2:10" x14ac:dyDescent="0.3">
      <c r="B2804" s="10">
        <f t="shared" si="86"/>
        <v>2015</v>
      </c>
      <c r="C2804" s="10">
        <f t="shared" si="87"/>
        <v>8</v>
      </c>
      <c r="D2804" s="20">
        <v>42227</v>
      </c>
      <c r="E2804">
        <v>376.5</v>
      </c>
      <c r="F2804">
        <v>1014</v>
      </c>
      <c r="G2804">
        <v>347.9</v>
      </c>
      <c r="H2804">
        <v>507.25</v>
      </c>
      <c r="I2804">
        <v>30.08</v>
      </c>
      <c r="J2804">
        <v>3.4744000000000002</v>
      </c>
    </row>
    <row r="2805" spans="2:10" x14ac:dyDescent="0.3">
      <c r="B2805" s="10">
        <f t="shared" si="86"/>
        <v>2015</v>
      </c>
      <c r="C2805" s="10">
        <f t="shared" si="87"/>
        <v>8</v>
      </c>
      <c r="D2805" s="20">
        <v>42226</v>
      </c>
      <c r="E2805">
        <v>390.25</v>
      </c>
      <c r="F2805">
        <v>1044.75</v>
      </c>
      <c r="G2805">
        <v>362.5</v>
      </c>
      <c r="H2805">
        <v>525.5</v>
      </c>
      <c r="I2805">
        <v>30.41</v>
      </c>
      <c r="J2805">
        <v>3.4340999999999999</v>
      </c>
    </row>
    <row r="2806" spans="2:10" x14ac:dyDescent="0.3">
      <c r="B2806" s="10">
        <f t="shared" si="86"/>
        <v>2015</v>
      </c>
      <c r="C2806" s="10">
        <f t="shared" si="87"/>
        <v>8</v>
      </c>
      <c r="D2806" s="20">
        <v>42223</v>
      </c>
      <c r="E2806">
        <v>372.75</v>
      </c>
      <c r="F2806">
        <v>1009</v>
      </c>
      <c r="G2806">
        <v>352.6</v>
      </c>
      <c r="H2806">
        <v>510.5</v>
      </c>
      <c r="I2806">
        <v>30.03</v>
      </c>
      <c r="J2806">
        <v>3.5057</v>
      </c>
    </row>
    <row r="2807" spans="2:10" x14ac:dyDescent="0.3">
      <c r="B2807" s="10">
        <f t="shared" si="86"/>
        <v>2015</v>
      </c>
      <c r="C2807" s="10">
        <f t="shared" si="87"/>
        <v>8</v>
      </c>
      <c r="D2807" s="20">
        <v>42222</v>
      </c>
      <c r="E2807">
        <v>369.75</v>
      </c>
      <c r="F2807">
        <v>985.5</v>
      </c>
      <c r="G2807">
        <v>350.1</v>
      </c>
      <c r="H2807">
        <v>507</v>
      </c>
      <c r="I2807">
        <v>29.66</v>
      </c>
      <c r="J2807">
        <v>3.5347</v>
      </c>
    </row>
    <row r="2808" spans="2:10" x14ac:dyDescent="0.3">
      <c r="B2808" s="10">
        <f t="shared" si="86"/>
        <v>2015</v>
      </c>
      <c r="C2808" s="10">
        <f t="shared" si="87"/>
        <v>8</v>
      </c>
      <c r="D2808" s="20">
        <v>42221</v>
      </c>
      <c r="E2808">
        <v>372.75</v>
      </c>
      <c r="F2808">
        <v>991.75</v>
      </c>
      <c r="G2808">
        <v>355.1</v>
      </c>
      <c r="H2808">
        <v>502</v>
      </c>
      <c r="I2808">
        <v>29.63</v>
      </c>
      <c r="J2808">
        <v>3.4855</v>
      </c>
    </row>
    <row r="2809" spans="2:10" x14ac:dyDescent="0.3">
      <c r="B2809" s="10">
        <f t="shared" si="86"/>
        <v>2015</v>
      </c>
      <c r="C2809" s="10">
        <f t="shared" si="87"/>
        <v>8</v>
      </c>
      <c r="D2809" s="20">
        <v>42220</v>
      </c>
      <c r="E2809">
        <v>368.75</v>
      </c>
      <c r="F2809">
        <v>976</v>
      </c>
      <c r="G2809">
        <v>350.7</v>
      </c>
      <c r="H2809">
        <v>493.5</v>
      </c>
      <c r="I2809">
        <v>29.83</v>
      </c>
      <c r="J2809">
        <v>3.4702000000000002</v>
      </c>
    </row>
    <row r="2810" spans="2:10" x14ac:dyDescent="0.3">
      <c r="B2810" s="10">
        <f t="shared" si="86"/>
        <v>2015</v>
      </c>
      <c r="C2810" s="10">
        <f t="shared" si="87"/>
        <v>8</v>
      </c>
      <c r="D2810" s="20">
        <v>42219</v>
      </c>
      <c r="E2810">
        <v>366.5</v>
      </c>
      <c r="F2810">
        <v>977.5</v>
      </c>
      <c r="G2810">
        <v>351.4</v>
      </c>
      <c r="H2810">
        <v>499</v>
      </c>
      <c r="I2810">
        <v>29.85</v>
      </c>
      <c r="J2810">
        <v>3.4510999999999998</v>
      </c>
    </row>
    <row r="2811" spans="2:10" x14ac:dyDescent="0.3">
      <c r="B2811" s="10">
        <f t="shared" si="86"/>
        <v>2015</v>
      </c>
      <c r="C2811" s="10">
        <f t="shared" si="87"/>
        <v>7</v>
      </c>
      <c r="D2811" s="20">
        <v>42216</v>
      </c>
      <c r="E2811">
        <v>371</v>
      </c>
      <c r="F2811">
        <v>980.75</v>
      </c>
      <c r="G2811">
        <v>354.6</v>
      </c>
      <c r="H2811">
        <v>499.25</v>
      </c>
      <c r="I2811">
        <v>29.98</v>
      </c>
      <c r="J2811">
        <v>3.4203999999999999</v>
      </c>
    </row>
    <row r="2812" spans="2:10" x14ac:dyDescent="0.3">
      <c r="B2812" s="10">
        <f t="shared" si="86"/>
        <v>2015</v>
      </c>
      <c r="C2812" s="10">
        <f t="shared" si="87"/>
        <v>7</v>
      </c>
      <c r="D2812" s="20">
        <v>42215</v>
      </c>
      <c r="E2812">
        <v>373.25</v>
      </c>
      <c r="F2812">
        <v>990.25</v>
      </c>
      <c r="G2812">
        <v>357.1</v>
      </c>
      <c r="H2812">
        <v>496.5</v>
      </c>
      <c r="I2812">
        <v>30.28</v>
      </c>
      <c r="J2812">
        <v>3.3704999999999998</v>
      </c>
    </row>
    <row r="2813" spans="2:10" x14ac:dyDescent="0.3">
      <c r="B2813" s="10">
        <f t="shared" si="86"/>
        <v>2015</v>
      </c>
      <c r="C2813" s="10">
        <f t="shared" si="87"/>
        <v>7</v>
      </c>
      <c r="D2813" s="20">
        <v>42214</v>
      </c>
      <c r="E2813">
        <v>367.75</v>
      </c>
      <c r="F2813">
        <v>983</v>
      </c>
      <c r="G2813">
        <v>350</v>
      </c>
      <c r="H2813">
        <v>496.25</v>
      </c>
      <c r="I2813">
        <v>30.21</v>
      </c>
      <c r="J2813">
        <v>3.3298000000000001</v>
      </c>
    </row>
    <row r="2814" spans="2:10" x14ac:dyDescent="0.3">
      <c r="B2814" s="10">
        <f t="shared" si="86"/>
        <v>2015</v>
      </c>
      <c r="C2814" s="10">
        <f t="shared" si="87"/>
        <v>7</v>
      </c>
      <c r="D2814" s="20">
        <v>42213</v>
      </c>
      <c r="E2814">
        <v>375</v>
      </c>
      <c r="F2814">
        <v>974.75</v>
      </c>
      <c r="G2814">
        <v>345.2</v>
      </c>
      <c r="H2814">
        <v>510.75</v>
      </c>
      <c r="I2814">
        <v>30.66</v>
      </c>
      <c r="J2814">
        <v>3.3573</v>
      </c>
    </row>
    <row r="2815" spans="2:10" x14ac:dyDescent="0.3">
      <c r="B2815" s="10">
        <f t="shared" si="86"/>
        <v>2015</v>
      </c>
      <c r="C2815" s="10">
        <f t="shared" si="87"/>
        <v>7</v>
      </c>
      <c r="D2815" s="20">
        <v>42212</v>
      </c>
      <c r="E2815">
        <v>373</v>
      </c>
      <c r="F2815">
        <v>961.25</v>
      </c>
      <c r="G2815">
        <v>344.2</v>
      </c>
      <c r="H2815">
        <v>502.5</v>
      </c>
      <c r="I2815">
        <v>30.11</v>
      </c>
      <c r="J2815">
        <v>3.3635000000000002</v>
      </c>
    </row>
    <row r="2816" spans="2:10" x14ac:dyDescent="0.3">
      <c r="B2816" s="10">
        <f t="shared" ref="B2816:B2879" si="88">YEAR(D2816)</f>
        <v>2015</v>
      </c>
      <c r="C2816" s="10">
        <f t="shared" ref="C2816:C2879" si="89">MONTH(D2816)</f>
        <v>7</v>
      </c>
      <c r="D2816" s="20">
        <v>42209</v>
      </c>
      <c r="E2816">
        <v>392.5</v>
      </c>
      <c r="F2816">
        <v>991.25</v>
      </c>
      <c r="G2816">
        <v>354.8</v>
      </c>
      <c r="H2816">
        <v>511.75</v>
      </c>
      <c r="I2816">
        <v>30.48</v>
      </c>
      <c r="J2816">
        <v>3.3544</v>
      </c>
    </row>
    <row r="2817" spans="2:10" x14ac:dyDescent="0.3">
      <c r="B2817" s="10">
        <f t="shared" si="88"/>
        <v>2015</v>
      </c>
      <c r="C2817" s="10">
        <f t="shared" si="89"/>
        <v>7</v>
      </c>
      <c r="D2817" s="20">
        <v>42208</v>
      </c>
      <c r="E2817">
        <v>403.25</v>
      </c>
      <c r="F2817">
        <v>1010</v>
      </c>
      <c r="G2817">
        <v>359</v>
      </c>
      <c r="H2817">
        <v>521.5</v>
      </c>
      <c r="I2817">
        <v>31.19</v>
      </c>
      <c r="J2817">
        <v>3.2848999999999999</v>
      </c>
    </row>
    <row r="2818" spans="2:10" x14ac:dyDescent="0.3">
      <c r="B2818" s="10">
        <f t="shared" si="88"/>
        <v>2015</v>
      </c>
      <c r="C2818" s="10">
        <f t="shared" si="89"/>
        <v>7</v>
      </c>
      <c r="D2818" s="20">
        <v>42207</v>
      </c>
      <c r="E2818">
        <v>402.75</v>
      </c>
      <c r="F2818">
        <v>1020.75</v>
      </c>
      <c r="G2818">
        <v>363.5</v>
      </c>
      <c r="H2818">
        <v>516.75</v>
      </c>
      <c r="I2818">
        <v>31.35</v>
      </c>
      <c r="J2818">
        <v>3.2227999999999999</v>
      </c>
    </row>
    <row r="2819" spans="2:10" x14ac:dyDescent="0.3">
      <c r="B2819" s="10">
        <f t="shared" si="88"/>
        <v>2015</v>
      </c>
      <c r="C2819" s="10">
        <f t="shared" si="89"/>
        <v>7</v>
      </c>
      <c r="D2819" s="20">
        <v>42206</v>
      </c>
      <c r="E2819">
        <v>406.5</v>
      </c>
      <c r="F2819">
        <v>1018.75</v>
      </c>
      <c r="G2819">
        <v>359.9</v>
      </c>
      <c r="H2819">
        <v>524.75</v>
      </c>
      <c r="I2819">
        <v>31.93</v>
      </c>
      <c r="J2819">
        <v>3.1709999999999998</v>
      </c>
    </row>
    <row r="2820" spans="2:10" x14ac:dyDescent="0.3">
      <c r="B2820" s="10">
        <f t="shared" si="88"/>
        <v>2015</v>
      </c>
      <c r="C2820" s="10">
        <f t="shared" si="89"/>
        <v>7</v>
      </c>
      <c r="D2820" s="20">
        <v>42205</v>
      </c>
      <c r="E2820">
        <v>405</v>
      </c>
      <c r="F2820">
        <v>1007.75</v>
      </c>
      <c r="G2820">
        <v>356</v>
      </c>
      <c r="H2820">
        <v>532.75</v>
      </c>
      <c r="I2820">
        <v>31.68</v>
      </c>
      <c r="J2820">
        <v>3.1977000000000002</v>
      </c>
    </row>
    <row r="2821" spans="2:10" x14ac:dyDescent="0.3">
      <c r="B2821" s="10">
        <f t="shared" si="88"/>
        <v>2015</v>
      </c>
      <c r="C2821" s="10">
        <f t="shared" si="89"/>
        <v>7</v>
      </c>
      <c r="D2821" s="20">
        <v>42202</v>
      </c>
      <c r="E2821">
        <v>420.25</v>
      </c>
      <c r="F2821">
        <v>1014.75</v>
      </c>
      <c r="G2821">
        <v>361.1</v>
      </c>
      <c r="H2821">
        <v>554</v>
      </c>
      <c r="I2821">
        <v>31.78</v>
      </c>
      <c r="J2821">
        <v>3.1873</v>
      </c>
    </row>
    <row r="2822" spans="2:10" x14ac:dyDescent="0.3">
      <c r="B2822" s="10">
        <f t="shared" si="88"/>
        <v>2015</v>
      </c>
      <c r="C2822" s="10">
        <f t="shared" si="89"/>
        <v>7</v>
      </c>
      <c r="D2822" s="20">
        <v>42201</v>
      </c>
      <c r="E2822">
        <v>430</v>
      </c>
      <c r="F2822">
        <v>1019</v>
      </c>
      <c r="G2822">
        <v>363.6</v>
      </c>
      <c r="H2822">
        <v>562.25</v>
      </c>
      <c r="I2822">
        <v>31.46</v>
      </c>
      <c r="J2822">
        <v>3.1579999999999999</v>
      </c>
    </row>
    <row r="2823" spans="2:10" x14ac:dyDescent="0.3">
      <c r="B2823" s="10">
        <f t="shared" si="88"/>
        <v>2015</v>
      </c>
      <c r="C2823" s="10">
        <f t="shared" si="89"/>
        <v>7</v>
      </c>
      <c r="D2823" s="20">
        <v>42200</v>
      </c>
      <c r="E2823">
        <v>429.5</v>
      </c>
      <c r="F2823">
        <v>1025</v>
      </c>
      <c r="G2823">
        <v>362.2</v>
      </c>
      <c r="H2823">
        <v>566.75</v>
      </c>
      <c r="I2823">
        <v>31.65</v>
      </c>
      <c r="J2823">
        <v>3.1385000000000001</v>
      </c>
    </row>
    <row r="2824" spans="2:10" x14ac:dyDescent="0.3">
      <c r="B2824" s="10">
        <f t="shared" si="88"/>
        <v>2015</v>
      </c>
      <c r="C2824" s="10">
        <f t="shared" si="89"/>
        <v>7</v>
      </c>
      <c r="D2824" s="20">
        <v>42199</v>
      </c>
      <c r="E2824">
        <v>424</v>
      </c>
      <c r="F2824">
        <v>1039</v>
      </c>
      <c r="G2824">
        <v>374.8</v>
      </c>
      <c r="H2824">
        <v>583.5</v>
      </c>
      <c r="I2824">
        <v>32.32</v>
      </c>
      <c r="J2824">
        <v>3.1389</v>
      </c>
    </row>
    <row r="2825" spans="2:10" x14ac:dyDescent="0.3">
      <c r="B2825" s="10">
        <f t="shared" si="88"/>
        <v>2015</v>
      </c>
      <c r="C2825" s="10">
        <f t="shared" si="89"/>
        <v>7</v>
      </c>
      <c r="D2825" s="20">
        <v>42198</v>
      </c>
      <c r="E2825">
        <v>433.5</v>
      </c>
      <c r="F2825">
        <v>1045.25</v>
      </c>
      <c r="G2825">
        <v>368</v>
      </c>
      <c r="H2825">
        <v>586.75</v>
      </c>
      <c r="I2825">
        <v>32.65</v>
      </c>
      <c r="J2825">
        <v>3.1335000000000002</v>
      </c>
    </row>
    <row r="2826" spans="2:10" x14ac:dyDescent="0.3">
      <c r="B2826" s="10">
        <f t="shared" si="88"/>
        <v>2015</v>
      </c>
      <c r="C2826" s="10">
        <f t="shared" si="89"/>
        <v>7</v>
      </c>
      <c r="D2826" s="20">
        <v>42195</v>
      </c>
      <c r="E2826">
        <v>427.25</v>
      </c>
      <c r="F2826">
        <v>1043.5</v>
      </c>
      <c r="G2826">
        <v>366</v>
      </c>
      <c r="H2826">
        <v>581.5</v>
      </c>
      <c r="I2826">
        <v>32.31</v>
      </c>
      <c r="J2826">
        <v>3.1583000000000001</v>
      </c>
    </row>
    <row r="2827" spans="2:10" x14ac:dyDescent="0.3">
      <c r="B2827" s="10">
        <f t="shared" si="88"/>
        <v>2015</v>
      </c>
      <c r="C2827" s="10">
        <f t="shared" si="89"/>
        <v>7</v>
      </c>
      <c r="D2827" s="20">
        <v>42194</v>
      </c>
      <c r="E2827">
        <v>421.25</v>
      </c>
      <c r="F2827">
        <v>1037.75</v>
      </c>
      <c r="G2827">
        <v>364</v>
      </c>
      <c r="H2827">
        <v>572.25</v>
      </c>
      <c r="I2827">
        <v>32.270000000000003</v>
      </c>
      <c r="J2827">
        <v>3.2187999999999999</v>
      </c>
    </row>
    <row r="2828" spans="2:10" x14ac:dyDescent="0.3">
      <c r="B2828" s="10">
        <f t="shared" si="88"/>
        <v>2015</v>
      </c>
      <c r="C2828" s="10">
        <f t="shared" si="89"/>
        <v>7</v>
      </c>
      <c r="D2828" s="20">
        <v>42193</v>
      </c>
      <c r="E2828">
        <v>416.25</v>
      </c>
      <c r="F2828">
        <v>1006.25</v>
      </c>
      <c r="G2828">
        <v>350.8</v>
      </c>
      <c r="H2828">
        <v>572.25</v>
      </c>
      <c r="I2828">
        <v>31.6</v>
      </c>
      <c r="J2828">
        <v>3.2334999999999998</v>
      </c>
    </row>
    <row r="2829" spans="2:10" x14ac:dyDescent="0.3">
      <c r="B2829" s="10">
        <f t="shared" si="88"/>
        <v>2015</v>
      </c>
      <c r="C2829" s="10">
        <f t="shared" si="89"/>
        <v>7</v>
      </c>
      <c r="D2829" s="20">
        <v>42192</v>
      </c>
      <c r="E2829">
        <v>415.75</v>
      </c>
      <c r="F2829">
        <v>1002</v>
      </c>
      <c r="G2829">
        <v>349.9</v>
      </c>
      <c r="H2829">
        <v>579.5</v>
      </c>
      <c r="I2829">
        <v>31.41</v>
      </c>
      <c r="J2829">
        <v>3.1863000000000001</v>
      </c>
    </row>
    <row r="2830" spans="2:10" x14ac:dyDescent="0.3">
      <c r="B2830" s="10">
        <f t="shared" si="88"/>
        <v>2015</v>
      </c>
      <c r="C2830" s="10">
        <f t="shared" si="89"/>
        <v>7</v>
      </c>
      <c r="D2830" s="20">
        <v>42191</v>
      </c>
      <c r="E2830">
        <v>418.5</v>
      </c>
      <c r="F2830">
        <v>1033.75</v>
      </c>
      <c r="G2830">
        <v>354.4</v>
      </c>
      <c r="H2830">
        <v>588.5</v>
      </c>
      <c r="I2830">
        <v>32.64</v>
      </c>
      <c r="J2830">
        <v>3.1387</v>
      </c>
    </row>
    <row r="2831" spans="2:10" x14ac:dyDescent="0.3">
      <c r="B2831" s="10">
        <f t="shared" si="88"/>
        <v>2015</v>
      </c>
      <c r="C2831" s="10">
        <f t="shared" si="89"/>
        <v>7</v>
      </c>
      <c r="D2831" s="20">
        <v>42188</v>
      </c>
      <c r="J2831">
        <v>3.1339999999999999</v>
      </c>
    </row>
    <row r="2832" spans="2:10" x14ac:dyDescent="0.3">
      <c r="B2832" s="10">
        <f t="shared" si="88"/>
        <v>2015</v>
      </c>
      <c r="C2832" s="10">
        <f t="shared" si="89"/>
        <v>7</v>
      </c>
      <c r="D2832" s="20">
        <v>42187</v>
      </c>
      <c r="E2832">
        <v>419.75</v>
      </c>
      <c r="F2832">
        <v>1045.25</v>
      </c>
      <c r="G2832">
        <v>357.4</v>
      </c>
      <c r="H2832">
        <v>585.75</v>
      </c>
      <c r="I2832">
        <v>33.36</v>
      </c>
      <c r="J2832">
        <v>3.0952000000000002</v>
      </c>
    </row>
    <row r="2833" spans="2:10" x14ac:dyDescent="0.3">
      <c r="B2833" s="10">
        <f t="shared" si="88"/>
        <v>2015</v>
      </c>
      <c r="C2833" s="10">
        <f t="shared" si="89"/>
        <v>7</v>
      </c>
      <c r="D2833" s="20">
        <v>42186</v>
      </c>
      <c r="E2833">
        <v>413.75</v>
      </c>
      <c r="F2833">
        <v>1044</v>
      </c>
      <c r="G2833">
        <v>359.8</v>
      </c>
      <c r="H2833">
        <v>587.5</v>
      </c>
      <c r="I2833">
        <v>33.01</v>
      </c>
      <c r="J2833">
        <v>3.1484999999999999</v>
      </c>
    </row>
    <row r="2834" spans="2:10" x14ac:dyDescent="0.3">
      <c r="B2834" s="10">
        <f t="shared" si="88"/>
        <v>2015</v>
      </c>
      <c r="C2834" s="10">
        <f t="shared" si="89"/>
        <v>6</v>
      </c>
      <c r="D2834" s="20">
        <v>42185</v>
      </c>
      <c r="E2834">
        <v>414</v>
      </c>
      <c r="F2834">
        <v>1056.25</v>
      </c>
      <c r="G2834">
        <v>359.5</v>
      </c>
      <c r="H2834">
        <v>614.75</v>
      </c>
      <c r="I2834">
        <v>33.56</v>
      </c>
      <c r="J2834">
        <v>3.1019999999999999</v>
      </c>
    </row>
    <row r="2835" spans="2:10" x14ac:dyDescent="0.3">
      <c r="B2835" s="10">
        <f t="shared" si="88"/>
        <v>2015</v>
      </c>
      <c r="C2835" s="10">
        <f t="shared" si="89"/>
        <v>6</v>
      </c>
      <c r="D2835" s="20">
        <v>42184</v>
      </c>
      <c r="E2835">
        <v>383.25</v>
      </c>
      <c r="F2835">
        <v>1002.5</v>
      </c>
      <c r="G2835">
        <v>341.9</v>
      </c>
      <c r="H2835">
        <v>580.5</v>
      </c>
      <c r="I2835">
        <v>33.049999999999997</v>
      </c>
      <c r="J2835">
        <v>3.1175000000000002</v>
      </c>
    </row>
    <row r="2836" spans="2:10" x14ac:dyDescent="0.3">
      <c r="B2836" s="10">
        <f t="shared" si="88"/>
        <v>2015</v>
      </c>
      <c r="C2836" s="10">
        <f t="shared" si="89"/>
        <v>6</v>
      </c>
      <c r="D2836" s="20">
        <v>42181</v>
      </c>
      <c r="E2836">
        <v>385</v>
      </c>
      <c r="F2836">
        <v>1002</v>
      </c>
      <c r="G2836">
        <v>341.3</v>
      </c>
      <c r="H2836">
        <v>562.25</v>
      </c>
      <c r="I2836">
        <v>33.22</v>
      </c>
      <c r="J2836">
        <v>3.1288999999999998</v>
      </c>
    </row>
    <row r="2837" spans="2:10" x14ac:dyDescent="0.3">
      <c r="B2837" s="10">
        <f t="shared" si="88"/>
        <v>2015</v>
      </c>
      <c r="C2837" s="10">
        <f t="shared" si="89"/>
        <v>6</v>
      </c>
      <c r="D2837" s="20">
        <v>42180</v>
      </c>
      <c r="E2837">
        <v>376.5</v>
      </c>
      <c r="F2837">
        <v>1000.25</v>
      </c>
      <c r="G2837">
        <v>336.7</v>
      </c>
      <c r="H2837">
        <v>532</v>
      </c>
      <c r="I2837">
        <v>33.36</v>
      </c>
      <c r="J2837">
        <v>3.1269</v>
      </c>
    </row>
    <row r="2838" spans="2:10" x14ac:dyDescent="0.3">
      <c r="B2838" s="10">
        <f t="shared" si="88"/>
        <v>2015</v>
      </c>
      <c r="C2838" s="10">
        <f t="shared" si="89"/>
        <v>6</v>
      </c>
      <c r="D2838" s="20">
        <v>42179</v>
      </c>
      <c r="E2838">
        <v>366.5</v>
      </c>
      <c r="F2838">
        <v>981.75</v>
      </c>
      <c r="G2838">
        <v>328</v>
      </c>
      <c r="H2838">
        <v>518</v>
      </c>
      <c r="I2838">
        <v>33.270000000000003</v>
      </c>
      <c r="J2838">
        <v>3.0968</v>
      </c>
    </row>
    <row r="2839" spans="2:10" x14ac:dyDescent="0.3">
      <c r="B2839" s="10">
        <f t="shared" si="88"/>
        <v>2015</v>
      </c>
      <c r="C2839" s="10">
        <f t="shared" si="89"/>
        <v>6</v>
      </c>
      <c r="D2839" s="20">
        <v>42178</v>
      </c>
      <c r="E2839">
        <v>367.5</v>
      </c>
      <c r="F2839">
        <v>987.5</v>
      </c>
      <c r="G2839">
        <v>331.9</v>
      </c>
      <c r="H2839">
        <v>521.5</v>
      </c>
      <c r="I2839">
        <v>32.82</v>
      </c>
      <c r="J2839">
        <v>3.0748000000000002</v>
      </c>
    </row>
    <row r="2840" spans="2:10" x14ac:dyDescent="0.3">
      <c r="B2840" s="10">
        <f t="shared" si="88"/>
        <v>2015</v>
      </c>
      <c r="C2840" s="10">
        <f t="shared" si="89"/>
        <v>6</v>
      </c>
      <c r="D2840" s="20">
        <v>42177</v>
      </c>
      <c r="E2840">
        <v>360</v>
      </c>
      <c r="F2840">
        <v>989.5</v>
      </c>
      <c r="G2840">
        <v>333.6</v>
      </c>
      <c r="H2840">
        <v>501.25</v>
      </c>
      <c r="I2840">
        <v>32.92</v>
      </c>
      <c r="J2840">
        <v>3.0798999999999999</v>
      </c>
    </row>
    <row r="2841" spans="2:10" x14ac:dyDescent="0.3">
      <c r="B2841" s="10">
        <f t="shared" si="88"/>
        <v>2015</v>
      </c>
      <c r="C2841" s="10">
        <f t="shared" si="89"/>
        <v>6</v>
      </c>
      <c r="D2841" s="20">
        <v>42174</v>
      </c>
      <c r="E2841">
        <v>353.25</v>
      </c>
      <c r="F2841">
        <v>971.5</v>
      </c>
      <c r="G2841">
        <v>323.10000000000002</v>
      </c>
      <c r="H2841">
        <v>488.5</v>
      </c>
      <c r="I2841">
        <v>32.549999999999997</v>
      </c>
      <c r="J2841">
        <v>3.0962999999999998</v>
      </c>
    </row>
    <row r="2842" spans="2:10" x14ac:dyDescent="0.3">
      <c r="B2842" s="10">
        <f t="shared" si="88"/>
        <v>2015</v>
      </c>
      <c r="C2842" s="10">
        <f t="shared" si="89"/>
        <v>6</v>
      </c>
      <c r="D2842" s="20">
        <v>42173</v>
      </c>
      <c r="E2842">
        <v>358</v>
      </c>
      <c r="F2842">
        <v>977.75</v>
      </c>
      <c r="G2842">
        <v>326.60000000000002</v>
      </c>
      <c r="H2842">
        <v>488</v>
      </c>
      <c r="I2842">
        <v>32.25</v>
      </c>
      <c r="J2842">
        <v>3.0592999999999999</v>
      </c>
    </row>
    <row r="2843" spans="2:10" x14ac:dyDescent="0.3">
      <c r="B2843" s="10">
        <f t="shared" si="88"/>
        <v>2015</v>
      </c>
      <c r="C2843" s="10">
        <f t="shared" si="89"/>
        <v>6</v>
      </c>
      <c r="D2843" s="20">
        <v>42172</v>
      </c>
      <c r="E2843">
        <v>359.25</v>
      </c>
      <c r="F2843">
        <v>969</v>
      </c>
      <c r="G2843">
        <v>323.7</v>
      </c>
      <c r="H2843">
        <v>491.25</v>
      </c>
      <c r="I2843">
        <v>32.85</v>
      </c>
      <c r="J2843">
        <v>3.0564</v>
      </c>
    </row>
    <row r="2844" spans="2:10" x14ac:dyDescent="0.3">
      <c r="B2844" s="10">
        <f t="shared" si="88"/>
        <v>2015</v>
      </c>
      <c r="C2844" s="10">
        <f t="shared" si="89"/>
        <v>6</v>
      </c>
      <c r="D2844" s="20">
        <v>42171</v>
      </c>
      <c r="E2844">
        <v>354</v>
      </c>
      <c r="F2844">
        <v>957.5</v>
      </c>
      <c r="G2844">
        <v>320.8</v>
      </c>
      <c r="H2844">
        <v>488.75</v>
      </c>
      <c r="I2844">
        <v>32.9</v>
      </c>
      <c r="J2844">
        <v>3.0874000000000001</v>
      </c>
    </row>
    <row r="2845" spans="2:10" x14ac:dyDescent="0.3">
      <c r="B2845" s="10">
        <f t="shared" si="88"/>
        <v>2015</v>
      </c>
      <c r="C2845" s="10">
        <f t="shared" si="89"/>
        <v>6</v>
      </c>
      <c r="D2845" s="20">
        <v>42170</v>
      </c>
      <c r="E2845">
        <v>348.25</v>
      </c>
      <c r="F2845">
        <v>937.75</v>
      </c>
      <c r="G2845">
        <v>313.2</v>
      </c>
      <c r="H2845">
        <v>489.25</v>
      </c>
      <c r="I2845">
        <v>32.69</v>
      </c>
      <c r="J2845">
        <v>3.1295999999999999</v>
      </c>
    </row>
    <row r="2846" spans="2:10" x14ac:dyDescent="0.3">
      <c r="B2846" s="10">
        <f t="shared" si="88"/>
        <v>2015</v>
      </c>
      <c r="C2846" s="10">
        <f t="shared" si="89"/>
        <v>6</v>
      </c>
      <c r="D2846" s="20">
        <v>42167</v>
      </c>
      <c r="E2846">
        <v>353</v>
      </c>
      <c r="F2846">
        <v>940</v>
      </c>
      <c r="G2846">
        <v>317.39999999999998</v>
      </c>
      <c r="H2846">
        <v>503.75</v>
      </c>
      <c r="I2846">
        <v>33.14</v>
      </c>
      <c r="J2846">
        <v>3.117</v>
      </c>
    </row>
    <row r="2847" spans="2:10" x14ac:dyDescent="0.3">
      <c r="B2847" s="10">
        <f t="shared" si="88"/>
        <v>2015</v>
      </c>
      <c r="C2847" s="10">
        <f t="shared" si="89"/>
        <v>6</v>
      </c>
      <c r="D2847" s="20">
        <v>42166</v>
      </c>
      <c r="E2847">
        <v>356.5</v>
      </c>
      <c r="F2847">
        <v>940</v>
      </c>
      <c r="G2847">
        <v>313.39999999999998</v>
      </c>
      <c r="H2847">
        <v>504.25</v>
      </c>
      <c r="I2847">
        <v>33.29</v>
      </c>
      <c r="J2847">
        <v>3.0893000000000002</v>
      </c>
    </row>
    <row r="2848" spans="2:10" x14ac:dyDescent="0.3">
      <c r="B2848" s="10">
        <f t="shared" si="88"/>
        <v>2015</v>
      </c>
      <c r="C2848" s="10">
        <f t="shared" si="89"/>
        <v>6</v>
      </c>
      <c r="D2848" s="20">
        <v>42165</v>
      </c>
      <c r="E2848">
        <v>357.25</v>
      </c>
      <c r="F2848">
        <v>949.5</v>
      </c>
      <c r="G2848">
        <v>314.39999999999998</v>
      </c>
      <c r="H2848">
        <v>513.5</v>
      </c>
      <c r="I2848">
        <v>33.869999999999997</v>
      </c>
      <c r="J2848">
        <v>3.1172</v>
      </c>
    </row>
    <row r="2849" spans="2:10" x14ac:dyDescent="0.3">
      <c r="B2849" s="10">
        <f t="shared" si="88"/>
        <v>2015</v>
      </c>
      <c r="C2849" s="10">
        <f t="shared" si="89"/>
        <v>6</v>
      </c>
      <c r="D2849" s="20">
        <v>42164</v>
      </c>
      <c r="E2849">
        <v>365</v>
      </c>
      <c r="F2849">
        <v>951.5</v>
      </c>
      <c r="G2849">
        <v>316.5</v>
      </c>
      <c r="H2849">
        <v>532.25</v>
      </c>
      <c r="I2849">
        <v>33.93</v>
      </c>
      <c r="J2849">
        <v>3.0960000000000001</v>
      </c>
    </row>
    <row r="2850" spans="2:10" x14ac:dyDescent="0.3">
      <c r="B2850" s="10">
        <f t="shared" si="88"/>
        <v>2015</v>
      </c>
      <c r="C2850" s="10">
        <f t="shared" si="89"/>
        <v>6</v>
      </c>
      <c r="D2850" s="20">
        <v>42163</v>
      </c>
      <c r="E2850">
        <v>365.25</v>
      </c>
      <c r="F2850">
        <v>944.25</v>
      </c>
      <c r="G2850">
        <v>309.5</v>
      </c>
      <c r="H2850">
        <v>528</v>
      </c>
      <c r="I2850">
        <v>34.1</v>
      </c>
      <c r="J2850">
        <v>3.1124000000000001</v>
      </c>
    </row>
    <row r="2851" spans="2:10" x14ac:dyDescent="0.3">
      <c r="B2851" s="10">
        <f t="shared" si="88"/>
        <v>2015</v>
      </c>
      <c r="C2851" s="10">
        <f t="shared" si="89"/>
        <v>6</v>
      </c>
      <c r="D2851" s="20">
        <v>42160</v>
      </c>
      <c r="E2851">
        <v>360.5</v>
      </c>
      <c r="F2851">
        <v>937.75</v>
      </c>
      <c r="G2851">
        <v>304.89999999999998</v>
      </c>
      <c r="H2851">
        <v>517</v>
      </c>
      <c r="I2851">
        <v>34.78</v>
      </c>
      <c r="J2851">
        <v>3.1433</v>
      </c>
    </row>
    <row r="2852" spans="2:10" x14ac:dyDescent="0.3">
      <c r="B2852" s="10">
        <f t="shared" si="88"/>
        <v>2015</v>
      </c>
      <c r="C2852" s="10">
        <f t="shared" si="89"/>
        <v>6</v>
      </c>
      <c r="D2852" s="20">
        <v>42159</v>
      </c>
      <c r="E2852">
        <v>363.5</v>
      </c>
      <c r="F2852">
        <v>946.5</v>
      </c>
      <c r="G2852">
        <v>305.7</v>
      </c>
      <c r="H2852">
        <v>523.75</v>
      </c>
      <c r="I2852">
        <v>34.53</v>
      </c>
      <c r="J2852">
        <v>3.1402999999999999</v>
      </c>
    </row>
    <row r="2853" spans="2:10" x14ac:dyDescent="0.3">
      <c r="B2853" s="10">
        <f t="shared" si="88"/>
        <v>2015</v>
      </c>
      <c r="C2853" s="10">
        <f t="shared" si="89"/>
        <v>6</v>
      </c>
      <c r="D2853" s="20">
        <v>42158</v>
      </c>
      <c r="E2853">
        <v>359</v>
      </c>
      <c r="F2853">
        <v>935.25</v>
      </c>
      <c r="G2853">
        <v>302.7</v>
      </c>
      <c r="H2853">
        <v>510.75</v>
      </c>
      <c r="I2853">
        <v>34.729999999999997</v>
      </c>
      <c r="J2853">
        <v>3.1335999999999999</v>
      </c>
    </row>
    <row r="2854" spans="2:10" x14ac:dyDescent="0.3">
      <c r="B2854" s="10">
        <f t="shared" si="88"/>
        <v>2015</v>
      </c>
      <c r="C2854" s="10">
        <f t="shared" si="89"/>
        <v>6</v>
      </c>
      <c r="D2854" s="20">
        <v>42157</v>
      </c>
      <c r="E2854">
        <v>359</v>
      </c>
      <c r="F2854">
        <v>940.75</v>
      </c>
      <c r="G2854">
        <v>301.8</v>
      </c>
      <c r="H2854">
        <v>512.5</v>
      </c>
      <c r="I2854">
        <v>34.17</v>
      </c>
      <c r="J2854">
        <v>3.1295999999999999</v>
      </c>
    </row>
    <row r="2855" spans="2:10" x14ac:dyDescent="0.3">
      <c r="B2855" s="10">
        <f t="shared" si="88"/>
        <v>2015</v>
      </c>
      <c r="C2855" s="10">
        <f t="shared" si="89"/>
        <v>6</v>
      </c>
      <c r="D2855" s="20">
        <v>42156</v>
      </c>
      <c r="E2855">
        <v>352.25</v>
      </c>
      <c r="F2855">
        <v>926</v>
      </c>
      <c r="G2855">
        <v>296.60000000000002</v>
      </c>
      <c r="H2855">
        <v>493.75</v>
      </c>
      <c r="I2855">
        <v>34.51</v>
      </c>
      <c r="J2855">
        <v>3.1703000000000001</v>
      </c>
    </row>
    <row r="2856" spans="2:10" x14ac:dyDescent="0.3">
      <c r="B2856" s="10">
        <f t="shared" si="88"/>
        <v>2015</v>
      </c>
      <c r="C2856" s="10">
        <f t="shared" si="89"/>
        <v>5</v>
      </c>
      <c r="D2856" s="20">
        <v>42153</v>
      </c>
      <c r="E2856">
        <v>351.5</v>
      </c>
      <c r="F2856">
        <v>934</v>
      </c>
      <c r="G2856">
        <v>305.7</v>
      </c>
      <c r="H2856">
        <v>477</v>
      </c>
      <c r="I2856">
        <v>33.33</v>
      </c>
      <c r="J2856">
        <v>3.1787999999999998</v>
      </c>
    </row>
    <row r="2857" spans="2:10" x14ac:dyDescent="0.3">
      <c r="B2857" s="10">
        <f t="shared" si="88"/>
        <v>2015</v>
      </c>
      <c r="C2857" s="10">
        <f t="shared" si="89"/>
        <v>5</v>
      </c>
      <c r="D2857" s="20">
        <v>42152</v>
      </c>
      <c r="E2857">
        <v>353.5</v>
      </c>
      <c r="F2857">
        <v>926</v>
      </c>
      <c r="G2857">
        <v>304.8</v>
      </c>
      <c r="H2857">
        <v>488.75</v>
      </c>
      <c r="I2857">
        <v>32.06</v>
      </c>
      <c r="J2857">
        <v>3.1621000000000001</v>
      </c>
    </row>
    <row r="2858" spans="2:10" x14ac:dyDescent="0.3">
      <c r="B2858" s="10">
        <f t="shared" si="88"/>
        <v>2015</v>
      </c>
      <c r="C2858" s="10">
        <f t="shared" si="89"/>
        <v>5</v>
      </c>
      <c r="D2858" s="20">
        <v>42151</v>
      </c>
      <c r="E2858">
        <v>349.5</v>
      </c>
      <c r="F2858">
        <v>927</v>
      </c>
      <c r="G2858">
        <v>308.10000000000002</v>
      </c>
      <c r="H2858">
        <v>487.75</v>
      </c>
      <c r="I2858">
        <v>31.73</v>
      </c>
      <c r="J2858">
        <v>3.1394000000000002</v>
      </c>
    </row>
    <row r="2859" spans="2:10" x14ac:dyDescent="0.3">
      <c r="B2859" s="10">
        <f t="shared" si="88"/>
        <v>2015</v>
      </c>
      <c r="C2859" s="10">
        <f t="shared" si="89"/>
        <v>5</v>
      </c>
      <c r="D2859" s="20">
        <v>42150</v>
      </c>
      <c r="E2859">
        <v>355</v>
      </c>
      <c r="F2859">
        <v>922.5</v>
      </c>
      <c r="G2859">
        <v>301.89999999999998</v>
      </c>
      <c r="H2859">
        <v>493.5</v>
      </c>
      <c r="I2859">
        <v>32.14</v>
      </c>
      <c r="J2859">
        <v>3.153</v>
      </c>
    </row>
    <row r="2860" spans="2:10" x14ac:dyDescent="0.3">
      <c r="B2860" s="10">
        <f t="shared" si="88"/>
        <v>2015</v>
      </c>
      <c r="C2860" s="10">
        <f t="shared" si="89"/>
        <v>5</v>
      </c>
      <c r="D2860" s="20">
        <v>42149</v>
      </c>
      <c r="J2860">
        <v>3.0956999999999999</v>
      </c>
    </row>
    <row r="2861" spans="2:10" x14ac:dyDescent="0.3">
      <c r="B2861" s="10">
        <f t="shared" si="88"/>
        <v>2015</v>
      </c>
      <c r="C2861" s="10">
        <f t="shared" si="89"/>
        <v>5</v>
      </c>
      <c r="D2861" s="20">
        <v>42146</v>
      </c>
      <c r="E2861">
        <v>360</v>
      </c>
      <c r="F2861">
        <v>924.25</v>
      </c>
      <c r="G2861">
        <v>304.2</v>
      </c>
      <c r="H2861">
        <v>515.25</v>
      </c>
      <c r="I2861">
        <v>31.64</v>
      </c>
      <c r="J2861">
        <v>3.0933999999999999</v>
      </c>
    </row>
    <row r="2862" spans="2:10" x14ac:dyDescent="0.3">
      <c r="B2862" s="10">
        <f t="shared" si="88"/>
        <v>2015</v>
      </c>
      <c r="C2862" s="10">
        <f t="shared" si="89"/>
        <v>5</v>
      </c>
      <c r="D2862" s="20">
        <v>42145</v>
      </c>
      <c r="E2862">
        <v>365</v>
      </c>
      <c r="F2862">
        <v>938.5</v>
      </c>
      <c r="G2862">
        <v>304.10000000000002</v>
      </c>
      <c r="H2862">
        <v>522</v>
      </c>
      <c r="I2862">
        <v>32.25</v>
      </c>
      <c r="J2862">
        <v>3.0375999999999999</v>
      </c>
    </row>
    <row r="2863" spans="2:10" x14ac:dyDescent="0.3">
      <c r="B2863" s="10">
        <f t="shared" si="88"/>
        <v>2015</v>
      </c>
      <c r="C2863" s="10">
        <f t="shared" si="89"/>
        <v>5</v>
      </c>
      <c r="D2863" s="20">
        <v>42144</v>
      </c>
      <c r="E2863">
        <v>360</v>
      </c>
      <c r="F2863">
        <v>941.25</v>
      </c>
      <c r="G2863">
        <v>304.5</v>
      </c>
      <c r="H2863">
        <v>513</v>
      </c>
      <c r="I2863">
        <v>32.200000000000003</v>
      </c>
      <c r="J2863">
        <v>3.0017</v>
      </c>
    </row>
    <row r="2864" spans="2:10" x14ac:dyDescent="0.3">
      <c r="B2864" s="10">
        <f t="shared" si="88"/>
        <v>2015</v>
      </c>
      <c r="C2864" s="10">
        <f t="shared" si="89"/>
        <v>5</v>
      </c>
      <c r="D2864" s="20">
        <v>42143</v>
      </c>
      <c r="E2864">
        <v>362</v>
      </c>
      <c r="F2864">
        <v>946.25</v>
      </c>
      <c r="G2864">
        <v>307.10000000000002</v>
      </c>
      <c r="H2864">
        <v>510.25</v>
      </c>
      <c r="I2864">
        <v>32.18</v>
      </c>
      <c r="J2864">
        <v>3.0390999999999999</v>
      </c>
    </row>
    <row r="2865" spans="2:10" x14ac:dyDescent="0.3">
      <c r="B2865" s="10">
        <f t="shared" si="88"/>
        <v>2015</v>
      </c>
      <c r="C2865" s="10">
        <f t="shared" si="89"/>
        <v>5</v>
      </c>
      <c r="D2865" s="20">
        <v>42142</v>
      </c>
      <c r="E2865">
        <v>368</v>
      </c>
      <c r="F2865">
        <v>954.5</v>
      </c>
      <c r="G2865">
        <v>308</v>
      </c>
      <c r="H2865">
        <v>521.75</v>
      </c>
      <c r="I2865">
        <v>32.78</v>
      </c>
      <c r="J2865">
        <v>3.0062000000000002</v>
      </c>
    </row>
    <row r="2866" spans="2:10" x14ac:dyDescent="0.3">
      <c r="B2866" s="10">
        <f t="shared" si="88"/>
        <v>2015</v>
      </c>
      <c r="C2866" s="10">
        <f t="shared" si="89"/>
        <v>5</v>
      </c>
      <c r="D2866" s="20">
        <v>42139</v>
      </c>
      <c r="E2866">
        <v>365.5</v>
      </c>
      <c r="F2866">
        <v>953.25</v>
      </c>
      <c r="G2866">
        <v>303.3</v>
      </c>
      <c r="H2866">
        <v>511</v>
      </c>
      <c r="I2866">
        <v>33.07</v>
      </c>
      <c r="J2866">
        <v>2.9956999999999998</v>
      </c>
    </row>
    <row r="2867" spans="2:10" x14ac:dyDescent="0.3">
      <c r="B2867" s="10">
        <f t="shared" si="88"/>
        <v>2015</v>
      </c>
      <c r="C2867" s="10">
        <f t="shared" si="89"/>
        <v>5</v>
      </c>
      <c r="D2867" s="20">
        <v>42138</v>
      </c>
      <c r="E2867">
        <v>361</v>
      </c>
      <c r="F2867">
        <v>963</v>
      </c>
      <c r="G2867">
        <v>310.60000000000002</v>
      </c>
      <c r="H2867">
        <v>501.75</v>
      </c>
      <c r="I2867">
        <v>33</v>
      </c>
      <c r="J2867">
        <v>2.9929999999999999</v>
      </c>
    </row>
    <row r="2868" spans="2:10" x14ac:dyDescent="0.3">
      <c r="B2868" s="10">
        <f t="shared" si="88"/>
        <v>2015</v>
      </c>
      <c r="C2868" s="10">
        <f t="shared" si="89"/>
        <v>5</v>
      </c>
      <c r="D2868" s="20">
        <v>42137</v>
      </c>
      <c r="E2868">
        <v>356</v>
      </c>
      <c r="F2868">
        <v>975</v>
      </c>
      <c r="G2868">
        <v>301.7</v>
      </c>
      <c r="H2868">
        <v>481</v>
      </c>
      <c r="I2868">
        <v>33.11</v>
      </c>
      <c r="J2868">
        <v>3.0388999999999999</v>
      </c>
    </row>
    <row r="2869" spans="2:10" x14ac:dyDescent="0.3">
      <c r="B2869" s="10">
        <f t="shared" si="88"/>
        <v>2015</v>
      </c>
      <c r="C2869" s="10">
        <f t="shared" si="89"/>
        <v>5</v>
      </c>
      <c r="D2869" s="20">
        <v>42136</v>
      </c>
      <c r="E2869">
        <v>357</v>
      </c>
      <c r="F2869">
        <v>967</v>
      </c>
      <c r="G2869">
        <v>302.5</v>
      </c>
      <c r="H2869">
        <v>479.25</v>
      </c>
      <c r="I2869">
        <v>32.81</v>
      </c>
      <c r="J2869">
        <v>3.0192999999999999</v>
      </c>
    </row>
    <row r="2870" spans="2:10" x14ac:dyDescent="0.3">
      <c r="B2870" s="10">
        <f t="shared" si="88"/>
        <v>2015</v>
      </c>
      <c r="C2870" s="10">
        <f t="shared" si="89"/>
        <v>5</v>
      </c>
      <c r="D2870" s="20">
        <v>42135</v>
      </c>
      <c r="E2870">
        <v>358.25</v>
      </c>
      <c r="F2870">
        <v>983</v>
      </c>
      <c r="G2870">
        <v>312.10000000000002</v>
      </c>
      <c r="H2870">
        <v>476.25</v>
      </c>
      <c r="I2870">
        <v>33.04</v>
      </c>
      <c r="J2870">
        <v>3.06</v>
      </c>
    </row>
    <row r="2871" spans="2:10" x14ac:dyDescent="0.3">
      <c r="B2871" s="10">
        <f t="shared" si="88"/>
        <v>2015</v>
      </c>
      <c r="C2871" s="10">
        <f t="shared" si="89"/>
        <v>5</v>
      </c>
      <c r="D2871" s="20">
        <v>42132</v>
      </c>
      <c r="E2871">
        <v>358.5</v>
      </c>
      <c r="F2871">
        <v>984.5</v>
      </c>
      <c r="G2871">
        <v>315.2</v>
      </c>
      <c r="H2871">
        <v>476.5</v>
      </c>
      <c r="I2871">
        <v>32.799999999999997</v>
      </c>
      <c r="J2871">
        <v>2.972</v>
      </c>
    </row>
    <row r="2872" spans="2:10" x14ac:dyDescent="0.3">
      <c r="B2872" s="10">
        <f t="shared" si="88"/>
        <v>2015</v>
      </c>
      <c r="C2872" s="10">
        <f t="shared" si="89"/>
        <v>5</v>
      </c>
      <c r="D2872" s="20">
        <v>42131</v>
      </c>
      <c r="E2872">
        <v>357.75</v>
      </c>
      <c r="F2872">
        <v>981.5</v>
      </c>
      <c r="G2872">
        <v>317.39999999999998</v>
      </c>
      <c r="H2872">
        <v>465.75</v>
      </c>
      <c r="I2872">
        <v>32.31</v>
      </c>
      <c r="J2872">
        <v>3.0245000000000002</v>
      </c>
    </row>
    <row r="2873" spans="2:10" x14ac:dyDescent="0.3">
      <c r="B2873" s="10">
        <f t="shared" si="88"/>
        <v>2015</v>
      </c>
      <c r="C2873" s="10">
        <f t="shared" si="89"/>
        <v>5</v>
      </c>
      <c r="D2873" s="20">
        <v>42130</v>
      </c>
      <c r="E2873">
        <v>366.5</v>
      </c>
      <c r="F2873">
        <v>990.5</v>
      </c>
      <c r="G2873">
        <v>317.60000000000002</v>
      </c>
      <c r="H2873">
        <v>475.75</v>
      </c>
      <c r="I2873">
        <v>32.75</v>
      </c>
      <c r="J2873">
        <v>3.0320999999999998</v>
      </c>
    </row>
    <row r="2874" spans="2:10" x14ac:dyDescent="0.3">
      <c r="B2874" s="10">
        <f t="shared" si="88"/>
        <v>2015</v>
      </c>
      <c r="C2874" s="10">
        <f t="shared" si="89"/>
        <v>5</v>
      </c>
      <c r="D2874" s="20">
        <v>42129</v>
      </c>
      <c r="E2874">
        <v>361.25</v>
      </c>
      <c r="F2874">
        <v>993.5</v>
      </c>
      <c r="G2874">
        <v>318.10000000000002</v>
      </c>
      <c r="H2874">
        <v>464</v>
      </c>
      <c r="I2874">
        <v>32.880000000000003</v>
      </c>
      <c r="J2874">
        <v>3.0525000000000002</v>
      </c>
    </row>
    <row r="2875" spans="2:10" x14ac:dyDescent="0.3">
      <c r="B2875" s="10">
        <f t="shared" si="88"/>
        <v>2015</v>
      </c>
      <c r="C2875" s="10">
        <f t="shared" si="89"/>
        <v>5</v>
      </c>
      <c r="D2875" s="20">
        <v>42128</v>
      </c>
      <c r="E2875">
        <v>358.75</v>
      </c>
      <c r="F2875">
        <v>983</v>
      </c>
      <c r="G2875">
        <v>315.8</v>
      </c>
      <c r="H2875">
        <v>469.25</v>
      </c>
      <c r="I2875">
        <v>32.47</v>
      </c>
      <c r="J2875">
        <v>3.0855000000000001</v>
      </c>
    </row>
    <row r="2876" spans="2:10" x14ac:dyDescent="0.3">
      <c r="B2876" s="10">
        <f t="shared" si="88"/>
        <v>2015</v>
      </c>
      <c r="C2876" s="10">
        <f t="shared" si="89"/>
        <v>5</v>
      </c>
      <c r="D2876" s="20">
        <v>42125</v>
      </c>
      <c r="E2876">
        <v>359.75</v>
      </c>
      <c r="F2876">
        <v>968.5</v>
      </c>
      <c r="G2876">
        <v>314.7</v>
      </c>
      <c r="H2876">
        <v>470</v>
      </c>
      <c r="I2876">
        <v>31.44</v>
      </c>
      <c r="J2876">
        <v>3.0131000000000001</v>
      </c>
    </row>
    <row r="2877" spans="2:10" x14ac:dyDescent="0.3">
      <c r="B2877" s="10">
        <f t="shared" si="88"/>
        <v>2015</v>
      </c>
      <c r="C2877" s="10">
        <f t="shared" si="89"/>
        <v>4</v>
      </c>
      <c r="D2877" s="20">
        <v>42124</v>
      </c>
      <c r="E2877">
        <v>362.5</v>
      </c>
      <c r="F2877">
        <v>978.5</v>
      </c>
      <c r="G2877">
        <v>318.89999999999998</v>
      </c>
      <c r="H2877">
        <v>467</v>
      </c>
      <c r="I2877">
        <v>31.51</v>
      </c>
      <c r="J2877">
        <v>3.0139999999999998</v>
      </c>
    </row>
    <row r="2878" spans="2:10" x14ac:dyDescent="0.3">
      <c r="B2878" s="10">
        <f t="shared" si="88"/>
        <v>2015</v>
      </c>
      <c r="C2878" s="10">
        <f t="shared" si="89"/>
        <v>4</v>
      </c>
      <c r="D2878" s="20">
        <v>42123</v>
      </c>
      <c r="E2878">
        <v>363.75</v>
      </c>
      <c r="F2878">
        <v>988.5</v>
      </c>
      <c r="G2878">
        <v>324.2</v>
      </c>
      <c r="H2878">
        <v>477.25</v>
      </c>
      <c r="I2878">
        <v>31.47</v>
      </c>
      <c r="J2878">
        <v>2.9597000000000002</v>
      </c>
    </row>
    <row r="2879" spans="2:10" x14ac:dyDescent="0.3">
      <c r="B2879" s="10">
        <f t="shared" si="88"/>
        <v>2015</v>
      </c>
      <c r="C2879" s="10">
        <f t="shared" si="89"/>
        <v>4</v>
      </c>
      <c r="D2879" s="20">
        <v>42122</v>
      </c>
      <c r="E2879">
        <v>361</v>
      </c>
      <c r="F2879">
        <v>977.5</v>
      </c>
      <c r="G2879">
        <v>318.7</v>
      </c>
      <c r="H2879">
        <v>471.5</v>
      </c>
      <c r="I2879">
        <v>31.23</v>
      </c>
      <c r="J2879">
        <v>2.9359999999999999</v>
      </c>
    </row>
    <row r="2880" spans="2:10" x14ac:dyDescent="0.3">
      <c r="B2880" s="10">
        <f t="shared" ref="B2880:B2943" si="90">YEAR(D2880)</f>
        <v>2015</v>
      </c>
      <c r="C2880" s="10">
        <f t="shared" ref="C2880:C2943" si="91">MONTH(D2880)</f>
        <v>4</v>
      </c>
      <c r="D2880" s="20">
        <v>42121</v>
      </c>
      <c r="E2880">
        <v>360.75</v>
      </c>
      <c r="F2880">
        <v>973</v>
      </c>
      <c r="G2880">
        <v>315.10000000000002</v>
      </c>
      <c r="H2880">
        <v>470.25</v>
      </c>
      <c r="I2880">
        <v>31.66</v>
      </c>
      <c r="J2880">
        <v>2.9159999999999999</v>
      </c>
    </row>
    <row r="2881" spans="2:10" x14ac:dyDescent="0.3">
      <c r="B2881" s="10">
        <f t="shared" si="90"/>
        <v>2015</v>
      </c>
      <c r="C2881" s="10">
        <f t="shared" si="91"/>
        <v>4</v>
      </c>
      <c r="D2881" s="20">
        <v>42118</v>
      </c>
      <c r="E2881">
        <v>364.5</v>
      </c>
      <c r="F2881">
        <v>969.75</v>
      </c>
      <c r="G2881">
        <v>314.60000000000002</v>
      </c>
      <c r="H2881">
        <v>486</v>
      </c>
      <c r="I2881">
        <v>31.67</v>
      </c>
      <c r="J2881">
        <v>2.9510999999999998</v>
      </c>
    </row>
    <row r="2882" spans="2:10" x14ac:dyDescent="0.3">
      <c r="B2882" s="10">
        <f t="shared" si="90"/>
        <v>2015</v>
      </c>
      <c r="C2882" s="10">
        <f t="shared" si="91"/>
        <v>4</v>
      </c>
      <c r="D2882" s="20">
        <v>42117</v>
      </c>
      <c r="E2882">
        <v>370.75</v>
      </c>
      <c r="F2882">
        <v>978.25</v>
      </c>
      <c r="G2882">
        <v>316.60000000000002</v>
      </c>
      <c r="H2882">
        <v>497.75</v>
      </c>
      <c r="I2882">
        <v>32.020000000000003</v>
      </c>
      <c r="J2882">
        <v>2.9697</v>
      </c>
    </row>
    <row r="2883" spans="2:10" x14ac:dyDescent="0.3">
      <c r="B2883" s="10">
        <f t="shared" si="90"/>
        <v>2015</v>
      </c>
      <c r="C2883" s="10">
        <f t="shared" si="91"/>
        <v>4</v>
      </c>
      <c r="D2883" s="20">
        <v>42116</v>
      </c>
      <c r="E2883">
        <v>372.5</v>
      </c>
      <c r="F2883">
        <v>970.5</v>
      </c>
      <c r="G2883">
        <v>315.5</v>
      </c>
      <c r="H2883">
        <v>498.75</v>
      </c>
      <c r="I2883">
        <v>31.56</v>
      </c>
      <c r="J2883">
        <v>3.0097999999999998</v>
      </c>
    </row>
    <row r="2884" spans="2:10" x14ac:dyDescent="0.3">
      <c r="B2884" s="10">
        <f t="shared" si="90"/>
        <v>2015</v>
      </c>
      <c r="C2884" s="10">
        <f t="shared" si="91"/>
        <v>4</v>
      </c>
      <c r="D2884" s="20">
        <v>42115</v>
      </c>
      <c r="E2884">
        <v>373</v>
      </c>
      <c r="F2884">
        <v>975.25</v>
      </c>
      <c r="G2884">
        <v>315.8</v>
      </c>
      <c r="H2884">
        <v>500.75</v>
      </c>
      <c r="I2884">
        <v>31.82</v>
      </c>
      <c r="J2884">
        <v>3.0335000000000001</v>
      </c>
    </row>
    <row r="2885" spans="2:10" x14ac:dyDescent="0.3">
      <c r="B2885" s="10">
        <f t="shared" si="90"/>
        <v>2015</v>
      </c>
      <c r="C2885" s="10">
        <f t="shared" si="91"/>
        <v>4</v>
      </c>
      <c r="D2885" s="20">
        <v>42114</v>
      </c>
      <c r="E2885">
        <v>378</v>
      </c>
      <c r="F2885">
        <v>977.5</v>
      </c>
      <c r="G2885">
        <v>318.5</v>
      </c>
      <c r="H2885">
        <v>498.75</v>
      </c>
      <c r="I2885">
        <v>31.59</v>
      </c>
      <c r="J2885">
        <v>3.032</v>
      </c>
    </row>
    <row r="2886" spans="2:10" x14ac:dyDescent="0.3">
      <c r="B2886" s="10">
        <f t="shared" si="90"/>
        <v>2015</v>
      </c>
      <c r="C2886" s="10">
        <f t="shared" si="91"/>
        <v>4</v>
      </c>
      <c r="D2886" s="20">
        <v>42111</v>
      </c>
      <c r="E2886">
        <v>379.75</v>
      </c>
      <c r="F2886">
        <v>968.75</v>
      </c>
      <c r="G2886">
        <v>315</v>
      </c>
      <c r="H2886">
        <v>494.5</v>
      </c>
      <c r="I2886">
        <v>31.52</v>
      </c>
      <c r="J2886">
        <v>3.0404</v>
      </c>
    </row>
    <row r="2887" spans="2:10" x14ac:dyDescent="0.3">
      <c r="B2887" s="10">
        <f t="shared" si="90"/>
        <v>2015</v>
      </c>
      <c r="C2887" s="10">
        <f t="shared" si="91"/>
        <v>4</v>
      </c>
      <c r="D2887" s="20">
        <v>42110</v>
      </c>
      <c r="E2887">
        <v>376.25</v>
      </c>
      <c r="F2887">
        <v>966</v>
      </c>
      <c r="G2887">
        <v>312.39999999999998</v>
      </c>
      <c r="H2887">
        <v>494.5</v>
      </c>
      <c r="I2887">
        <v>31.76</v>
      </c>
      <c r="J2887">
        <v>3.0217000000000001</v>
      </c>
    </row>
    <row r="2888" spans="2:10" x14ac:dyDescent="0.3">
      <c r="B2888" s="10">
        <f t="shared" si="90"/>
        <v>2015</v>
      </c>
      <c r="C2888" s="10">
        <f t="shared" si="91"/>
        <v>4</v>
      </c>
      <c r="D2888" s="20">
        <v>42109</v>
      </c>
      <c r="E2888">
        <v>376</v>
      </c>
      <c r="F2888">
        <v>965</v>
      </c>
      <c r="G2888">
        <v>311.5</v>
      </c>
      <c r="H2888">
        <v>490.75</v>
      </c>
      <c r="I2888">
        <v>31.8</v>
      </c>
      <c r="J2888">
        <v>3.0283000000000002</v>
      </c>
    </row>
    <row r="2889" spans="2:10" x14ac:dyDescent="0.3">
      <c r="B2889" s="10">
        <f t="shared" si="90"/>
        <v>2015</v>
      </c>
      <c r="C2889" s="10">
        <f t="shared" si="91"/>
        <v>4</v>
      </c>
      <c r="D2889" s="20">
        <v>42108</v>
      </c>
      <c r="E2889">
        <v>373.5</v>
      </c>
      <c r="F2889">
        <v>960.25</v>
      </c>
      <c r="G2889">
        <v>313.60000000000002</v>
      </c>
      <c r="H2889">
        <v>497</v>
      </c>
      <c r="I2889">
        <v>31.3</v>
      </c>
      <c r="J2889">
        <v>3.0623</v>
      </c>
    </row>
    <row r="2890" spans="2:10" x14ac:dyDescent="0.3">
      <c r="B2890" s="10">
        <f t="shared" si="90"/>
        <v>2015</v>
      </c>
      <c r="C2890" s="10">
        <f t="shared" si="91"/>
        <v>4</v>
      </c>
      <c r="D2890" s="20">
        <v>42107</v>
      </c>
      <c r="E2890">
        <v>370.5</v>
      </c>
      <c r="F2890">
        <v>948.75</v>
      </c>
      <c r="G2890">
        <v>308.8</v>
      </c>
      <c r="H2890">
        <v>502.25</v>
      </c>
      <c r="I2890">
        <v>31.04</v>
      </c>
      <c r="J2890">
        <v>3.1204999999999998</v>
      </c>
    </row>
    <row r="2891" spans="2:10" x14ac:dyDescent="0.3">
      <c r="B2891" s="10">
        <f t="shared" si="90"/>
        <v>2015</v>
      </c>
      <c r="C2891" s="10">
        <f t="shared" si="91"/>
        <v>4</v>
      </c>
      <c r="D2891" s="20">
        <v>42104</v>
      </c>
      <c r="E2891">
        <v>377</v>
      </c>
      <c r="F2891">
        <v>951.5</v>
      </c>
      <c r="G2891">
        <v>309.2</v>
      </c>
      <c r="H2891">
        <v>526.5</v>
      </c>
      <c r="I2891">
        <v>31.09</v>
      </c>
      <c r="J2891">
        <v>3.0745</v>
      </c>
    </row>
    <row r="2892" spans="2:10" x14ac:dyDescent="0.3">
      <c r="B2892" s="10">
        <f t="shared" si="90"/>
        <v>2015</v>
      </c>
      <c r="C2892" s="10">
        <f t="shared" si="91"/>
        <v>4</v>
      </c>
      <c r="D2892" s="20">
        <v>42103</v>
      </c>
      <c r="E2892">
        <v>378</v>
      </c>
      <c r="F2892">
        <v>953.5</v>
      </c>
      <c r="G2892">
        <v>312.10000000000002</v>
      </c>
      <c r="H2892">
        <v>518.75</v>
      </c>
      <c r="I2892">
        <v>30.84</v>
      </c>
      <c r="J2892">
        <v>3.0585</v>
      </c>
    </row>
    <row r="2893" spans="2:10" x14ac:dyDescent="0.3">
      <c r="B2893" s="10">
        <f t="shared" si="90"/>
        <v>2015</v>
      </c>
      <c r="C2893" s="10">
        <f t="shared" si="91"/>
        <v>4</v>
      </c>
      <c r="D2893" s="20">
        <v>42102</v>
      </c>
      <c r="E2893">
        <v>379.25</v>
      </c>
      <c r="F2893">
        <v>971.5</v>
      </c>
      <c r="G2893">
        <v>319.89999999999998</v>
      </c>
      <c r="H2893">
        <v>526.25</v>
      </c>
      <c r="I2893">
        <v>30.95</v>
      </c>
      <c r="J2893">
        <v>3.0487000000000002</v>
      </c>
    </row>
    <row r="2894" spans="2:10" x14ac:dyDescent="0.3">
      <c r="B2894" s="10">
        <f t="shared" si="90"/>
        <v>2015</v>
      </c>
      <c r="C2894" s="10">
        <f t="shared" si="91"/>
        <v>4</v>
      </c>
      <c r="D2894" s="20">
        <v>42101</v>
      </c>
      <c r="E2894">
        <v>383</v>
      </c>
      <c r="F2894">
        <v>971</v>
      </c>
      <c r="G2894">
        <v>319.7</v>
      </c>
      <c r="H2894">
        <v>526</v>
      </c>
      <c r="I2894">
        <v>31.03</v>
      </c>
      <c r="J2894">
        <v>3.1274999999999999</v>
      </c>
    </row>
    <row r="2895" spans="2:10" x14ac:dyDescent="0.3">
      <c r="B2895" s="10">
        <f t="shared" si="90"/>
        <v>2015</v>
      </c>
      <c r="C2895" s="10">
        <f t="shared" si="91"/>
        <v>4</v>
      </c>
      <c r="D2895" s="20">
        <v>42100</v>
      </c>
      <c r="E2895">
        <v>385</v>
      </c>
      <c r="F2895">
        <v>978.5</v>
      </c>
      <c r="G2895">
        <v>323</v>
      </c>
      <c r="H2895">
        <v>527.75</v>
      </c>
      <c r="I2895">
        <v>31.26</v>
      </c>
      <c r="J2895">
        <v>3.1261000000000001</v>
      </c>
    </row>
    <row r="2896" spans="2:10" x14ac:dyDescent="0.3">
      <c r="B2896" s="10">
        <f t="shared" si="90"/>
        <v>2015</v>
      </c>
      <c r="C2896" s="10">
        <f t="shared" si="91"/>
        <v>4</v>
      </c>
      <c r="D2896" s="20">
        <v>42097</v>
      </c>
      <c r="E2896">
        <v>386.5</v>
      </c>
      <c r="F2896">
        <v>986</v>
      </c>
      <c r="G2896">
        <v>327.3</v>
      </c>
      <c r="H2896">
        <v>536.25</v>
      </c>
      <c r="I2896">
        <v>31.04</v>
      </c>
      <c r="J2896">
        <v>3.12</v>
      </c>
    </row>
    <row r="2897" spans="2:10" x14ac:dyDescent="0.3">
      <c r="B2897" s="10">
        <f t="shared" si="90"/>
        <v>2015</v>
      </c>
      <c r="C2897" s="10">
        <f t="shared" si="91"/>
        <v>4</v>
      </c>
      <c r="D2897" s="20">
        <v>42096</v>
      </c>
      <c r="E2897">
        <v>386.5</v>
      </c>
      <c r="F2897">
        <v>986</v>
      </c>
      <c r="G2897">
        <v>327.3</v>
      </c>
      <c r="H2897">
        <v>536.25</v>
      </c>
      <c r="I2897">
        <v>31.04</v>
      </c>
      <c r="J2897">
        <v>3.1193</v>
      </c>
    </row>
    <row r="2898" spans="2:10" x14ac:dyDescent="0.3">
      <c r="B2898" s="10">
        <f t="shared" si="90"/>
        <v>2015</v>
      </c>
      <c r="C2898" s="10">
        <f t="shared" si="91"/>
        <v>4</v>
      </c>
      <c r="D2898" s="20">
        <v>42095</v>
      </c>
      <c r="E2898">
        <v>381.75</v>
      </c>
      <c r="F2898">
        <v>989.75</v>
      </c>
      <c r="G2898">
        <v>331.9</v>
      </c>
      <c r="H2898">
        <v>528.5</v>
      </c>
      <c r="I2898">
        <v>30.69</v>
      </c>
      <c r="J2898">
        <v>3.1646999999999998</v>
      </c>
    </row>
    <row r="2899" spans="2:10" x14ac:dyDescent="0.3">
      <c r="B2899" s="10">
        <f t="shared" si="90"/>
        <v>2015</v>
      </c>
      <c r="C2899" s="10">
        <f t="shared" si="91"/>
        <v>3</v>
      </c>
      <c r="D2899" s="20">
        <v>42094</v>
      </c>
      <c r="E2899">
        <v>376.25</v>
      </c>
      <c r="F2899">
        <v>973.25</v>
      </c>
      <c r="G2899">
        <v>326.8</v>
      </c>
      <c r="H2899">
        <v>511.75</v>
      </c>
      <c r="I2899">
        <v>30.39</v>
      </c>
      <c r="J2899">
        <v>3.1947000000000001</v>
      </c>
    </row>
    <row r="2900" spans="2:10" x14ac:dyDescent="0.3">
      <c r="B2900" s="10">
        <f t="shared" si="90"/>
        <v>2015</v>
      </c>
      <c r="C2900" s="10">
        <f t="shared" si="91"/>
        <v>3</v>
      </c>
      <c r="D2900" s="20">
        <v>42093</v>
      </c>
      <c r="E2900">
        <v>394.5</v>
      </c>
      <c r="F2900">
        <v>967.75</v>
      </c>
      <c r="G2900">
        <v>323.2</v>
      </c>
      <c r="H2900">
        <v>530.25</v>
      </c>
      <c r="I2900">
        <v>30.49</v>
      </c>
      <c r="J2900">
        <v>3.2292000000000001</v>
      </c>
    </row>
    <row r="2901" spans="2:10" x14ac:dyDescent="0.3">
      <c r="B2901" s="10">
        <f t="shared" si="90"/>
        <v>2015</v>
      </c>
      <c r="C2901" s="10">
        <f t="shared" si="91"/>
        <v>3</v>
      </c>
      <c r="D2901" s="20">
        <v>42090</v>
      </c>
      <c r="E2901">
        <v>391</v>
      </c>
      <c r="F2901">
        <v>967.25</v>
      </c>
      <c r="G2901">
        <v>321.39999999999998</v>
      </c>
      <c r="H2901">
        <v>507.75</v>
      </c>
      <c r="I2901">
        <v>30.6</v>
      </c>
      <c r="J2901">
        <v>3.2488000000000001</v>
      </c>
    </row>
    <row r="2902" spans="2:10" x14ac:dyDescent="0.3">
      <c r="B2902" s="10">
        <f t="shared" si="90"/>
        <v>2015</v>
      </c>
      <c r="C2902" s="10">
        <f t="shared" si="91"/>
        <v>3</v>
      </c>
      <c r="D2902" s="20">
        <v>42089</v>
      </c>
      <c r="E2902">
        <v>391.25</v>
      </c>
      <c r="F2902">
        <v>974.5</v>
      </c>
      <c r="G2902">
        <v>322.39999999999998</v>
      </c>
      <c r="H2902">
        <v>499.25</v>
      </c>
      <c r="I2902">
        <v>31.17</v>
      </c>
      <c r="J2902">
        <v>3.1821999999999999</v>
      </c>
    </row>
    <row r="2903" spans="2:10" x14ac:dyDescent="0.3">
      <c r="B2903" s="10">
        <f t="shared" si="90"/>
        <v>2015</v>
      </c>
      <c r="C2903" s="10">
        <f t="shared" si="91"/>
        <v>3</v>
      </c>
      <c r="D2903" s="20">
        <v>42088</v>
      </c>
      <c r="E2903">
        <v>395</v>
      </c>
      <c r="F2903">
        <v>978.75</v>
      </c>
      <c r="G2903">
        <v>324.5</v>
      </c>
      <c r="H2903">
        <v>519</v>
      </c>
      <c r="I2903">
        <v>31.04</v>
      </c>
      <c r="J2903">
        <v>3.2002000000000002</v>
      </c>
    </row>
    <row r="2904" spans="2:10" x14ac:dyDescent="0.3">
      <c r="B2904" s="10">
        <f t="shared" si="90"/>
        <v>2015</v>
      </c>
      <c r="C2904" s="10">
        <f t="shared" si="91"/>
        <v>3</v>
      </c>
      <c r="D2904" s="20">
        <v>42087</v>
      </c>
      <c r="E2904">
        <v>393.25</v>
      </c>
      <c r="F2904">
        <v>981.75</v>
      </c>
      <c r="G2904">
        <v>326.3</v>
      </c>
      <c r="H2904">
        <v>523.5</v>
      </c>
      <c r="I2904">
        <v>31.11</v>
      </c>
      <c r="J2904">
        <v>3.1394000000000002</v>
      </c>
    </row>
    <row r="2905" spans="2:10" x14ac:dyDescent="0.3">
      <c r="B2905" s="10">
        <f t="shared" si="90"/>
        <v>2015</v>
      </c>
      <c r="C2905" s="10">
        <f t="shared" si="91"/>
        <v>3</v>
      </c>
      <c r="D2905" s="20">
        <v>42086</v>
      </c>
      <c r="E2905">
        <v>390.25</v>
      </c>
      <c r="F2905">
        <v>983.5</v>
      </c>
      <c r="G2905">
        <v>327.3</v>
      </c>
      <c r="H2905">
        <v>534</v>
      </c>
      <c r="I2905">
        <v>31.15</v>
      </c>
      <c r="J2905">
        <v>3.1318999999999999</v>
      </c>
    </row>
    <row r="2906" spans="2:10" x14ac:dyDescent="0.3">
      <c r="B2906" s="10">
        <f t="shared" si="90"/>
        <v>2015</v>
      </c>
      <c r="C2906" s="10">
        <f t="shared" si="91"/>
        <v>3</v>
      </c>
      <c r="D2906" s="20">
        <v>42083</v>
      </c>
      <c r="E2906">
        <v>385</v>
      </c>
      <c r="F2906">
        <v>973.75</v>
      </c>
      <c r="G2906">
        <v>324</v>
      </c>
      <c r="H2906">
        <v>530</v>
      </c>
      <c r="I2906">
        <v>30.68</v>
      </c>
      <c r="J2906">
        <v>3.2279</v>
      </c>
    </row>
    <row r="2907" spans="2:10" x14ac:dyDescent="0.3">
      <c r="B2907" s="10">
        <f t="shared" si="90"/>
        <v>2015</v>
      </c>
      <c r="C2907" s="10">
        <f t="shared" si="91"/>
        <v>3</v>
      </c>
      <c r="D2907" s="20">
        <v>42082</v>
      </c>
      <c r="E2907">
        <v>373.5</v>
      </c>
      <c r="F2907">
        <v>961.75</v>
      </c>
      <c r="G2907">
        <v>319.3</v>
      </c>
      <c r="H2907">
        <v>512</v>
      </c>
      <c r="I2907">
        <v>30.62</v>
      </c>
      <c r="J2907">
        <v>3.2915000000000001</v>
      </c>
    </row>
    <row r="2908" spans="2:10" x14ac:dyDescent="0.3">
      <c r="B2908" s="10">
        <f t="shared" si="90"/>
        <v>2015</v>
      </c>
      <c r="C2908" s="10">
        <f t="shared" si="91"/>
        <v>3</v>
      </c>
      <c r="D2908" s="20">
        <v>42081</v>
      </c>
      <c r="E2908">
        <v>374.75</v>
      </c>
      <c r="F2908">
        <v>965</v>
      </c>
      <c r="G2908">
        <v>320.8</v>
      </c>
      <c r="H2908">
        <v>510.75</v>
      </c>
      <c r="I2908">
        <v>30.63</v>
      </c>
      <c r="J2908">
        <v>3.2084000000000001</v>
      </c>
    </row>
    <row r="2909" spans="2:10" x14ac:dyDescent="0.3">
      <c r="B2909" s="10">
        <f t="shared" si="90"/>
        <v>2015</v>
      </c>
      <c r="C2909" s="10">
        <f t="shared" si="91"/>
        <v>3</v>
      </c>
      <c r="D2909" s="20">
        <v>42080</v>
      </c>
      <c r="E2909">
        <v>371</v>
      </c>
      <c r="F2909">
        <v>954.5</v>
      </c>
      <c r="G2909">
        <v>317.5</v>
      </c>
      <c r="H2909">
        <v>503.5</v>
      </c>
      <c r="I2909">
        <v>30.04</v>
      </c>
      <c r="J2909">
        <v>3.2391999999999999</v>
      </c>
    </row>
    <row r="2910" spans="2:10" x14ac:dyDescent="0.3">
      <c r="B2910" s="10">
        <f t="shared" si="90"/>
        <v>2015</v>
      </c>
      <c r="C2910" s="10">
        <f t="shared" si="91"/>
        <v>3</v>
      </c>
      <c r="D2910" s="20">
        <v>42079</v>
      </c>
      <c r="E2910">
        <v>379</v>
      </c>
      <c r="F2910">
        <v>969.25</v>
      </c>
      <c r="G2910">
        <v>323.7</v>
      </c>
      <c r="H2910">
        <v>514</v>
      </c>
      <c r="I2910">
        <v>30.39</v>
      </c>
      <c r="J2910">
        <v>3.2484999999999999</v>
      </c>
    </row>
    <row r="2911" spans="2:10" x14ac:dyDescent="0.3">
      <c r="B2911" s="10">
        <f t="shared" si="90"/>
        <v>2015</v>
      </c>
      <c r="C2911" s="10">
        <f t="shared" si="91"/>
        <v>3</v>
      </c>
      <c r="D2911" s="20">
        <v>42076</v>
      </c>
      <c r="E2911">
        <v>374</v>
      </c>
      <c r="F2911">
        <v>968.25</v>
      </c>
      <c r="G2911">
        <v>338</v>
      </c>
      <c r="H2911">
        <v>508.75</v>
      </c>
      <c r="I2911">
        <v>30.19</v>
      </c>
      <c r="J2911">
        <v>3.2479</v>
      </c>
    </row>
    <row r="2912" spans="2:10" x14ac:dyDescent="0.3">
      <c r="B2912" s="10">
        <f t="shared" si="90"/>
        <v>2015</v>
      </c>
      <c r="C2912" s="10">
        <f t="shared" si="91"/>
        <v>3</v>
      </c>
      <c r="D2912" s="20">
        <v>42075</v>
      </c>
      <c r="E2912">
        <v>382.25</v>
      </c>
      <c r="F2912">
        <v>986.5</v>
      </c>
      <c r="G2912">
        <v>343.5</v>
      </c>
      <c r="H2912">
        <v>513.25</v>
      </c>
      <c r="I2912">
        <v>30.76</v>
      </c>
      <c r="J2912">
        <v>3.1646999999999998</v>
      </c>
    </row>
    <row r="2913" spans="2:10" x14ac:dyDescent="0.3">
      <c r="B2913" s="10">
        <f t="shared" si="90"/>
        <v>2015</v>
      </c>
      <c r="C2913" s="10">
        <f t="shared" si="91"/>
        <v>3</v>
      </c>
      <c r="D2913" s="20">
        <v>42074</v>
      </c>
      <c r="E2913">
        <v>384</v>
      </c>
      <c r="F2913">
        <v>989</v>
      </c>
      <c r="G2913">
        <v>345.7</v>
      </c>
      <c r="H2913">
        <v>503</v>
      </c>
      <c r="I2913">
        <v>30.97</v>
      </c>
      <c r="J2913">
        <v>3.1251000000000002</v>
      </c>
    </row>
    <row r="2914" spans="2:10" x14ac:dyDescent="0.3">
      <c r="B2914" s="10">
        <f t="shared" si="90"/>
        <v>2015</v>
      </c>
      <c r="C2914" s="10">
        <f t="shared" si="91"/>
        <v>3</v>
      </c>
      <c r="D2914" s="20">
        <v>42073</v>
      </c>
      <c r="E2914">
        <v>382.25</v>
      </c>
      <c r="F2914">
        <v>980</v>
      </c>
      <c r="G2914">
        <v>342</v>
      </c>
      <c r="H2914">
        <v>496.5</v>
      </c>
      <c r="I2914">
        <v>30.84</v>
      </c>
      <c r="J2914">
        <v>3.1015999999999999</v>
      </c>
    </row>
    <row r="2915" spans="2:10" x14ac:dyDescent="0.3">
      <c r="B2915" s="10">
        <f t="shared" si="90"/>
        <v>2015</v>
      </c>
      <c r="C2915" s="10">
        <f t="shared" si="91"/>
        <v>3</v>
      </c>
      <c r="D2915" s="20">
        <v>42072</v>
      </c>
      <c r="E2915">
        <v>383.25</v>
      </c>
      <c r="F2915">
        <v>988.25</v>
      </c>
      <c r="G2915">
        <v>343.9</v>
      </c>
      <c r="H2915">
        <v>494.25</v>
      </c>
      <c r="I2915">
        <v>30.88</v>
      </c>
      <c r="J2915">
        <v>3.1215000000000002</v>
      </c>
    </row>
    <row r="2916" spans="2:10" x14ac:dyDescent="0.3">
      <c r="B2916" s="10">
        <f t="shared" si="90"/>
        <v>2015</v>
      </c>
      <c r="C2916" s="10">
        <f t="shared" si="91"/>
        <v>3</v>
      </c>
      <c r="D2916" s="20">
        <v>42069</v>
      </c>
      <c r="E2916">
        <v>379.25</v>
      </c>
      <c r="F2916">
        <v>979.25</v>
      </c>
      <c r="G2916">
        <v>337</v>
      </c>
      <c r="H2916">
        <v>485.75</v>
      </c>
      <c r="I2916">
        <v>31.14</v>
      </c>
      <c r="J2916">
        <v>3.0605000000000002</v>
      </c>
    </row>
    <row r="2917" spans="2:10" x14ac:dyDescent="0.3">
      <c r="B2917" s="10">
        <f t="shared" si="90"/>
        <v>2015</v>
      </c>
      <c r="C2917" s="10">
        <f t="shared" si="91"/>
        <v>3</v>
      </c>
      <c r="D2917" s="20">
        <v>42068</v>
      </c>
      <c r="E2917">
        <v>382.75</v>
      </c>
      <c r="F2917">
        <v>979.25</v>
      </c>
      <c r="G2917">
        <v>334.4</v>
      </c>
      <c r="H2917">
        <v>481.25</v>
      </c>
      <c r="I2917">
        <v>31.43</v>
      </c>
      <c r="J2917">
        <v>3.0024000000000002</v>
      </c>
    </row>
    <row r="2918" spans="2:10" x14ac:dyDescent="0.3">
      <c r="B2918" s="10">
        <f t="shared" si="90"/>
        <v>2015</v>
      </c>
      <c r="C2918" s="10">
        <f t="shared" si="91"/>
        <v>3</v>
      </c>
      <c r="D2918" s="20">
        <v>42067</v>
      </c>
      <c r="E2918">
        <v>381.5</v>
      </c>
      <c r="F2918">
        <v>989</v>
      </c>
      <c r="G2918">
        <v>334.1</v>
      </c>
      <c r="H2918">
        <v>493.5</v>
      </c>
      <c r="I2918">
        <v>32.03</v>
      </c>
      <c r="J2918">
        <v>2.9754999999999998</v>
      </c>
    </row>
    <row r="2919" spans="2:10" x14ac:dyDescent="0.3">
      <c r="B2919" s="10">
        <f t="shared" si="90"/>
        <v>2015</v>
      </c>
      <c r="C2919" s="10">
        <f t="shared" si="91"/>
        <v>3</v>
      </c>
      <c r="D2919" s="20">
        <v>42066</v>
      </c>
      <c r="E2919">
        <v>382</v>
      </c>
      <c r="F2919">
        <v>1008.75</v>
      </c>
      <c r="G2919">
        <v>341.8</v>
      </c>
      <c r="H2919">
        <v>508.75</v>
      </c>
      <c r="I2919">
        <v>32.799999999999997</v>
      </c>
      <c r="J2919">
        <v>2.9302999999999999</v>
      </c>
    </row>
    <row r="2920" spans="2:10" x14ac:dyDescent="0.3">
      <c r="B2920" s="10">
        <f t="shared" si="90"/>
        <v>2015</v>
      </c>
      <c r="C2920" s="10">
        <f t="shared" si="91"/>
        <v>3</v>
      </c>
      <c r="D2920" s="20">
        <v>42065</v>
      </c>
      <c r="E2920">
        <v>378.75</v>
      </c>
      <c r="F2920">
        <v>1011.25</v>
      </c>
      <c r="G2920">
        <v>344.3</v>
      </c>
      <c r="H2920">
        <v>508</v>
      </c>
      <c r="I2920">
        <v>32.65</v>
      </c>
      <c r="J2920">
        <v>2.8959999999999999</v>
      </c>
    </row>
    <row r="2921" spans="2:10" x14ac:dyDescent="0.3">
      <c r="B2921" s="10">
        <f t="shared" si="90"/>
        <v>2015</v>
      </c>
      <c r="C2921" s="10">
        <f t="shared" si="91"/>
        <v>2</v>
      </c>
      <c r="D2921" s="20">
        <v>42062</v>
      </c>
      <c r="E2921">
        <v>384.5</v>
      </c>
      <c r="F2921">
        <v>1030.75</v>
      </c>
      <c r="G2921">
        <v>353.7</v>
      </c>
      <c r="H2921">
        <v>517.5</v>
      </c>
      <c r="I2921">
        <v>32.799999999999997</v>
      </c>
      <c r="J2921">
        <v>2.8380000000000001</v>
      </c>
    </row>
    <row r="2922" spans="2:10" x14ac:dyDescent="0.3">
      <c r="B2922" s="10">
        <f t="shared" si="90"/>
        <v>2015</v>
      </c>
      <c r="C2922" s="10">
        <f t="shared" si="91"/>
        <v>2</v>
      </c>
      <c r="D2922" s="20">
        <v>42061</v>
      </c>
      <c r="E2922">
        <v>380</v>
      </c>
      <c r="F2922">
        <v>1024</v>
      </c>
      <c r="G2922">
        <v>354.6</v>
      </c>
      <c r="H2922">
        <v>503.25</v>
      </c>
      <c r="I2922">
        <v>31.84</v>
      </c>
      <c r="J2922">
        <v>2.9079999999999999</v>
      </c>
    </row>
    <row r="2923" spans="2:10" x14ac:dyDescent="0.3">
      <c r="B2923" s="10">
        <f t="shared" si="90"/>
        <v>2015</v>
      </c>
      <c r="C2923" s="10">
        <f t="shared" si="91"/>
        <v>2</v>
      </c>
      <c r="D2923" s="20">
        <v>42060</v>
      </c>
      <c r="E2923">
        <v>375.75</v>
      </c>
      <c r="F2923">
        <v>1007.75</v>
      </c>
      <c r="G2923">
        <v>350.5</v>
      </c>
      <c r="H2923">
        <v>497.75</v>
      </c>
      <c r="I2923">
        <v>31.71</v>
      </c>
      <c r="J2923">
        <v>2.8744999999999998</v>
      </c>
    </row>
    <row r="2924" spans="2:10" x14ac:dyDescent="0.3">
      <c r="B2924" s="10">
        <f t="shared" si="90"/>
        <v>2015</v>
      </c>
      <c r="C2924" s="10">
        <f t="shared" si="91"/>
        <v>2</v>
      </c>
      <c r="D2924" s="20">
        <v>42059</v>
      </c>
      <c r="E2924">
        <v>377.5</v>
      </c>
      <c r="F2924">
        <v>1016</v>
      </c>
      <c r="G2924">
        <v>356.9</v>
      </c>
      <c r="H2924">
        <v>505.75</v>
      </c>
      <c r="I2924">
        <v>31.42</v>
      </c>
      <c r="J2924">
        <v>2.8325</v>
      </c>
    </row>
    <row r="2925" spans="2:10" x14ac:dyDescent="0.3">
      <c r="B2925" s="10">
        <f t="shared" si="90"/>
        <v>2015</v>
      </c>
      <c r="C2925" s="10">
        <f t="shared" si="91"/>
        <v>2</v>
      </c>
      <c r="D2925" s="20">
        <v>42058</v>
      </c>
      <c r="E2925">
        <v>378.75</v>
      </c>
      <c r="F2925">
        <v>999.25</v>
      </c>
      <c r="G2925">
        <v>348.3</v>
      </c>
      <c r="H2925">
        <v>505.75</v>
      </c>
      <c r="I2925">
        <v>31.14</v>
      </c>
      <c r="J2925">
        <v>2.8784999999999998</v>
      </c>
    </row>
    <row r="2926" spans="2:10" x14ac:dyDescent="0.3">
      <c r="B2926" s="10">
        <f t="shared" si="90"/>
        <v>2015</v>
      </c>
      <c r="C2926" s="10">
        <f t="shared" si="91"/>
        <v>2</v>
      </c>
      <c r="D2926" s="20">
        <v>42055</v>
      </c>
      <c r="E2926">
        <v>385.25</v>
      </c>
      <c r="F2926">
        <v>999.25</v>
      </c>
      <c r="G2926">
        <v>347.5</v>
      </c>
      <c r="H2926">
        <v>510.25</v>
      </c>
      <c r="I2926">
        <v>31.48</v>
      </c>
      <c r="J2926">
        <v>2.867</v>
      </c>
    </row>
    <row r="2927" spans="2:10" x14ac:dyDescent="0.3">
      <c r="B2927" s="10">
        <f t="shared" si="90"/>
        <v>2015</v>
      </c>
      <c r="C2927" s="10">
        <f t="shared" si="91"/>
        <v>2</v>
      </c>
      <c r="D2927" s="20">
        <v>42054</v>
      </c>
      <c r="E2927">
        <v>389.75</v>
      </c>
      <c r="F2927">
        <v>1007.25</v>
      </c>
      <c r="G2927">
        <v>347.5</v>
      </c>
      <c r="H2927">
        <v>527.75</v>
      </c>
      <c r="I2927">
        <v>31.83</v>
      </c>
      <c r="J2927">
        <v>2.8662999999999998</v>
      </c>
    </row>
    <row r="2928" spans="2:10" x14ac:dyDescent="0.3">
      <c r="B2928" s="10">
        <f t="shared" si="90"/>
        <v>2015</v>
      </c>
      <c r="C2928" s="10">
        <f t="shared" si="91"/>
        <v>2</v>
      </c>
      <c r="D2928" s="20">
        <v>42053</v>
      </c>
      <c r="E2928">
        <v>383.75</v>
      </c>
      <c r="F2928">
        <v>995.75</v>
      </c>
      <c r="G2928">
        <v>338.6</v>
      </c>
      <c r="H2928">
        <v>527.75</v>
      </c>
      <c r="I2928">
        <v>32.01</v>
      </c>
      <c r="J2928">
        <v>2.8363999999999998</v>
      </c>
    </row>
    <row r="2929" spans="2:10" x14ac:dyDescent="0.3">
      <c r="B2929" s="10">
        <f t="shared" si="90"/>
        <v>2015</v>
      </c>
      <c r="C2929" s="10">
        <f t="shared" si="91"/>
        <v>2</v>
      </c>
      <c r="D2929" s="20">
        <v>42052</v>
      </c>
      <c r="E2929">
        <v>389.5</v>
      </c>
      <c r="F2929">
        <v>1007.75</v>
      </c>
      <c r="G2929">
        <v>342.3</v>
      </c>
      <c r="H2929">
        <v>534.75</v>
      </c>
      <c r="I2929">
        <v>32.32</v>
      </c>
      <c r="J2929">
        <v>2.8290000000000002</v>
      </c>
    </row>
    <row r="2930" spans="2:10" x14ac:dyDescent="0.3">
      <c r="B2930" s="10">
        <f t="shared" si="90"/>
        <v>2015</v>
      </c>
      <c r="C2930" s="10">
        <f t="shared" si="91"/>
        <v>2</v>
      </c>
      <c r="D2930" s="20">
        <v>42051</v>
      </c>
      <c r="J2930">
        <v>2.8332999999999999</v>
      </c>
    </row>
    <row r="2931" spans="2:10" x14ac:dyDescent="0.3">
      <c r="B2931" s="10">
        <f t="shared" si="90"/>
        <v>2015</v>
      </c>
      <c r="C2931" s="10">
        <f t="shared" si="91"/>
        <v>2</v>
      </c>
      <c r="D2931" s="20">
        <v>42048</v>
      </c>
      <c r="E2931">
        <v>387.25</v>
      </c>
      <c r="F2931">
        <v>990.5</v>
      </c>
      <c r="G2931">
        <v>332.3</v>
      </c>
      <c r="H2931">
        <v>533</v>
      </c>
      <c r="I2931">
        <v>32.4</v>
      </c>
      <c r="J2931">
        <v>2.8332999999999999</v>
      </c>
    </row>
    <row r="2932" spans="2:10" x14ac:dyDescent="0.3">
      <c r="B2932" s="10">
        <f t="shared" si="90"/>
        <v>2015</v>
      </c>
      <c r="C2932" s="10">
        <f t="shared" si="91"/>
        <v>2</v>
      </c>
      <c r="D2932" s="20">
        <v>42047</v>
      </c>
      <c r="E2932">
        <v>383</v>
      </c>
      <c r="F2932">
        <v>983.75</v>
      </c>
      <c r="G2932">
        <v>330.5</v>
      </c>
      <c r="H2932">
        <v>521.25</v>
      </c>
      <c r="I2932">
        <v>32.01</v>
      </c>
      <c r="J2932">
        <v>2.8205</v>
      </c>
    </row>
    <row r="2933" spans="2:10" x14ac:dyDescent="0.3">
      <c r="B2933" s="10">
        <f t="shared" si="90"/>
        <v>2015</v>
      </c>
      <c r="C2933" s="10">
        <f t="shared" si="91"/>
        <v>2</v>
      </c>
      <c r="D2933" s="20">
        <v>42046</v>
      </c>
      <c r="E2933">
        <v>385.75</v>
      </c>
      <c r="F2933">
        <v>977.75</v>
      </c>
      <c r="G2933">
        <v>329.6</v>
      </c>
      <c r="H2933">
        <v>525.75</v>
      </c>
      <c r="I2933">
        <v>31.75</v>
      </c>
      <c r="J2933">
        <v>2.8687999999999998</v>
      </c>
    </row>
    <row r="2934" spans="2:10" x14ac:dyDescent="0.3">
      <c r="B2934" s="10">
        <f t="shared" si="90"/>
        <v>2015</v>
      </c>
      <c r="C2934" s="10">
        <f t="shared" si="91"/>
        <v>2</v>
      </c>
      <c r="D2934" s="20">
        <v>42045</v>
      </c>
      <c r="E2934">
        <v>388</v>
      </c>
      <c r="F2934">
        <v>969</v>
      </c>
      <c r="G2934">
        <v>326.89999999999998</v>
      </c>
      <c r="H2934">
        <v>521.75</v>
      </c>
      <c r="I2934">
        <v>31.45</v>
      </c>
      <c r="J2934">
        <v>2.8338000000000001</v>
      </c>
    </row>
    <row r="2935" spans="2:10" x14ac:dyDescent="0.3">
      <c r="B2935" s="10">
        <f t="shared" si="90"/>
        <v>2015</v>
      </c>
      <c r="C2935" s="10">
        <f t="shared" si="91"/>
        <v>2</v>
      </c>
      <c r="D2935" s="20">
        <v>42044</v>
      </c>
      <c r="E2935">
        <v>391.25</v>
      </c>
      <c r="F2935">
        <v>978.5</v>
      </c>
      <c r="G2935">
        <v>329.6</v>
      </c>
      <c r="H2935">
        <v>529.75</v>
      </c>
      <c r="I2935">
        <v>32.01</v>
      </c>
      <c r="J2935">
        <v>2.7685</v>
      </c>
    </row>
    <row r="2936" spans="2:10" x14ac:dyDescent="0.3">
      <c r="B2936" s="10">
        <f t="shared" si="90"/>
        <v>2015</v>
      </c>
      <c r="C2936" s="10">
        <f t="shared" si="91"/>
        <v>2</v>
      </c>
      <c r="D2936" s="20">
        <v>42041</v>
      </c>
      <c r="E2936">
        <v>385.75</v>
      </c>
      <c r="F2936">
        <v>973.5</v>
      </c>
      <c r="G2936">
        <v>329.4</v>
      </c>
      <c r="H2936">
        <v>527</v>
      </c>
      <c r="I2936">
        <v>31.82</v>
      </c>
      <c r="J2936">
        <v>2.7814999999999999</v>
      </c>
    </row>
    <row r="2937" spans="2:10" x14ac:dyDescent="0.3">
      <c r="B2937" s="10">
        <f t="shared" si="90"/>
        <v>2015</v>
      </c>
      <c r="C2937" s="10">
        <f t="shared" si="91"/>
        <v>2</v>
      </c>
      <c r="D2937" s="20">
        <v>42040</v>
      </c>
      <c r="E2937">
        <v>385.25</v>
      </c>
      <c r="F2937">
        <v>981.25</v>
      </c>
      <c r="G2937">
        <v>331.4</v>
      </c>
      <c r="H2937">
        <v>525.75</v>
      </c>
      <c r="I2937">
        <v>31.71</v>
      </c>
      <c r="J2937">
        <v>2.7446000000000002</v>
      </c>
    </row>
    <row r="2938" spans="2:10" x14ac:dyDescent="0.3">
      <c r="B2938" s="10">
        <f t="shared" si="90"/>
        <v>2015</v>
      </c>
      <c r="C2938" s="10">
        <f t="shared" si="91"/>
        <v>2</v>
      </c>
      <c r="D2938" s="20">
        <v>42039</v>
      </c>
      <c r="E2938">
        <v>383.5</v>
      </c>
      <c r="F2938">
        <v>972</v>
      </c>
      <c r="G2938">
        <v>332.7</v>
      </c>
      <c r="H2938">
        <v>511</v>
      </c>
      <c r="I2938">
        <v>30.59</v>
      </c>
      <c r="J2938">
        <v>2.7416</v>
      </c>
    </row>
    <row r="2939" spans="2:10" x14ac:dyDescent="0.3">
      <c r="B2939" s="10">
        <f t="shared" si="90"/>
        <v>2015</v>
      </c>
      <c r="C2939" s="10">
        <f t="shared" si="91"/>
        <v>2</v>
      </c>
      <c r="D2939" s="20">
        <v>42038</v>
      </c>
      <c r="E2939">
        <v>385.75</v>
      </c>
      <c r="F2939">
        <v>987</v>
      </c>
      <c r="G2939">
        <v>340.6</v>
      </c>
      <c r="H2939">
        <v>513.75</v>
      </c>
      <c r="I2939">
        <v>30.8</v>
      </c>
      <c r="J2939">
        <v>2.694</v>
      </c>
    </row>
    <row r="2940" spans="2:10" x14ac:dyDescent="0.3">
      <c r="B2940" s="10">
        <f t="shared" si="90"/>
        <v>2015</v>
      </c>
      <c r="C2940" s="10">
        <f t="shared" si="91"/>
        <v>2</v>
      </c>
      <c r="D2940" s="20">
        <v>42037</v>
      </c>
      <c r="E2940">
        <v>369.75</v>
      </c>
      <c r="F2940">
        <v>959.5</v>
      </c>
      <c r="G2940">
        <v>327.9</v>
      </c>
      <c r="H2940">
        <v>492.75</v>
      </c>
      <c r="I2940">
        <v>30.41</v>
      </c>
      <c r="J2940">
        <v>2.7261000000000002</v>
      </c>
    </row>
    <row r="2941" spans="2:10" x14ac:dyDescent="0.3">
      <c r="B2941" s="10">
        <f t="shared" si="90"/>
        <v>2015</v>
      </c>
      <c r="C2941" s="10">
        <f t="shared" si="91"/>
        <v>1</v>
      </c>
      <c r="D2941" s="20">
        <v>42034</v>
      </c>
      <c r="E2941">
        <v>370</v>
      </c>
      <c r="F2941">
        <v>961</v>
      </c>
      <c r="G2941">
        <v>329.9</v>
      </c>
      <c r="H2941">
        <v>502.75</v>
      </c>
      <c r="I2941">
        <v>30</v>
      </c>
      <c r="J2941">
        <v>2.6814</v>
      </c>
    </row>
    <row r="2942" spans="2:10" x14ac:dyDescent="0.3">
      <c r="B2942" s="10">
        <f t="shared" si="90"/>
        <v>2015</v>
      </c>
      <c r="C2942" s="10">
        <f t="shared" si="91"/>
        <v>1</v>
      </c>
      <c r="D2942" s="20">
        <v>42033</v>
      </c>
      <c r="E2942">
        <v>371.5</v>
      </c>
      <c r="F2942">
        <v>968.25</v>
      </c>
      <c r="G2942">
        <v>337.9</v>
      </c>
      <c r="H2942">
        <v>507.75</v>
      </c>
      <c r="I2942">
        <v>29.54</v>
      </c>
      <c r="J2942">
        <v>2.6027</v>
      </c>
    </row>
    <row r="2943" spans="2:10" x14ac:dyDescent="0.3">
      <c r="B2943" s="10">
        <f t="shared" si="90"/>
        <v>2015</v>
      </c>
      <c r="C2943" s="10">
        <f t="shared" si="91"/>
        <v>1</v>
      </c>
      <c r="D2943" s="20">
        <v>42032</v>
      </c>
      <c r="E2943">
        <v>373.25</v>
      </c>
      <c r="F2943">
        <v>970.25</v>
      </c>
      <c r="G2943">
        <v>337.4</v>
      </c>
      <c r="H2943">
        <v>505.25</v>
      </c>
      <c r="I2943">
        <v>30.34</v>
      </c>
      <c r="J2943">
        <v>2.5756999999999999</v>
      </c>
    </row>
    <row r="2944" spans="2:10" x14ac:dyDescent="0.3">
      <c r="B2944" s="10">
        <f t="shared" ref="B2944:B2972" si="92">YEAR(D2944)</f>
        <v>2015</v>
      </c>
      <c r="C2944" s="10">
        <f t="shared" ref="C2944:C2972" si="93">MONTH(D2944)</f>
        <v>1</v>
      </c>
      <c r="D2944" s="20">
        <v>42031</v>
      </c>
      <c r="E2944">
        <v>381.25</v>
      </c>
      <c r="F2944">
        <v>973.75</v>
      </c>
      <c r="G2944">
        <v>336.6</v>
      </c>
      <c r="H2944">
        <v>519</v>
      </c>
      <c r="I2944">
        <v>31.17</v>
      </c>
      <c r="J2944">
        <v>2.5722</v>
      </c>
    </row>
    <row r="2945" spans="2:10" x14ac:dyDescent="0.3">
      <c r="B2945" s="10">
        <f t="shared" si="92"/>
        <v>2015</v>
      </c>
      <c r="C2945" s="10">
        <f t="shared" si="93"/>
        <v>1</v>
      </c>
      <c r="D2945" s="20">
        <v>42030</v>
      </c>
      <c r="E2945">
        <v>384</v>
      </c>
      <c r="F2945">
        <v>983.5</v>
      </c>
      <c r="G2945">
        <v>338.9</v>
      </c>
      <c r="H2945">
        <v>520.5</v>
      </c>
      <c r="I2945">
        <v>31.08</v>
      </c>
      <c r="J2945">
        <v>2.5832000000000002</v>
      </c>
    </row>
    <row r="2946" spans="2:10" x14ac:dyDescent="0.3">
      <c r="B2946" s="10">
        <f t="shared" si="92"/>
        <v>2015</v>
      </c>
      <c r="C2946" s="10">
        <f t="shared" si="93"/>
        <v>1</v>
      </c>
      <c r="D2946" s="20">
        <v>42027</v>
      </c>
      <c r="E2946">
        <v>386.75</v>
      </c>
      <c r="F2946">
        <v>972.75</v>
      </c>
      <c r="G2946">
        <v>331.5</v>
      </c>
      <c r="H2946">
        <v>530</v>
      </c>
      <c r="I2946">
        <v>31.6</v>
      </c>
      <c r="J2946">
        <v>2.5785</v>
      </c>
    </row>
    <row r="2947" spans="2:10" x14ac:dyDescent="0.3">
      <c r="B2947" s="10">
        <f t="shared" si="92"/>
        <v>2015</v>
      </c>
      <c r="C2947" s="10">
        <f t="shared" si="93"/>
        <v>1</v>
      </c>
      <c r="D2947" s="20">
        <v>42026</v>
      </c>
      <c r="E2947">
        <v>383.75</v>
      </c>
      <c r="F2947">
        <v>976.75</v>
      </c>
      <c r="G2947">
        <v>330.1</v>
      </c>
      <c r="H2947">
        <v>533.75</v>
      </c>
      <c r="I2947">
        <v>31.97</v>
      </c>
      <c r="J2947">
        <v>2.5735000000000001</v>
      </c>
    </row>
    <row r="2948" spans="2:10" x14ac:dyDescent="0.3">
      <c r="B2948" s="10">
        <f t="shared" si="92"/>
        <v>2015</v>
      </c>
      <c r="C2948" s="10">
        <f t="shared" si="93"/>
        <v>1</v>
      </c>
      <c r="D2948" s="20">
        <v>42025</v>
      </c>
      <c r="E2948">
        <v>388</v>
      </c>
      <c r="F2948">
        <v>983.5</v>
      </c>
      <c r="G2948">
        <v>330.5</v>
      </c>
      <c r="H2948">
        <v>536.75</v>
      </c>
      <c r="I2948">
        <v>32.409999999999997</v>
      </c>
      <c r="J2948">
        <v>2.6</v>
      </c>
    </row>
    <row r="2949" spans="2:10" x14ac:dyDescent="0.3">
      <c r="B2949" s="10">
        <f t="shared" si="92"/>
        <v>2015</v>
      </c>
      <c r="C2949" s="10">
        <f t="shared" si="93"/>
        <v>1</v>
      </c>
      <c r="D2949" s="20">
        <v>42024</v>
      </c>
      <c r="E2949">
        <v>390.25</v>
      </c>
      <c r="F2949">
        <v>982</v>
      </c>
      <c r="G2949">
        <v>326.5</v>
      </c>
      <c r="H2949">
        <v>537</v>
      </c>
      <c r="I2949">
        <v>32.840000000000003</v>
      </c>
      <c r="J2949">
        <v>2.6133000000000002</v>
      </c>
    </row>
    <row r="2950" spans="2:10" x14ac:dyDescent="0.3">
      <c r="B2950" s="10">
        <f t="shared" si="92"/>
        <v>2015</v>
      </c>
      <c r="C2950" s="10">
        <f t="shared" si="93"/>
        <v>1</v>
      </c>
      <c r="D2950" s="20">
        <v>42023</v>
      </c>
      <c r="J2950">
        <v>2.6511</v>
      </c>
    </row>
    <row r="2951" spans="2:10" x14ac:dyDescent="0.3">
      <c r="B2951" s="10">
        <f t="shared" si="92"/>
        <v>2015</v>
      </c>
      <c r="C2951" s="10">
        <f t="shared" si="93"/>
        <v>1</v>
      </c>
      <c r="D2951" s="20">
        <v>42020</v>
      </c>
      <c r="E2951">
        <v>387</v>
      </c>
      <c r="F2951">
        <v>991.75</v>
      </c>
      <c r="G2951">
        <v>326.2</v>
      </c>
      <c r="H2951">
        <v>532.75</v>
      </c>
      <c r="I2951">
        <v>33.39</v>
      </c>
      <c r="J2951">
        <v>2.6204000000000001</v>
      </c>
    </row>
    <row r="2952" spans="2:10" x14ac:dyDescent="0.3">
      <c r="B2952" s="10">
        <f t="shared" si="92"/>
        <v>2015</v>
      </c>
      <c r="C2952" s="10">
        <f t="shared" si="93"/>
        <v>1</v>
      </c>
      <c r="D2952" s="20">
        <v>42019</v>
      </c>
      <c r="E2952">
        <v>380</v>
      </c>
      <c r="F2952">
        <v>991</v>
      </c>
      <c r="G2952">
        <v>326.7</v>
      </c>
      <c r="H2952">
        <v>532.75</v>
      </c>
      <c r="I2952">
        <v>32.99</v>
      </c>
      <c r="J2952">
        <v>2.641</v>
      </c>
    </row>
    <row r="2953" spans="2:10" x14ac:dyDescent="0.3">
      <c r="B2953" s="10">
        <f t="shared" si="92"/>
        <v>2015</v>
      </c>
      <c r="C2953" s="10">
        <f t="shared" si="93"/>
        <v>1</v>
      </c>
      <c r="D2953" s="20">
        <v>42018</v>
      </c>
      <c r="E2953">
        <v>381</v>
      </c>
      <c r="F2953">
        <v>992.5</v>
      </c>
      <c r="G2953">
        <v>328.9</v>
      </c>
      <c r="H2953">
        <v>537.75</v>
      </c>
      <c r="I2953">
        <v>32.57</v>
      </c>
      <c r="J2953">
        <v>2.6158999999999999</v>
      </c>
    </row>
    <row r="2954" spans="2:10" x14ac:dyDescent="0.3">
      <c r="B2954" s="10">
        <f t="shared" si="92"/>
        <v>2015</v>
      </c>
      <c r="C2954" s="10">
        <f t="shared" si="93"/>
        <v>1</v>
      </c>
      <c r="D2954" s="20">
        <v>42017</v>
      </c>
      <c r="E2954">
        <v>385.75</v>
      </c>
      <c r="F2954">
        <v>1000</v>
      </c>
      <c r="G2954">
        <v>349.7</v>
      </c>
      <c r="H2954">
        <v>548</v>
      </c>
      <c r="I2954">
        <v>32.39</v>
      </c>
      <c r="J2954">
        <v>2.6425000000000001</v>
      </c>
    </row>
    <row r="2955" spans="2:10" x14ac:dyDescent="0.3">
      <c r="B2955" s="10">
        <f t="shared" si="92"/>
        <v>2015</v>
      </c>
      <c r="C2955" s="10">
        <f t="shared" si="93"/>
        <v>1</v>
      </c>
      <c r="D2955" s="20">
        <v>42016</v>
      </c>
      <c r="E2955">
        <v>402</v>
      </c>
      <c r="F2955">
        <v>1013.5</v>
      </c>
      <c r="G2955">
        <v>356.5</v>
      </c>
      <c r="H2955">
        <v>555.5</v>
      </c>
      <c r="I2955">
        <v>32.450000000000003</v>
      </c>
      <c r="J2955">
        <v>2.6732999999999998</v>
      </c>
    </row>
    <row r="2956" spans="2:10" x14ac:dyDescent="0.3">
      <c r="B2956" s="10">
        <f t="shared" si="92"/>
        <v>2015</v>
      </c>
      <c r="C2956" s="10">
        <f t="shared" si="93"/>
        <v>1</v>
      </c>
      <c r="D2956" s="20">
        <v>42013</v>
      </c>
      <c r="E2956">
        <v>400.25</v>
      </c>
      <c r="F2956">
        <v>1051.5</v>
      </c>
      <c r="G2956">
        <v>363.8</v>
      </c>
      <c r="H2956">
        <v>563.75</v>
      </c>
      <c r="I2956">
        <v>33.54</v>
      </c>
      <c r="J2956">
        <v>2.6299000000000001</v>
      </c>
    </row>
    <row r="2957" spans="2:10" x14ac:dyDescent="0.3">
      <c r="B2957" s="10">
        <f t="shared" si="92"/>
        <v>2015</v>
      </c>
      <c r="C2957" s="10">
        <f t="shared" si="93"/>
        <v>1</v>
      </c>
      <c r="D2957" s="20">
        <v>42012</v>
      </c>
      <c r="E2957">
        <v>394.25</v>
      </c>
      <c r="F2957">
        <v>1045</v>
      </c>
      <c r="G2957">
        <v>361.3</v>
      </c>
      <c r="H2957">
        <v>567</v>
      </c>
      <c r="I2957">
        <v>33.58</v>
      </c>
      <c r="J2957">
        <v>2.6619999999999999</v>
      </c>
    </row>
    <row r="2958" spans="2:10" x14ac:dyDescent="0.3">
      <c r="B2958" s="10">
        <f t="shared" si="92"/>
        <v>2015</v>
      </c>
      <c r="C2958" s="10">
        <f t="shared" si="93"/>
        <v>1</v>
      </c>
      <c r="D2958" s="20">
        <v>42011</v>
      </c>
      <c r="E2958">
        <v>396.25</v>
      </c>
      <c r="F2958">
        <v>1052.75</v>
      </c>
      <c r="G2958">
        <v>368.5</v>
      </c>
      <c r="H2958">
        <v>579.5</v>
      </c>
      <c r="I2958">
        <v>32.979999999999997</v>
      </c>
      <c r="J2958">
        <v>2.6829999999999998</v>
      </c>
    </row>
    <row r="2959" spans="2:10" x14ac:dyDescent="0.3">
      <c r="B2959" s="10">
        <f t="shared" si="92"/>
        <v>2015</v>
      </c>
      <c r="C2959" s="10">
        <f t="shared" si="93"/>
        <v>1</v>
      </c>
      <c r="D2959" s="20">
        <v>42010</v>
      </c>
      <c r="E2959">
        <v>405</v>
      </c>
      <c r="F2959">
        <v>1051</v>
      </c>
      <c r="G2959">
        <v>370.8</v>
      </c>
      <c r="H2959">
        <v>591.75</v>
      </c>
      <c r="I2959">
        <v>32.69</v>
      </c>
      <c r="J2959">
        <v>2.6996000000000002</v>
      </c>
    </row>
    <row r="2960" spans="2:10" x14ac:dyDescent="0.3">
      <c r="B2960" s="10">
        <f t="shared" si="92"/>
        <v>2015</v>
      </c>
      <c r="C2960" s="10">
        <f t="shared" si="93"/>
        <v>1</v>
      </c>
      <c r="D2960" s="20">
        <v>42009</v>
      </c>
      <c r="E2960">
        <v>406</v>
      </c>
      <c r="F2960">
        <v>1039.75</v>
      </c>
      <c r="G2960">
        <v>369</v>
      </c>
      <c r="H2960">
        <v>589</v>
      </c>
      <c r="I2960">
        <v>32.700000000000003</v>
      </c>
      <c r="J2960">
        <v>2.7059000000000002</v>
      </c>
    </row>
    <row r="2961" spans="2:10" x14ac:dyDescent="0.3">
      <c r="B2961" s="10">
        <f t="shared" si="92"/>
        <v>2015</v>
      </c>
      <c r="C2961" s="10">
        <f t="shared" si="93"/>
        <v>1</v>
      </c>
      <c r="D2961" s="20">
        <v>42006</v>
      </c>
      <c r="E2961">
        <v>395.75</v>
      </c>
      <c r="F2961">
        <v>1002.5</v>
      </c>
      <c r="G2961">
        <v>356.5</v>
      </c>
      <c r="H2961">
        <v>581.25</v>
      </c>
      <c r="I2961">
        <v>31.95</v>
      </c>
      <c r="J2961">
        <v>2.6930999999999998</v>
      </c>
    </row>
    <row r="2962" spans="2:10" x14ac:dyDescent="0.3">
      <c r="B2962" s="10">
        <f t="shared" si="92"/>
        <v>2015</v>
      </c>
      <c r="C2962" s="10">
        <f t="shared" si="93"/>
        <v>1</v>
      </c>
      <c r="D2962" s="20">
        <v>42005</v>
      </c>
      <c r="J2962">
        <v>2.657</v>
      </c>
    </row>
    <row r="2963" spans="2:10" x14ac:dyDescent="0.3">
      <c r="B2963" s="10">
        <f t="shared" si="92"/>
        <v>1900</v>
      </c>
      <c r="C2963" s="10">
        <f t="shared" si="93"/>
        <v>1</v>
      </c>
    </row>
    <row r="2964" spans="2:10" x14ac:dyDescent="0.3">
      <c r="B2964" s="10">
        <f t="shared" si="92"/>
        <v>1900</v>
      </c>
      <c r="C2964" s="10">
        <f t="shared" si="93"/>
        <v>1</v>
      </c>
    </row>
    <row r="2965" spans="2:10" x14ac:dyDescent="0.3">
      <c r="B2965" s="10">
        <f t="shared" si="92"/>
        <v>1900</v>
      </c>
      <c r="C2965" s="10">
        <f t="shared" si="93"/>
        <v>1</v>
      </c>
    </row>
    <row r="2966" spans="2:10" x14ac:dyDescent="0.3">
      <c r="B2966" s="10">
        <f t="shared" si="92"/>
        <v>1900</v>
      </c>
      <c r="C2966" s="10">
        <f t="shared" si="93"/>
        <v>1</v>
      </c>
    </row>
    <row r="2967" spans="2:10" x14ac:dyDescent="0.3">
      <c r="B2967" s="10">
        <f t="shared" si="92"/>
        <v>1900</v>
      </c>
      <c r="C2967" s="10">
        <f t="shared" si="93"/>
        <v>1</v>
      </c>
    </row>
    <row r="2968" spans="2:10" x14ac:dyDescent="0.3">
      <c r="B2968" s="10">
        <f t="shared" si="92"/>
        <v>1900</v>
      </c>
      <c r="C2968" s="10">
        <f t="shared" si="93"/>
        <v>1</v>
      </c>
    </row>
    <row r="2969" spans="2:10" x14ac:dyDescent="0.3">
      <c r="B2969" s="10">
        <f t="shared" si="92"/>
        <v>1900</v>
      </c>
      <c r="C2969" s="10">
        <f t="shared" si="93"/>
        <v>1</v>
      </c>
    </row>
    <row r="2970" spans="2:10" x14ac:dyDescent="0.3">
      <c r="B2970" s="10">
        <f t="shared" si="92"/>
        <v>1900</v>
      </c>
      <c r="C2970" s="10">
        <f t="shared" si="93"/>
        <v>1</v>
      </c>
    </row>
    <row r="2971" spans="2:10" x14ac:dyDescent="0.3">
      <c r="B2971" s="10">
        <f t="shared" si="92"/>
        <v>1900</v>
      </c>
      <c r="C2971" s="10">
        <f t="shared" si="93"/>
        <v>1</v>
      </c>
    </row>
    <row r="2972" spans="2:10" x14ac:dyDescent="0.3">
      <c r="B2972" s="10">
        <f t="shared" si="92"/>
        <v>1900</v>
      </c>
      <c r="C2972" s="10">
        <f t="shared" si="93"/>
        <v>1</v>
      </c>
    </row>
    <row r="2973" spans="2:10" x14ac:dyDescent="0.3">
      <c r="B2973" s="10">
        <f t="shared" ref="B2973:B2988" si="94">YEAR(D2973)</f>
        <v>1900</v>
      </c>
      <c r="C2973" s="10">
        <f t="shared" ref="C2973:C2988" si="95">MONTH(D2973)</f>
        <v>1</v>
      </c>
    </row>
    <row r="2974" spans="2:10" x14ac:dyDescent="0.3">
      <c r="B2974" s="10">
        <f t="shared" si="94"/>
        <v>1900</v>
      </c>
      <c r="C2974" s="10">
        <f t="shared" si="95"/>
        <v>1</v>
      </c>
    </row>
    <row r="2975" spans="2:10" x14ac:dyDescent="0.3">
      <c r="B2975" s="10">
        <f t="shared" si="94"/>
        <v>1900</v>
      </c>
      <c r="C2975" s="10">
        <f t="shared" si="95"/>
        <v>1</v>
      </c>
    </row>
    <row r="2976" spans="2:10" x14ac:dyDescent="0.3">
      <c r="B2976" s="10">
        <f t="shared" si="94"/>
        <v>1900</v>
      </c>
      <c r="C2976" s="10">
        <f t="shared" si="95"/>
        <v>1</v>
      </c>
    </row>
    <row r="2977" spans="2:3" x14ac:dyDescent="0.3">
      <c r="B2977" s="10">
        <f t="shared" si="94"/>
        <v>1900</v>
      </c>
      <c r="C2977" s="10">
        <f t="shared" si="95"/>
        <v>1</v>
      </c>
    </row>
    <row r="2978" spans="2:3" x14ac:dyDescent="0.3">
      <c r="B2978" s="10">
        <f t="shared" si="94"/>
        <v>1900</v>
      </c>
      <c r="C2978" s="10">
        <f t="shared" si="95"/>
        <v>1</v>
      </c>
    </row>
    <row r="2979" spans="2:3" x14ac:dyDescent="0.3">
      <c r="B2979" s="10">
        <f t="shared" si="94"/>
        <v>1900</v>
      </c>
      <c r="C2979" s="10">
        <f t="shared" si="95"/>
        <v>1</v>
      </c>
    </row>
    <row r="2980" spans="2:3" x14ac:dyDescent="0.3">
      <c r="B2980" s="10">
        <f t="shared" si="94"/>
        <v>1900</v>
      </c>
      <c r="C2980" s="10">
        <f t="shared" si="95"/>
        <v>1</v>
      </c>
    </row>
    <row r="2981" spans="2:3" x14ac:dyDescent="0.3">
      <c r="B2981" s="10">
        <f t="shared" si="94"/>
        <v>1900</v>
      </c>
      <c r="C2981" s="10">
        <f t="shared" si="95"/>
        <v>1</v>
      </c>
    </row>
    <row r="2982" spans="2:3" x14ac:dyDescent="0.3">
      <c r="B2982" s="10">
        <f t="shared" si="94"/>
        <v>1900</v>
      </c>
      <c r="C2982" s="10">
        <f t="shared" si="95"/>
        <v>1</v>
      </c>
    </row>
    <row r="2983" spans="2:3" x14ac:dyDescent="0.3">
      <c r="B2983" s="10">
        <f t="shared" si="94"/>
        <v>1900</v>
      </c>
      <c r="C2983" s="10">
        <f t="shared" si="95"/>
        <v>1</v>
      </c>
    </row>
    <row r="2984" spans="2:3" x14ac:dyDescent="0.3">
      <c r="B2984" s="10">
        <f t="shared" si="94"/>
        <v>1900</v>
      </c>
      <c r="C2984" s="10">
        <f t="shared" si="95"/>
        <v>1</v>
      </c>
    </row>
    <row r="2985" spans="2:3" x14ac:dyDescent="0.3">
      <c r="B2985" s="10">
        <f t="shared" si="94"/>
        <v>1900</v>
      </c>
      <c r="C2985" s="10">
        <f t="shared" si="95"/>
        <v>1</v>
      </c>
    </row>
    <row r="2986" spans="2:3" x14ac:dyDescent="0.3">
      <c r="B2986" s="10">
        <f t="shared" si="94"/>
        <v>1900</v>
      </c>
      <c r="C2986" s="10">
        <f t="shared" si="95"/>
        <v>1</v>
      </c>
    </row>
    <row r="2987" spans="2:3" x14ac:dyDescent="0.3">
      <c r="B2987" s="10">
        <f t="shared" si="94"/>
        <v>1900</v>
      </c>
      <c r="C2987" s="10">
        <f t="shared" si="95"/>
        <v>1</v>
      </c>
    </row>
    <row r="2988" spans="2:3" x14ac:dyDescent="0.3">
      <c r="B2988" s="10">
        <f t="shared" si="94"/>
        <v>1900</v>
      </c>
      <c r="C2988" s="10">
        <f t="shared" si="95"/>
        <v>1</v>
      </c>
    </row>
  </sheetData>
  <pageMargins left="0.511811024" right="0.511811024" top="0.78740157499999996" bottom="0.78740157499999996" header="0.31496062000000002" footer="0.31496062000000002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1362-CD51-404E-8067-AB7578522268}">
  <dimension ref="A2:AR148"/>
  <sheetViews>
    <sheetView tabSelected="1" workbookViewId="0">
      <selection activeCell="AQ11" sqref="AQ11"/>
    </sheetView>
  </sheetViews>
  <sheetFormatPr defaultRowHeight="14.4" x14ac:dyDescent="0.3"/>
  <cols>
    <col min="1" max="1" width="16.77734375" bestFit="1" customWidth="1"/>
    <col min="2" max="2" width="18.109375" bestFit="1" customWidth="1"/>
    <col min="3" max="13" width="4.33203125" bestFit="1" customWidth="1"/>
    <col min="14" max="14" width="10" bestFit="1" customWidth="1"/>
    <col min="32" max="32" width="10.44140625" bestFit="1" customWidth="1"/>
    <col min="38" max="38" width="9.44140625" bestFit="1" customWidth="1"/>
  </cols>
  <sheetData>
    <row r="2" spans="1:44" x14ac:dyDescent="0.3">
      <c r="X2" t="s">
        <v>9</v>
      </c>
      <c r="Y2" t="s">
        <v>19</v>
      </c>
      <c r="Z2" t="s">
        <v>15</v>
      </c>
      <c r="AB2" t="s">
        <v>16</v>
      </c>
      <c r="AC2" t="s">
        <v>17</v>
      </c>
      <c r="AE2" t="s">
        <v>26</v>
      </c>
      <c r="AF2" t="s">
        <v>27</v>
      </c>
      <c r="AI2" t="s">
        <v>9</v>
      </c>
      <c r="AJ2" t="s">
        <v>16</v>
      </c>
      <c r="AK2" t="s">
        <v>26</v>
      </c>
      <c r="AL2" t="s">
        <v>27</v>
      </c>
      <c r="AN2" t="s">
        <v>9</v>
      </c>
      <c r="AO2" t="s">
        <v>29</v>
      </c>
      <c r="AP2" t="s">
        <v>30</v>
      </c>
      <c r="AQ2" t="s">
        <v>15</v>
      </c>
      <c r="AR2" t="s">
        <v>31</v>
      </c>
    </row>
    <row r="3" spans="1:44" x14ac:dyDescent="0.3">
      <c r="A3" s="13" t="s">
        <v>13</v>
      </c>
      <c r="B3" s="13" t="s">
        <v>12</v>
      </c>
      <c r="X3" s="16">
        <v>44197</v>
      </c>
      <c r="Y3" s="19">
        <f t="shared" ref="Y3:Y34" si="0">+GETPIVOTDATA("LCOc1",$A$36,"ANO",YEAR(X3),"MÊS",MONTH(X3))</f>
        <v>55.321499999999993</v>
      </c>
      <c r="Z3" s="17">
        <f>+GETPIVOTDATA("HOc1",$A$3,"ANO",YEAR(X3),"MÊS",MONTH(X3))</f>
        <v>1.5782947368421052</v>
      </c>
      <c r="AA3" s="17"/>
      <c r="AB3" s="17">
        <f>GETPIVOTDATA("BRL=",$A$17,"ANO",YEAR(X3),"MÊS",MONTH(X3))</f>
        <v>5.3532904761904758</v>
      </c>
      <c r="AC3" s="18">
        <f>+(Z3*AB3)/3.78541</f>
        <v>2.2320092627637154</v>
      </c>
      <c r="AE3" s="22">
        <f t="shared" ref="AE3:AE34" si="1">+GETPIVOTDATA("SMc1",$A$51,"ANO",YEAR(X3),"MÊS",MONTH(X3))</f>
        <v>442.93157894736834</v>
      </c>
      <c r="AF3" s="23">
        <f>+AE3*AB3</f>
        <v>2371.1414031829568</v>
      </c>
      <c r="AI3" s="16">
        <v>42736</v>
      </c>
      <c r="AJ3" s="19">
        <f>GETPIVOTDATA("BRL=",$A$17,"ANO",YEAR(AI3),"MÊS",MONTH(AI3))</f>
        <v>3.1967772727272732</v>
      </c>
      <c r="AK3" s="22">
        <f>+GETPIVOTDATA("SMc1",$A$51,"ANO",YEAR(AI3),"MÊS",MONTH(AI3))</f>
        <v>330.85499999999996</v>
      </c>
      <c r="AL3" s="21">
        <f>+AK3*AJ3</f>
        <v>1057.6697445681818</v>
      </c>
      <c r="AN3" s="16">
        <v>44197</v>
      </c>
      <c r="AO3" s="19">
        <f>+GETPIVOTDATA("BOc1",$A$71,"ANO",YEAR(AN3),"MÊS",MONTH(AN3))</f>
        <v>43.391052631578944</v>
      </c>
      <c r="AP3" s="17">
        <f>+AO3*7.5/100</f>
        <v>3.2543289473684207</v>
      </c>
      <c r="AQ3" s="17">
        <f>+GETPIVOTDATA("HOc1",$A$3,"ANO",YEAR(AN3),"MÊS",MONTH(AN3))</f>
        <v>1.5782947368421052</v>
      </c>
      <c r="AR3" s="18">
        <f>+AP3-AQ3</f>
        <v>1.6760342105263155</v>
      </c>
    </row>
    <row r="4" spans="1:44" x14ac:dyDescent="0.3">
      <c r="A4" s="13" t="s">
        <v>10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11</v>
      </c>
      <c r="X4" s="16">
        <f>EDATE(X3,1)</f>
        <v>44228</v>
      </c>
      <c r="Y4" s="19">
        <f t="shared" si="0"/>
        <v>62.281500000000008</v>
      </c>
      <c r="Z4" s="17">
        <f t="shared" ref="Z4:Z12" si="2">+GETPIVOTDATA("HOc1",$A$3,"ANO",YEAR(X4),"MÊS",MONTH(X4))</f>
        <v>1.7851105263157894</v>
      </c>
      <c r="AA4" s="17"/>
      <c r="AB4" s="17">
        <f t="shared" ref="AB4:AB12" si="3">GETPIVOTDATA("BRL=",$A$17,"ANO",YEAR(X4),"MÊS",MONTH(X4))</f>
        <v>5.4109099999999994</v>
      </c>
      <c r="AC4" s="18">
        <f t="shared" ref="AC4:AC12" si="4">+(Z4*AB4)/3.78541</f>
        <v>2.5516581817946715</v>
      </c>
      <c r="AE4" s="22">
        <f t="shared" si="1"/>
        <v>428.77894736842109</v>
      </c>
      <c r="AF4" s="23">
        <f t="shared" ref="AF4:AF12" si="5">+AE4*AB4</f>
        <v>2320.0842941052633</v>
      </c>
      <c r="AI4" s="16">
        <f>EDATE(AI3,1)</f>
        <v>42767</v>
      </c>
      <c r="AJ4" s="19">
        <f t="shared" ref="AJ4:AJ67" si="6">GETPIVOTDATA("BRL=",$A$17,"ANO",YEAR(AI4),"MÊS",MONTH(AI4))</f>
        <v>3.1020099999999995</v>
      </c>
      <c r="AK4" s="22">
        <f t="shared" ref="AK4:AK67" si="7">+GETPIVOTDATA("SMc1",$A$51,"ANO",YEAR(AI4),"MÊS",MONTH(AI4))</f>
        <v>336.90526315789475</v>
      </c>
      <c r="AL4" s="21">
        <f t="shared" ref="AL4:AL67" si="8">+AK4*AJ4</f>
        <v>1045.0834953684209</v>
      </c>
      <c r="AN4" s="16">
        <f>EDATE(AN3,1)</f>
        <v>44228</v>
      </c>
      <c r="AO4" s="19">
        <f t="shared" ref="AO4:AO66" si="9">+GETPIVOTDATA("BOc1",$A$71,"ANO",YEAR(AN4),"MÊS",MONTH(AN4))</f>
        <v>46.946315789473694</v>
      </c>
      <c r="AP4" s="17">
        <f t="shared" ref="AP4:AP66" si="10">+AO4*7.5/100</f>
        <v>3.520973684210527</v>
      </c>
      <c r="AQ4" s="17">
        <f t="shared" ref="AQ4:AQ6" si="11">+GETPIVOTDATA("HOc1",$A$3,"ANO",YEAR(AN4),"MÊS",MONTH(AN4))</f>
        <v>1.7851105263157894</v>
      </c>
      <c r="AR4" s="18">
        <f t="shared" ref="AR4:AR66" si="12">+AP4-AQ4</f>
        <v>1.7358631578947377</v>
      </c>
    </row>
    <row r="5" spans="1:44" x14ac:dyDescent="0.3">
      <c r="A5" s="14">
        <v>2020</v>
      </c>
      <c r="B5" s="15"/>
      <c r="C5" s="15">
        <v>1.6232249999999997</v>
      </c>
      <c r="D5" s="15">
        <v>1.1748000000000003</v>
      </c>
      <c r="E5" s="15">
        <v>0.86687142857142874</v>
      </c>
      <c r="F5" s="15">
        <v>0.91020500000000004</v>
      </c>
      <c r="G5" s="15">
        <v>1.1439909090909091</v>
      </c>
      <c r="H5" s="15">
        <v>1.2375636363636366</v>
      </c>
      <c r="I5" s="15">
        <v>1.239052380952381</v>
      </c>
      <c r="J5" s="15">
        <v>1.1270904761904763</v>
      </c>
      <c r="K5" s="15">
        <v>1.1505272727272726</v>
      </c>
      <c r="L5" s="15">
        <v>1.2479800000000001</v>
      </c>
      <c r="M5" s="15">
        <v>1.4477500000000001</v>
      </c>
      <c r="N5" s="15">
        <v>1.1819448888888899</v>
      </c>
      <c r="X5" s="16">
        <f t="shared" ref="X5:X66" si="13">EDATE(X4,1)</f>
        <v>44256</v>
      </c>
      <c r="Y5" s="19">
        <f t="shared" si="0"/>
        <v>65.702173913043481</v>
      </c>
      <c r="Z5" s="17">
        <f t="shared" si="2"/>
        <v>1.8560478260869571</v>
      </c>
      <c r="AA5" s="17"/>
      <c r="AB5" s="17">
        <f t="shared" si="3"/>
        <v>5.6455260869565214</v>
      </c>
      <c r="AC5" s="18">
        <f t="shared" si="4"/>
        <v>2.7680928673017866</v>
      </c>
      <c r="AE5" s="22">
        <f t="shared" si="1"/>
        <v>408.55217391304353</v>
      </c>
      <c r="AF5" s="23">
        <f t="shared" si="5"/>
        <v>2306.4919557088847</v>
      </c>
      <c r="AI5" s="16">
        <f t="shared" ref="AI5:AI68" si="14">EDATE(AI4,1)</f>
        <v>42795</v>
      </c>
      <c r="AJ5" s="19">
        <f t="shared" si="6"/>
        <v>3.1256956521739125</v>
      </c>
      <c r="AK5" s="22">
        <f t="shared" si="7"/>
        <v>323.76086956521743</v>
      </c>
      <c r="AL5" s="21">
        <f t="shared" si="8"/>
        <v>1011.9779423440453</v>
      </c>
      <c r="AN5" s="16">
        <f t="shared" ref="AN5:AN66" si="15">EDATE(AN4,1)</f>
        <v>44256</v>
      </c>
      <c r="AO5" s="19">
        <f t="shared" si="9"/>
        <v>54.083043478260883</v>
      </c>
      <c r="AP5" s="17">
        <f t="shared" si="10"/>
        <v>4.0562282608695668</v>
      </c>
      <c r="AQ5" s="17">
        <f t="shared" si="11"/>
        <v>1.8560478260869571</v>
      </c>
      <c r="AR5" s="18">
        <f t="shared" si="12"/>
        <v>2.2001804347826095</v>
      </c>
    </row>
    <row r="6" spans="1:44" x14ac:dyDescent="0.3">
      <c r="A6" s="14">
        <v>2021</v>
      </c>
      <c r="B6" s="15">
        <v>1.5782947368421052</v>
      </c>
      <c r="C6" s="15">
        <v>1.7851105263157894</v>
      </c>
      <c r="D6" s="15">
        <v>1.8560478260869571</v>
      </c>
      <c r="E6" s="15">
        <v>1.8617333333333335</v>
      </c>
      <c r="F6" s="15">
        <v>2.0209100000000002</v>
      </c>
      <c r="G6" s="15">
        <v>2.1204227272727274</v>
      </c>
      <c r="H6" s="15">
        <v>2.1285523809523808</v>
      </c>
      <c r="I6" s="15">
        <v>2.0715136363636364</v>
      </c>
      <c r="J6" s="15">
        <v>2.2006428571428569</v>
      </c>
      <c r="K6" s="15">
        <v>2.515680952380952</v>
      </c>
      <c r="L6" s="15">
        <v>2.3742857142857141</v>
      </c>
      <c r="M6" s="15">
        <v>2.2497454545454545</v>
      </c>
      <c r="N6" s="15">
        <v>2.0691579365079353</v>
      </c>
      <c r="X6" s="16">
        <f t="shared" si="13"/>
        <v>44287</v>
      </c>
      <c r="Y6" s="19">
        <f t="shared" si="0"/>
        <v>65.328571428571436</v>
      </c>
      <c r="Z6" s="17">
        <f t="shared" si="2"/>
        <v>1.8617333333333335</v>
      </c>
      <c r="AA6" s="17"/>
      <c r="AB6" s="17">
        <f t="shared" si="3"/>
        <v>5.5659000000000001</v>
      </c>
      <c r="AC6" s="18">
        <f t="shared" si="4"/>
        <v>2.7374106265899862</v>
      </c>
      <c r="AE6" s="22">
        <f t="shared" si="1"/>
        <v>411.33333333333331</v>
      </c>
      <c r="AF6" s="23">
        <f t="shared" si="5"/>
        <v>2289.4402</v>
      </c>
      <c r="AI6" s="16">
        <f t="shared" si="14"/>
        <v>42826</v>
      </c>
      <c r="AJ6" s="19">
        <f t="shared" si="6"/>
        <v>3.1374299999999997</v>
      </c>
      <c r="AK6" s="22">
        <f t="shared" si="7"/>
        <v>310.83157894736848</v>
      </c>
      <c r="AL6" s="21">
        <f t="shared" si="8"/>
        <v>975.21232073684223</v>
      </c>
      <c r="AN6" s="16">
        <f t="shared" si="15"/>
        <v>44287</v>
      </c>
      <c r="AO6" s="19">
        <f t="shared" si="9"/>
        <v>58.235714285714288</v>
      </c>
      <c r="AP6" s="17">
        <f t="shared" si="10"/>
        <v>4.3676785714285717</v>
      </c>
      <c r="AQ6" s="17">
        <f t="shared" si="11"/>
        <v>1.8617333333333335</v>
      </c>
      <c r="AR6" s="18">
        <f t="shared" si="12"/>
        <v>2.5059452380952383</v>
      </c>
    </row>
    <row r="7" spans="1:44" x14ac:dyDescent="0.3">
      <c r="A7" s="14">
        <v>2022</v>
      </c>
      <c r="B7" s="15">
        <v>2.6084849999999999</v>
      </c>
      <c r="C7" s="15">
        <v>2.8468421052631583</v>
      </c>
      <c r="D7" s="15">
        <v>3.6522217391304346</v>
      </c>
      <c r="E7" s="15">
        <v>3.8694800000000003</v>
      </c>
      <c r="F7" s="15">
        <v>3.9247904761904766</v>
      </c>
      <c r="G7" s="15">
        <v>4.3029142857142846</v>
      </c>
      <c r="H7" s="15">
        <v>3.6402100000000006</v>
      </c>
      <c r="I7" s="15">
        <v>3.5926869565217392</v>
      </c>
      <c r="J7" s="15">
        <v>3.4098190476190475</v>
      </c>
      <c r="K7" s="15">
        <v>3.9515619047619039</v>
      </c>
      <c r="L7" s="15">
        <v>3.5568761904761907</v>
      </c>
      <c r="M7" s="15">
        <v>3.1236714285714293</v>
      </c>
      <c r="N7" s="15">
        <v>3.5487996015936289</v>
      </c>
      <c r="X7" s="16">
        <f t="shared" si="13"/>
        <v>44317</v>
      </c>
      <c r="Y7" s="19">
        <f t="shared" si="0"/>
        <v>68.309047619047604</v>
      </c>
      <c r="Z7" s="17">
        <f t="shared" si="2"/>
        <v>2.0209100000000002</v>
      </c>
      <c r="AA7" s="17"/>
      <c r="AB7" s="17">
        <f t="shared" si="3"/>
        <v>5.2959761904761899</v>
      </c>
      <c r="AC7" s="18">
        <f t="shared" si="4"/>
        <v>2.8273532439274049</v>
      </c>
      <c r="AE7" s="22">
        <f t="shared" si="1"/>
        <v>415.55</v>
      </c>
      <c r="AF7" s="23">
        <f t="shared" si="5"/>
        <v>2200.7429059523806</v>
      </c>
      <c r="AI7" s="16">
        <f t="shared" si="14"/>
        <v>42856</v>
      </c>
      <c r="AJ7" s="19">
        <f t="shared" si="6"/>
        <v>3.2051260869565219</v>
      </c>
      <c r="AK7" s="22">
        <f t="shared" si="7"/>
        <v>309.38181818181823</v>
      </c>
      <c r="AL7" s="21">
        <f t="shared" si="8"/>
        <v>991.60773628458514</v>
      </c>
      <c r="AN7" s="16">
        <f t="shared" si="15"/>
        <v>44317</v>
      </c>
      <c r="AO7" s="19">
        <f t="shared" si="9"/>
        <v>66.967999999999989</v>
      </c>
      <c r="AP7" s="17">
        <f t="shared" si="10"/>
        <v>5.0225999999999997</v>
      </c>
      <c r="AQ7" s="17">
        <f t="shared" ref="AQ7:AQ66" si="16">+GETPIVOTDATA("HOc1",$A$3,"ANO",YEAR(AN7),"MÊS",MONTH(AN7))</f>
        <v>2.0209100000000002</v>
      </c>
      <c r="AR7" s="18">
        <f t="shared" si="12"/>
        <v>3.0016899999999995</v>
      </c>
    </row>
    <row r="8" spans="1:44" x14ac:dyDescent="0.3">
      <c r="A8" s="14">
        <v>2023</v>
      </c>
      <c r="B8" s="15">
        <v>3.2275449999999992</v>
      </c>
      <c r="C8" s="15">
        <v>2.828121052631579</v>
      </c>
      <c r="D8" s="15">
        <v>2.735630434782609</v>
      </c>
      <c r="E8" s="15">
        <v>2.5752263157894735</v>
      </c>
      <c r="F8" s="15">
        <v>2.345477272727273</v>
      </c>
      <c r="G8" s="15">
        <v>2.4134904761904767</v>
      </c>
      <c r="H8" s="15">
        <v>2.6663399999999995</v>
      </c>
      <c r="I8" s="15">
        <v>3.1147130434782606</v>
      </c>
      <c r="J8" s="15">
        <v>3.3081800000000001</v>
      </c>
      <c r="K8" s="15">
        <v>3.0666272727272723</v>
      </c>
      <c r="L8" s="15">
        <v>2.8544714285714283</v>
      </c>
      <c r="M8" s="15">
        <v>2.6201599999999998</v>
      </c>
      <c r="N8" s="15">
        <v>2.8134379999999997</v>
      </c>
      <c r="X8" s="16">
        <f t="shared" si="13"/>
        <v>44348</v>
      </c>
      <c r="Y8" s="19">
        <f t="shared" si="0"/>
        <v>73.408181818181816</v>
      </c>
      <c r="Z8" s="17">
        <f t="shared" si="2"/>
        <v>2.1204227272727274</v>
      </c>
      <c r="AA8" s="17"/>
      <c r="AB8" s="17">
        <f t="shared" si="3"/>
        <v>5.025095454545454</v>
      </c>
      <c r="AC8" s="18">
        <f t="shared" si="4"/>
        <v>2.8148408253090302</v>
      </c>
      <c r="AE8" s="22">
        <f t="shared" si="1"/>
        <v>374</v>
      </c>
      <c r="AF8" s="23">
        <f t="shared" si="5"/>
        <v>1879.3856999999998</v>
      </c>
      <c r="AI8" s="16">
        <f t="shared" si="14"/>
        <v>42887</v>
      </c>
      <c r="AJ8" s="19">
        <f t="shared" si="6"/>
        <v>3.2952363636363642</v>
      </c>
      <c r="AK8" s="22">
        <f t="shared" si="7"/>
        <v>299.71818181818185</v>
      </c>
      <c r="AL8" s="21">
        <f t="shared" si="8"/>
        <v>987.64225157024816</v>
      </c>
      <c r="AN8" s="16">
        <f t="shared" si="15"/>
        <v>44348</v>
      </c>
      <c r="AO8" s="19">
        <f t="shared" si="9"/>
        <v>65.243181818181824</v>
      </c>
      <c r="AP8" s="17">
        <f t="shared" si="10"/>
        <v>4.8932386363636367</v>
      </c>
      <c r="AQ8" s="17">
        <f t="shared" si="16"/>
        <v>2.1204227272727274</v>
      </c>
      <c r="AR8" s="18">
        <f t="shared" si="12"/>
        <v>2.7728159090909092</v>
      </c>
    </row>
    <row r="9" spans="1:44" x14ac:dyDescent="0.3">
      <c r="A9" s="14">
        <v>2024</v>
      </c>
      <c r="B9" s="15">
        <v>2.6820142857142852</v>
      </c>
      <c r="C9" s="15">
        <v>2.7747849999999996</v>
      </c>
      <c r="D9" s="15">
        <v>2.67137</v>
      </c>
      <c r="E9" s="15">
        <v>2.628731818181818</v>
      </c>
      <c r="F9" s="15">
        <v>2.4411363636363639</v>
      </c>
      <c r="G9" s="15">
        <v>2.4462526315789472</v>
      </c>
      <c r="H9" s="15">
        <v>2.4921636363636366</v>
      </c>
      <c r="I9" s="15">
        <v>2.3173318181818185</v>
      </c>
      <c r="J9" s="15">
        <v>2.1370250000000004</v>
      </c>
      <c r="K9" s="15">
        <v>2.2332086956521739</v>
      </c>
      <c r="L9" s="15">
        <v>2.2384100000000005</v>
      </c>
      <c r="M9" s="15">
        <v>2.223090476190476</v>
      </c>
      <c r="N9" s="15">
        <v>2.4389984126984134</v>
      </c>
      <c r="X9" s="16">
        <f t="shared" si="13"/>
        <v>44378</v>
      </c>
      <c r="Y9" s="19">
        <f t="shared" si="0"/>
        <v>74.293636363636367</v>
      </c>
      <c r="Z9" s="17">
        <f t="shared" si="2"/>
        <v>2.1285523809523808</v>
      </c>
      <c r="AA9" s="17"/>
      <c r="AB9" s="17">
        <f t="shared" si="3"/>
        <v>5.1629909090909099</v>
      </c>
      <c r="AC9" s="18">
        <f t="shared" si="4"/>
        <v>2.9031720718180996</v>
      </c>
      <c r="AE9" s="22">
        <f t="shared" si="1"/>
        <v>360.65238095238095</v>
      </c>
      <c r="AF9" s="23">
        <f t="shared" si="5"/>
        <v>1862.0449641991345</v>
      </c>
      <c r="AI9" s="16">
        <f t="shared" si="14"/>
        <v>42917</v>
      </c>
      <c r="AJ9" s="19">
        <f t="shared" si="6"/>
        <v>3.199842857142857</v>
      </c>
      <c r="AK9" s="22">
        <f t="shared" si="7"/>
        <v>324.08</v>
      </c>
      <c r="AL9" s="21">
        <f t="shared" si="8"/>
        <v>1037.0050731428571</v>
      </c>
      <c r="AN9" s="16">
        <f t="shared" si="15"/>
        <v>44378</v>
      </c>
      <c r="AO9" s="19">
        <f t="shared" si="9"/>
        <v>65.847619047619034</v>
      </c>
      <c r="AP9" s="17">
        <f t="shared" si="10"/>
        <v>4.9385714285714277</v>
      </c>
      <c r="AQ9" s="17">
        <f t="shared" si="16"/>
        <v>2.1285523809523808</v>
      </c>
      <c r="AR9" s="18">
        <f t="shared" si="12"/>
        <v>2.810019047619047</v>
      </c>
    </row>
    <row r="10" spans="1:44" x14ac:dyDescent="0.3">
      <c r="A10" s="14">
        <v>2025</v>
      </c>
      <c r="B10" s="15">
        <v>2.4722952380952385</v>
      </c>
      <c r="C10" s="15">
        <v>2.4309421052631577</v>
      </c>
      <c r="D10" s="15">
        <v>2.236447619047619</v>
      </c>
      <c r="E10" s="15">
        <v>2.1285571428571424</v>
      </c>
      <c r="F10" s="15">
        <v>2.0817857142857141</v>
      </c>
      <c r="G10" s="15">
        <v>2.2703149999999996</v>
      </c>
      <c r="H10" s="15">
        <v>2.4205681818181821</v>
      </c>
      <c r="I10" s="15">
        <v>2.277047619047619</v>
      </c>
      <c r="J10" s="15">
        <v>2.3405095238095237</v>
      </c>
      <c r="K10" s="15">
        <v>2.2876217391304343</v>
      </c>
      <c r="L10" s="15">
        <v>2.4797894736842103</v>
      </c>
      <c r="M10" s="15">
        <v>2.2092000000000001</v>
      </c>
      <c r="N10" s="15">
        <v>2.3005972111553783</v>
      </c>
      <c r="X10" s="16">
        <f t="shared" si="13"/>
        <v>44409</v>
      </c>
      <c r="Y10" s="19">
        <f t="shared" si="0"/>
        <v>70.513636363636365</v>
      </c>
      <c r="Z10" s="17">
        <f t="shared" si="2"/>
        <v>2.0715136363636364</v>
      </c>
      <c r="AA10" s="17"/>
      <c r="AB10" s="17">
        <f t="shared" si="3"/>
        <v>5.2503181818181819</v>
      </c>
      <c r="AC10" s="18">
        <f t="shared" si="4"/>
        <v>2.8731645208535661</v>
      </c>
      <c r="AE10" s="22">
        <f t="shared" si="1"/>
        <v>354.68181818181819</v>
      </c>
      <c r="AF10" s="23">
        <f t="shared" si="5"/>
        <v>1862.1923987603307</v>
      </c>
      <c r="AI10" s="16">
        <f t="shared" si="14"/>
        <v>42948</v>
      </c>
      <c r="AJ10" s="19">
        <f t="shared" si="6"/>
        <v>3.1520739130434787</v>
      </c>
      <c r="AK10" s="22">
        <f t="shared" si="7"/>
        <v>299.00000000000006</v>
      </c>
      <c r="AL10" s="21">
        <f t="shared" si="8"/>
        <v>942.47010000000034</v>
      </c>
      <c r="AN10" s="16">
        <f t="shared" si="15"/>
        <v>44409</v>
      </c>
      <c r="AO10" s="19">
        <f t="shared" si="9"/>
        <v>62.207727272727261</v>
      </c>
      <c r="AP10" s="17">
        <f t="shared" si="10"/>
        <v>4.6655795454545448</v>
      </c>
      <c r="AQ10" s="17">
        <f t="shared" si="16"/>
        <v>2.0715136363636364</v>
      </c>
      <c r="AR10" s="18">
        <f t="shared" si="12"/>
        <v>2.5940659090909084</v>
      </c>
    </row>
    <row r="11" spans="1:44" x14ac:dyDescent="0.3">
      <c r="A11" s="14">
        <v>2026</v>
      </c>
      <c r="B11" s="15">
        <v>2.3269150000000001</v>
      </c>
      <c r="C11" s="15">
        <v>2.5007684210526318</v>
      </c>
      <c r="D11" s="15">
        <v>3.8997590909090913</v>
      </c>
      <c r="E11" s="15">
        <v>3.9499954545454541</v>
      </c>
      <c r="F11" s="15">
        <v>4.0168499999999998</v>
      </c>
      <c r="G11" s="15"/>
      <c r="H11" s="15"/>
      <c r="I11" s="15"/>
      <c r="J11" s="15"/>
      <c r="K11" s="15"/>
      <c r="L11" s="15"/>
      <c r="M11" s="15"/>
      <c r="N11" s="15">
        <v>3.2327200000000014</v>
      </c>
      <c r="X11" s="16">
        <f t="shared" si="13"/>
        <v>44440</v>
      </c>
      <c r="Y11" s="19">
        <f t="shared" si="0"/>
        <v>74.876363636363635</v>
      </c>
      <c r="Z11" s="17">
        <f t="shared" si="2"/>
        <v>2.2006428571428569</v>
      </c>
      <c r="AA11" s="17"/>
      <c r="AB11" s="17">
        <f t="shared" si="3"/>
        <v>5.2762772727272722</v>
      </c>
      <c r="AC11" s="18">
        <f t="shared" si="4"/>
        <v>3.0673564798879025</v>
      </c>
      <c r="AE11" s="22">
        <f t="shared" si="1"/>
        <v>338.07142857142856</v>
      </c>
      <c r="AF11" s="23">
        <f t="shared" si="5"/>
        <v>1783.7585951298699</v>
      </c>
      <c r="AI11" s="16">
        <f t="shared" si="14"/>
        <v>42979</v>
      </c>
      <c r="AJ11" s="19">
        <f t="shared" si="6"/>
        <v>3.1331523809523807</v>
      </c>
      <c r="AK11" s="22">
        <f t="shared" si="7"/>
        <v>305.20999999999998</v>
      </c>
      <c r="AL11" s="21">
        <f t="shared" si="8"/>
        <v>956.26943819047608</v>
      </c>
      <c r="AN11" s="16">
        <f t="shared" si="15"/>
        <v>44440</v>
      </c>
      <c r="AO11" s="19">
        <f t="shared" si="9"/>
        <v>57.215714285714284</v>
      </c>
      <c r="AP11" s="17">
        <f t="shared" si="10"/>
        <v>4.2911785714285715</v>
      </c>
      <c r="AQ11" s="17">
        <f t="shared" si="16"/>
        <v>2.2006428571428569</v>
      </c>
      <c r="AR11" s="18">
        <f t="shared" si="12"/>
        <v>2.0905357142857146</v>
      </c>
    </row>
    <row r="12" spans="1:44" x14ac:dyDescent="0.3">
      <c r="A12" s="14" t="s">
        <v>11</v>
      </c>
      <c r="B12" s="15">
        <v>2.4916280991735538</v>
      </c>
      <c r="C12" s="15">
        <v>2.4442385826771655</v>
      </c>
      <c r="D12" s="15">
        <v>2.608070129870129</v>
      </c>
      <c r="E12" s="15">
        <v>2.5551458904109596</v>
      </c>
      <c r="F12" s="15">
        <v>2.3289031250000001</v>
      </c>
      <c r="G12" s="15">
        <v>2.4379735999999994</v>
      </c>
      <c r="H12" s="15">
        <v>2.4105283464566938</v>
      </c>
      <c r="I12" s="15">
        <v>2.459567424242425</v>
      </c>
      <c r="J12" s="15">
        <v>2.4156725806451615</v>
      </c>
      <c r="K12" s="15">
        <v>2.5194590909090921</v>
      </c>
      <c r="L12" s="15">
        <v>2.4700172131147542</v>
      </c>
      <c r="M12" s="15">
        <v>2.3018164062499995</v>
      </c>
      <c r="N12" s="15">
        <v>2.4574280332056202</v>
      </c>
      <c r="X12" s="16">
        <f t="shared" si="13"/>
        <v>44470</v>
      </c>
      <c r="Y12" s="19">
        <f t="shared" si="0"/>
        <v>83.746190476190478</v>
      </c>
      <c r="Z12" s="17">
        <f t="shared" si="2"/>
        <v>2.515680952380952</v>
      </c>
      <c r="AA12" s="17"/>
      <c r="AB12" s="17">
        <f t="shared" si="3"/>
        <v>5.5385380952380956</v>
      </c>
      <c r="AC12" s="18">
        <f t="shared" si="4"/>
        <v>3.6807623983205926</v>
      </c>
      <c r="AE12" s="22">
        <f t="shared" si="1"/>
        <v>322.39047619047619</v>
      </c>
      <c r="AF12" s="23">
        <f t="shared" si="5"/>
        <v>1785.5719339229026</v>
      </c>
      <c r="AI12" s="16">
        <f t="shared" si="14"/>
        <v>43009</v>
      </c>
      <c r="AJ12" s="19">
        <f t="shared" si="6"/>
        <v>3.1933272727272732</v>
      </c>
      <c r="AK12" s="22">
        <f t="shared" si="7"/>
        <v>315.17272727272729</v>
      </c>
      <c r="AL12" s="21">
        <f t="shared" si="8"/>
        <v>1006.4496656198349</v>
      </c>
      <c r="AN12" s="16">
        <f t="shared" si="15"/>
        <v>44470</v>
      </c>
      <c r="AO12" s="19">
        <f t="shared" si="9"/>
        <v>61.126666666666658</v>
      </c>
      <c r="AP12" s="17">
        <f t="shared" si="10"/>
        <v>4.5844999999999994</v>
      </c>
      <c r="AQ12" s="17">
        <f t="shared" si="16"/>
        <v>2.515680952380952</v>
      </c>
      <c r="AR12" s="18">
        <f t="shared" si="12"/>
        <v>2.0688190476190473</v>
      </c>
    </row>
    <row r="13" spans="1:44" x14ac:dyDescent="0.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X13" s="16">
        <f t="shared" si="13"/>
        <v>44501</v>
      </c>
      <c r="Y13" s="19">
        <f t="shared" si="0"/>
        <v>80.849545454545463</v>
      </c>
      <c r="Z13" s="17">
        <f t="shared" ref="Z13:Z65" si="17">+GETPIVOTDATA("HOc1",$A$3,"ANO",YEAR(X13),"MÊS",MONTH(X13))</f>
        <v>2.3742857142857141</v>
      </c>
      <c r="AA13" s="17"/>
      <c r="AB13" s="17">
        <f t="shared" ref="AB13:AB65" si="18">GETPIVOTDATA("BRL=",$A$17,"ANO",YEAR(X13),"MÊS",MONTH(X13))</f>
        <v>5.5571409090909087</v>
      </c>
      <c r="AC13" s="18">
        <f t="shared" ref="AC13:AC65" si="19">+(Z13*AB13)/3.78541</f>
        <v>3.4855511748337089</v>
      </c>
      <c r="AE13" s="22">
        <f t="shared" si="1"/>
        <v>352.26190476190476</v>
      </c>
      <c r="AF13" s="23">
        <f t="shared" ref="AF13:AF65" si="20">+AE13*AB13</f>
        <v>1957.5690416666666</v>
      </c>
      <c r="AI13" s="16">
        <f t="shared" si="14"/>
        <v>43040</v>
      </c>
      <c r="AJ13" s="19">
        <f t="shared" si="6"/>
        <v>3.2610863636363643</v>
      </c>
      <c r="AK13" s="22">
        <f t="shared" si="7"/>
        <v>317.42857142857144</v>
      </c>
      <c r="AL13" s="21">
        <f t="shared" si="8"/>
        <v>1035.1619857142859</v>
      </c>
      <c r="AN13" s="16">
        <f t="shared" si="15"/>
        <v>44501</v>
      </c>
      <c r="AO13" s="19">
        <f t="shared" si="9"/>
        <v>59.234761904761896</v>
      </c>
      <c r="AP13" s="17">
        <f t="shared" si="10"/>
        <v>4.4426071428571428</v>
      </c>
      <c r="AQ13" s="17">
        <f t="shared" si="16"/>
        <v>2.3742857142857141</v>
      </c>
      <c r="AR13" s="18">
        <f t="shared" si="12"/>
        <v>2.0683214285714286</v>
      </c>
    </row>
    <row r="14" spans="1:44" x14ac:dyDescent="0.3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X14" s="16">
        <f t="shared" si="13"/>
        <v>44531</v>
      </c>
      <c r="Y14" s="19">
        <f t="shared" si="0"/>
        <v>74.803913043478275</v>
      </c>
      <c r="Z14" s="17">
        <f t="shared" si="17"/>
        <v>2.2497454545454545</v>
      </c>
      <c r="AA14" s="17"/>
      <c r="AB14" s="17">
        <f t="shared" si="18"/>
        <v>5.6534956521739135</v>
      </c>
      <c r="AC14" s="18">
        <f t="shared" si="19"/>
        <v>3.3599864072242509</v>
      </c>
      <c r="AE14" s="22">
        <f t="shared" si="1"/>
        <v>385.73181818181814</v>
      </c>
      <c r="AF14" s="23">
        <f t="shared" si="20"/>
        <v>2180.7331569960475</v>
      </c>
      <c r="AI14" s="16">
        <f t="shared" si="14"/>
        <v>43070</v>
      </c>
      <c r="AJ14" s="19">
        <f t="shared" si="6"/>
        <v>3.2967095238095232</v>
      </c>
      <c r="AK14" s="22">
        <f t="shared" si="7"/>
        <v>322.7399999999999</v>
      </c>
      <c r="AL14" s="21">
        <f t="shared" si="8"/>
        <v>1063.9800317142851</v>
      </c>
      <c r="AN14" s="16">
        <f t="shared" si="15"/>
        <v>44531</v>
      </c>
      <c r="AO14" s="19">
        <f t="shared" si="9"/>
        <v>55.160454545454542</v>
      </c>
      <c r="AP14" s="17">
        <f t="shared" si="10"/>
        <v>4.1370340909090908</v>
      </c>
      <c r="AQ14" s="17">
        <f t="shared" si="16"/>
        <v>2.2497454545454545</v>
      </c>
      <c r="AR14" s="18">
        <f t="shared" si="12"/>
        <v>1.8872886363636363</v>
      </c>
    </row>
    <row r="15" spans="1:44" x14ac:dyDescent="0.3">
      <c r="X15" s="16">
        <f t="shared" si="13"/>
        <v>44562</v>
      </c>
      <c r="Y15" s="19">
        <f t="shared" si="0"/>
        <v>85.572380952380954</v>
      </c>
      <c r="Z15" s="17">
        <f t="shared" si="17"/>
        <v>2.6084849999999999</v>
      </c>
      <c r="AA15" s="17"/>
      <c r="AB15" s="17">
        <f t="shared" si="18"/>
        <v>5.5264571428571418</v>
      </c>
      <c r="AC15" s="18">
        <f t="shared" si="19"/>
        <v>3.8082217145000703</v>
      </c>
      <c r="AE15" s="22">
        <f t="shared" si="1"/>
        <v>414.36</v>
      </c>
      <c r="AF15" s="23">
        <f t="shared" si="20"/>
        <v>2289.9427817142855</v>
      </c>
      <c r="AI15" s="16">
        <f t="shared" si="14"/>
        <v>43101</v>
      </c>
      <c r="AJ15" s="19">
        <f t="shared" si="6"/>
        <v>3.2122217391304342</v>
      </c>
      <c r="AK15" s="22">
        <f t="shared" si="7"/>
        <v>325.95238095238091</v>
      </c>
      <c r="AL15" s="21">
        <f t="shared" si="8"/>
        <v>1047.0313240165628</v>
      </c>
      <c r="AN15" s="16">
        <f t="shared" si="15"/>
        <v>44562</v>
      </c>
      <c r="AO15" s="19">
        <f t="shared" si="9"/>
        <v>60.601500000000001</v>
      </c>
      <c r="AP15" s="17">
        <f t="shared" si="10"/>
        <v>4.5451125000000001</v>
      </c>
      <c r="AQ15" s="17">
        <f t="shared" si="16"/>
        <v>2.6084849999999999</v>
      </c>
      <c r="AR15" s="18">
        <f t="shared" si="12"/>
        <v>1.9366275000000002</v>
      </c>
    </row>
    <row r="16" spans="1:44" x14ac:dyDescent="0.3">
      <c r="X16" s="16">
        <f t="shared" si="13"/>
        <v>44593</v>
      </c>
      <c r="Y16" s="19">
        <f t="shared" si="0"/>
        <v>94.101500000000016</v>
      </c>
      <c r="Z16" s="17">
        <f t="shared" si="17"/>
        <v>2.8468421052631583</v>
      </c>
      <c r="AA16" s="17"/>
      <c r="AB16" s="17">
        <f t="shared" si="18"/>
        <v>5.1918749999999987</v>
      </c>
      <c r="AC16" s="18">
        <f t="shared" si="19"/>
        <v>3.9045832169469503</v>
      </c>
      <c r="AE16" s="22">
        <f t="shared" si="1"/>
        <v>450.42631578947368</v>
      </c>
      <c r="AF16" s="23">
        <f t="shared" si="20"/>
        <v>2338.557128289473</v>
      </c>
      <c r="AI16" s="16">
        <f t="shared" si="14"/>
        <v>43132</v>
      </c>
      <c r="AJ16" s="19">
        <f t="shared" si="6"/>
        <v>3.2482449999999998</v>
      </c>
      <c r="AK16" s="22">
        <f t="shared" si="7"/>
        <v>360.51052631578949</v>
      </c>
      <c r="AL16" s="21">
        <f t="shared" si="8"/>
        <v>1171.0265145526316</v>
      </c>
      <c r="AN16" s="16">
        <f t="shared" si="15"/>
        <v>44593</v>
      </c>
      <c r="AO16" s="19">
        <f t="shared" si="9"/>
        <v>67.012631578947364</v>
      </c>
      <c r="AP16" s="17">
        <f t="shared" si="10"/>
        <v>5.0259473684210523</v>
      </c>
      <c r="AQ16" s="17">
        <f t="shared" si="16"/>
        <v>2.8468421052631583</v>
      </c>
      <c r="AR16" s="18">
        <f t="shared" si="12"/>
        <v>2.179105263157894</v>
      </c>
    </row>
    <row r="17" spans="1:44" x14ac:dyDescent="0.3">
      <c r="A17" s="13" t="s">
        <v>14</v>
      </c>
      <c r="B17" s="13" t="s">
        <v>12</v>
      </c>
      <c r="X17" s="16">
        <f t="shared" si="13"/>
        <v>44621</v>
      </c>
      <c r="Y17" s="19">
        <f t="shared" si="0"/>
        <v>112.46304347826087</v>
      </c>
      <c r="Z17" s="17">
        <f t="shared" si="17"/>
        <v>3.6522217391304346</v>
      </c>
      <c r="AA17" s="17"/>
      <c r="AB17" s="17">
        <f t="shared" si="18"/>
        <v>4.9700608695652173</v>
      </c>
      <c r="AC17" s="18">
        <f t="shared" si="19"/>
        <v>4.7951911028468768</v>
      </c>
      <c r="AE17" s="22">
        <f t="shared" si="1"/>
        <v>480.08260869565225</v>
      </c>
      <c r="AF17" s="23">
        <f t="shared" si="20"/>
        <v>2386.0397876370512</v>
      </c>
      <c r="AI17" s="16">
        <f t="shared" si="14"/>
        <v>43160</v>
      </c>
      <c r="AJ17" s="19">
        <f t="shared" si="6"/>
        <v>3.2788136363636369</v>
      </c>
      <c r="AK17" s="22">
        <f t="shared" si="7"/>
        <v>375.15238095238095</v>
      </c>
      <c r="AL17" s="21">
        <f t="shared" si="8"/>
        <v>1230.0547423809526</v>
      </c>
      <c r="AN17" s="16">
        <f t="shared" si="15"/>
        <v>44621</v>
      </c>
      <c r="AO17" s="19">
        <f t="shared" si="9"/>
        <v>75.859999999999985</v>
      </c>
      <c r="AP17" s="17">
        <f t="shared" si="10"/>
        <v>5.6894999999999989</v>
      </c>
      <c r="AQ17" s="17">
        <f t="shared" si="16"/>
        <v>3.6522217391304346</v>
      </c>
      <c r="AR17" s="18">
        <f t="shared" si="12"/>
        <v>2.0372782608695643</v>
      </c>
    </row>
    <row r="18" spans="1:44" x14ac:dyDescent="0.3">
      <c r="A18" s="13" t="s">
        <v>10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 t="s">
        <v>11</v>
      </c>
      <c r="X18" s="16">
        <f t="shared" si="13"/>
        <v>44652</v>
      </c>
      <c r="Y18" s="19">
        <f t="shared" si="0"/>
        <v>105.917</v>
      </c>
      <c r="Z18" s="17">
        <f t="shared" si="17"/>
        <v>3.8694800000000003</v>
      </c>
      <c r="AA18" s="17"/>
      <c r="AB18" s="17">
        <f t="shared" si="18"/>
        <v>4.7445238095238089</v>
      </c>
      <c r="AC18" s="18">
        <f t="shared" si="19"/>
        <v>4.8498947248715956</v>
      </c>
      <c r="AE18" s="22">
        <f t="shared" si="1"/>
        <v>457.96000000000004</v>
      </c>
      <c r="AF18" s="23">
        <f t="shared" si="20"/>
        <v>2172.8021238095239</v>
      </c>
      <c r="AI18" s="16">
        <f t="shared" si="14"/>
        <v>43191</v>
      </c>
      <c r="AJ18" s="19">
        <f t="shared" si="6"/>
        <v>3.4085095238095238</v>
      </c>
      <c r="AK18" s="22">
        <f t="shared" si="7"/>
        <v>380.78095238095239</v>
      </c>
      <c r="AL18" s="21">
        <f t="shared" si="8"/>
        <v>1297.8955026757369</v>
      </c>
      <c r="AN18" s="16">
        <f t="shared" si="15"/>
        <v>44652</v>
      </c>
      <c r="AO18" s="19">
        <f t="shared" si="9"/>
        <v>79.202000000000012</v>
      </c>
      <c r="AP18" s="17">
        <f t="shared" si="10"/>
        <v>5.9401500000000009</v>
      </c>
      <c r="AQ18" s="17">
        <f t="shared" si="16"/>
        <v>3.8694800000000003</v>
      </c>
      <c r="AR18" s="18">
        <f t="shared" si="12"/>
        <v>2.0706700000000007</v>
      </c>
    </row>
    <row r="19" spans="1:44" x14ac:dyDescent="0.3">
      <c r="A19" s="14">
        <v>2015</v>
      </c>
      <c r="B19" s="15">
        <v>2.6343272727272722</v>
      </c>
      <c r="C19" s="15">
        <v>2.81881</v>
      </c>
      <c r="D19" s="15">
        <v>3.1439727272727267</v>
      </c>
      <c r="E19" s="15">
        <v>3.0424681818181822</v>
      </c>
      <c r="F19" s="15">
        <v>3.056838095238096</v>
      </c>
      <c r="G19" s="15">
        <v>3.1093090909090906</v>
      </c>
      <c r="H19" s="15">
        <v>3.2235565217391304</v>
      </c>
      <c r="I19" s="15">
        <v>3.5118238095238095</v>
      </c>
      <c r="J19" s="15">
        <v>3.8992045454545448</v>
      </c>
      <c r="K19" s="15">
        <v>3.8749818181818174</v>
      </c>
      <c r="L19" s="15">
        <v>3.7778285714285706</v>
      </c>
      <c r="M19" s="15">
        <v>3.8764304347826082</v>
      </c>
      <c r="N19" s="15">
        <v>3.3350421455938686</v>
      </c>
      <c r="X19" s="16">
        <f t="shared" si="13"/>
        <v>44682</v>
      </c>
      <c r="Y19" s="19">
        <f t="shared" si="0"/>
        <v>111.95954545454543</v>
      </c>
      <c r="Z19" s="17">
        <f t="shared" si="17"/>
        <v>3.9247904761904766</v>
      </c>
      <c r="AA19" s="17"/>
      <c r="AB19" s="17">
        <f t="shared" si="18"/>
        <v>4.9504636363636356</v>
      </c>
      <c r="AC19" s="18">
        <f t="shared" si="19"/>
        <v>5.1327419045036793</v>
      </c>
      <c r="AE19" s="22">
        <f t="shared" si="1"/>
        <v>420.33333333333331</v>
      </c>
      <c r="AF19" s="23">
        <f t="shared" si="20"/>
        <v>2080.8448818181814</v>
      </c>
      <c r="AI19" s="16">
        <f t="shared" si="14"/>
        <v>43221</v>
      </c>
      <c r="AJ19" s="19">
        <f t="shared" si="6"/>
        <v>3.6308217391304352</v>
      </c>
      <c r="AK19" s="22">
        <f t="shared" si="7"/>
        <v>384.50454545454539</v>
      </c>
      <c r="AL19" s="21">
        <f t="shared" si="8"/>
        <v>1396.0674624308299</v>
      </c>
      <c r="AN19" s="16">
        <f t="shared" si="15"/>
        <v>44682</v>
      </c>
      <c r="AO19" s="19">
        <f t="shared" si="9"/>
        <v>83.592380952380964</v>
      </c>
      <c r="AP19" s="17">
        <f t="shared" si="10"/>
        <v>6.2694285714285716</v>
      </c>
      <c r="AQ19" s="17">
        <f t="shared" si="16"/>
        <v>3.9247904761904766</v>
      </c>
      <c r="AR19" s="18">
        <f t="shared" si="12"/>
        <v>2.344638095238095</v>
      </c>
    </row>
    <row r="20" spans="1:44" x14ac:dyDescent="0.3">
      <c r="A20" s="14">
        <v>2016</v>
      </c>
      <c r="B20" s="15">
        <v>4.0478380952380952</v>
      </c>
      <c r="C20" s="15">
        <v>3.9647571428571422</v>
      </c>
      <c r="D20" s="15">
        <v>3.6914913043478257</v>
      </c>
      <c r="E20" s="15">
        <v>3.5512523809523806</v>
      </c>
      <c r="F20" s="15">
        <v>3.5378454545454545</v>
      </c>
      <c r="G20" s="15">
        <v>3.4163863636363643</v>
      </c>
      <c r="H20" s="15">
        <v>3.2783476190476195</v>
      </c>
      <c r="I20" s="15">
        <v>3.2079782608695648</v>
      </c>
      <c r="J20" s="15">
        <v>3.2515727272727264</v>
      </c>
      <c r="K20" s="15">
        <v>3.1856761904761908</v>
      </c>
      <c r="L20" s="15">
        <v>3.3393636363636361</v>
      </c>
      <c r="M20" s="15">
        <v>3.3475954545454543</v>
      </c>
      <c r="N20" s="15">
        <v>3.4824287356321868</v>
      </c>
      <c r="X20" s="16">
        <f t="shared" si="13"/>
        <v>44713</v>
      </c>
      <c r="Y20" s="19">
        <f t="shared" si="0"/>
        <v>117.5031818181818</v>
      </c>
      <c r="Z20" s="17">
        <f t="shared" si="17"/>
        <v>4.3029142857142846</v>
      </c>
      <c r="AA20" s="17"/>
      <c r="AB20" s="17">
        <f t="shared" si="18"/>
        <v>5.0574363636363637</v>
      </c>
      <c r="AC20" s="18">
        <f t="shared" si="19"/>
        <v>5.7488396707838287</v>
      </c>
      <c r="AE20" s="22">
        <f t="shared" si="1"/>
        <v>428.45238095238102</v>
      </c>
      <c r="AF20" s="23">
        <f t="shared" si="20"/>
        <v>2166.8706515151521</v>
      </c>
      <c r="AI20" s="16">
        <f t="shared" si="14"/>
        <v>43252</v>
      </c>
      <c r="AJ20" s="19">
        <f t="shared" si="6"/>
        <v>3.7833999999999994</v>
      </c>
      <c r="AK20" s="22">
        <f t="shared" si="7"/>
        <v>345.94761904761901</v>
      </c>
      <c r="AL20" s="21">
        <f t="shared" si="8"/>
        <v>1308.8582219047616</v>
      </c>
      <c r="AN20" s="16">
        <f t="shared" si="15"/>
        <v>44713</v>
      </c>
      <c r="AO20" s="19">
        <f t="shared" si="9"/>
        <v>76.33</v>
      </c>
      <c r="AP20" s="17">
        <f t="shared" si="10"/>
        <v>5.7247500000000002</v>
      </c>
      <c r="AQ20" s="17">
        <f t="shared" si="16"/>
        <v>4.3029142857142846</v>
      </c>
      <c r="AR20" s="18">
        <f t="shared" si="12"/>
        <v>1.4218357142857156</v>
      </c>
    </row>
    <row r="21" spans="1:44" x14ac:dyDescent="0.3">
      <c r="A21" s="14">
        <v>2017</v>
      </c>
      <c r="B21" s="15">
        <v>3.1967772727272732</v>
      </c>
      <c r="C21" s="15">
        <v>3.1020099999999995</v>
      </c>
      <c r="D21" s="15">
        <v>3.1256956521739125</v>
      </c>
      <c r="E21" s="15">
        <v>3.1374299999999997</v>
      </c>
      <c r="F21" s="15">
        <v>3.2051260869565219</v>
      </c>
      <c r="G21" s="15">
        <v>3.2952363636363642</v>
      </c>
      <c r="H21" s="15">
        <v>3.199842857142857</v>
      </c>
      <c r="I21" s="15">
        <v>3.1520739130434787</v>
      </c>
      <c r="J21" s="15">
        <v>3.1331523809523807</v>
      </c>
      <c r="K21" s="15">
        <v>3.1933272727272732</v>
      </c>
      <c r="L21" s="15">
        <v>3.2610863636363643</v>
      </c>
      <c r="M21" s="15">
        <v>3.2967095238095232</v>
      </c>
      <c r="N21" s="15">
        <v>3.1920792307692309</v>
      </c>
      <c r="X21" s="16">
        <f t="shared" si="13"/>
        <v>44743</v>
      </c>
      <c r="Y21" s="19">
        <f t="shared" si="0"/>
        <v>105.12380952380954</v>
      </c>
      <c r="Z21" s="17">
        <f t="shared" si="17"/>
        <v>3.6402100000000006</v>
      </c>
      <c r="AA21" s="17"/>
      <c r="AB21" s="17">
        <f t="shared" si="18"/>
        <v>5.3680761904761916</v>
      </c>
      <c r="AC21" s="18">
        <f t="shared" si="19"/>
        <v>5.1621685971488791</v>
      </c>
      <c r="AE21" s="22">
        <f t="shared" si="1"/>
        <v>463.53000000000003</v>
      </c>
      <c r="AF21" s="23">
        <f t="shared" si="20"/>
        <v>2488.2643565714293</v>
      </c>
      <c r="AI21" s="16">
        <f t="shared" si="14"/>
        <v>43282</v>
      </c>
      <c r="AJ21" s="19">
        <f t="shared" si="6"/>
        <v>3.8233499999999996</v>
      </c>
      <c r="AK21" s="22">
        <f t="shared" si="7"/>
        <v>331.24285714285713</v>
      </c>
      <c r="AL21" s="21">
        <f t="shared" si="8"/>
        <v>1266.4573778571428</v>
      </c>
      <c r="AN21" s="16">
        <f t="shared" si="15"/>
        <v>44743</v>
      </c>
      <c r="AO21" s="19">
        <f t="shared" si="9"/>
        <v>62.02300000000001</v>
      </c>
      <c r="AP21" s="17">
        <f t="shared" si="10"/>
        <v>4.6517250000000008</v>
      </c>
      <c r="AQ21" s="17">
        <f t="shared" si="16"/>
        <v>3.6402100000000006</v>
      </c>
      <c r="AR21" s="18">
        <f t="shared" si="12"/>
        <v>1.0115150000000002</v>
      </c>
    </row>
    <row r="22" spans="1:44" x14ac:dyDescent="0.3">
      <c r="A22" s="14">
        <v>2018</v>
      </c>
      <c r="B22" s="15">
        <v>3.2122217391304342</v>
      </c>
      <c r="C22" s="15">
        <v>3.2482449999999998</v>
      </c>
      <c r="D22" s="15">
        <v>3.2788136363636369</v>
      </c>
      <c r="E22" s="15">
        <v>3.4085095238095238</v>
      </c>
      <c r="F22" s="15">
        <v>3.6308217391304352</v>
      </c>
      <c r="G22" s="15">
        <v>3.7833999999999994</v>
      </c>
      <c r="H22" s="15">
        <v>3.8233499999999996</v>
      </c>
      <c r="I22" s="15">
        <v>3.9299347826086968</v>
      </c>
      <c r="J22" s="15">
        <v>4.1081999999999992</v>
      </c>
      <c r="K22" s="15">
        <v>3.7636347826086962</v>
      </c>
      <c r="L22" s="15">
        <v>3.7870954545454549</v>
      </c>
      <c r="M22" s="15">
        <v>3.8880857142857148</v>
      </c>
      <c r="N22" s="15">
        <v>3.6540789272030652</v>
      </c>
      <c r="X22" s="16">
        <f t="shared" si="13"/>
        <v>44774</v>
      </c>
      <c r="Y22" s="19">
        <f t="shared" si="0"/>
        <v>97.740869565217409</v>
      </c>
      <c r="Z22" s="17">
        <f t="shared" si="17"/>
        <v>3.5926869565217392</v>
      </c>
      <c r="AA22" s="17"/>
      <c r="AB22" s="17">
        <f t="shared" si="18"/>
        <v>5.1436434782608691</v>
      </c>
      <c r="AC22" s="18">
        <f t="shared" si="19"/>
        <v>4.8817699623940163</v>
      </c>
      <c r="AE22" s="22">
        <f t="shared" si="1"/>
        <v>478.18695652173926</v>
      </c>
      <c r="AF22" s="23">
        <f t="shared" si="20"/>
        <v>2459.6232203024579</v>
      </c>
      <c r="AI22" s="16">
        <f t="shared" si="14"/>
        <v>43313</v>
      </c>
      <c r="AJ22" s="19">
        <f t="shared" si="6"/>
        <v>3.9299347826086968</v>
      </c>
      <c r="AK22" s="22">
        <f t="shared" si="7"/>
        <v>323.0826086956522</v>
      </c>
      <c r="AL22" s="21">
        <f t="shared" si="8"/>
        <v>1269.6935815689985</v>
      </c>
      <c r="AN22" s="16">
        <f t="shared" si="15"/>
        <v>44774</v>
      </c>
      <c r="AO22" s="19">
        <f t="shared" si="9"/>
        <v>68.888260869565215</v>
      </c>
      <c r="AP22" s="17">
        <f t="shared" si="10"/>
        <v>5.166619565217391</v>
      </c>
      <c r="AQ22" s="17">
        <f t="shared" si="16"/>
        <v>3.5926869565217392</v>
      </c>
      <c r="AR22" s="18">
        <f t="shared" si="12"/>
        <v>1.5739326086956518</v>
      </c>
    </row>
    <row r="23" spans="1:44" x14ac:dyDescent="0.3">
      <c r="A23" s="14">
        <v>2019</v>
      </c>
      <c r="B23" s="15">
        <v>3.7403086956521734</v>
      </c>
      <c r="C23" s="15">
        <v>3.7234899999999995</v>
      </c>
      <c r="D23" s="15">
        <v>3.8392380952380956</v>
      </c>
      <c r="E23" s="15">
        <v>3.896609090909092</v>
      </c>
      <c r="F23" s="15">
        <v>3.9949695652173904</v>
      </c>
      <c r="G23" s="15">
        <v>3.8581700000000003</v>
      </c>
      <c r="H23" s="15">
        <v>3.7808782608695646</v>
      </c>
      <c r="I23" s="15">
        <v>4.027345454545455</v>
      </c>
      <c r="J23" s="15">
        <v>4.1212333333333335</v>
      </c>
      <c r="K23" s="15">
        <v>4.0854347826086954</v>
      </c>
      <c r="L23" s="15">
        <v>4.1605523809523808</v>
      </c>
      <c r="M23" s="15">
        <v>4.1060545454545458</v>
      </c>
      <c r="N23" s="15">
        <v>3.9451015325670493</v>
      </c>
      <c r="X23" s="16">
        <f t="shared" si="13"/>
        <v>44805</v>
      </c>
      <c r="Y23" s="19">
        <f t="shared" si="0"/>
        <v>90.570909090909083</v>
      </c>
      <c r="Z23" s="17">
        <f t="shared" si="17"/>
        <v>3.4098190476190475</v>
      </c>
      <c r="AA23" s="17"/>
      <c r="AB23" s="17">
        <f t="shared" si="18"/>
        <v>5.2356636363636362</v>
      </c>
      <c r="AC23" s="18">
        <f t="shared" si="19"/>
        <v>4.7161775327373086</v>
      </c>
      <c r="AE23" s="22">
        <f t="shared" si="1"/>
        <v>438.90952380952382</v>
      </c>
      <c r="AF23" s="23">
        <f t="shared" si="20"/>
        <v>2297.9826334632035</v>
      </c>
      <c r="AI23" s="16">
        <f t="shared" si="14"/>
        <v>43344</v>
      </c>
      <c r="AJ23" s="19">
        <f t="shared" si="6"/>
        <v>4.1081999999999992</v>
      </c>
      <c r="AK23" s="22">
        <f t="shared" si="7"/>
        <v>308.59999999999997</v>
      </c>
      <c r="AL23" s="21">
        <f t="shared" si="8"/>
        <v>1267.7905199999996</v>
      </c>
      <c r="AN23" s="16">
        <f t="shared" si="15"/>
        <v>44805</v>
      </c>
      <c r="AO23" s="19">
        <f t="shared" si="9"/>
        <v>68.315714285714279</v>
      </c>
      <c r="AP23" s="17">
        <f t="shared" si="10"/>
        <v>5.1236785714285711</v>
      </c>
      <c r="AQ23" s="17">
        <f t="shared" si="16"/>
        <v>3.4098190476190475</v>
      </c>
      <c r="AR23" s="18">
        <f t="shared" si="12"/>
        <v>1.7138595238095236</v>
      </c>
    </row>
    <row r="24" spans="1:44" x14ac:dyDescent="0.3">
      <c r="A24" s="14">
        <v>2020</v>
      </c>
      <c r="B24" s="15">
        <v>4.1473260869565216</v>
      </c>
      <c r="C24" s="15">
        <v>4.350695</v>
      </c>
      <c r="D24" s="15">
        <v>4.8957272727272718</v>
      </c>
      <c r="E24" s="15">
        <v>5.3160772727272727</v>
      </c>
      <c r="F24" s="15">
        <v>5.6283904761904768</v>
      </c>
      <c r="G24" s="15">
        <v>5.191118181818184</v>
      </c>
      <c r="H24" s="15">
        <v>5.2824956521739139</v>
      </c>
      <c r="I24" s="15">
        <v>5.4588476190476189</v>
      </c>
      <c r="J24" s="15">
        <v>5.400336363636363</v>
      </c>
      <c r="K24" s="15">
        <v>5.6276000000000002</v>
      </c>
      <c r="L24" s="15">
        <v>5.4333</v>
      </c>
      <c r="M24" s="15">
        <v>5.1493043478260869</v>
      </c>
      <c r="N24" s="15">
        <v>5.1555114503816837</v>
      </c>
      <c r="X24" s="16">
        <f t="shared" si="13"/>
        <v>44835</v>
      </c>
      <c r="Y24" s="19">
        <f t="shared" si="0"/>
        <v>93.593809523809512</v>
      </c>
      <c r="Z24" s="17">
        <f t="shared" si="17"/>
        <v>3.9515619047619039</v>
      </c>
      <c r="AA24" s="17"/>
      <c r="AB24" s="17">
        <f t="shared" si="18"/>
        <v>5.253171428571429</v>
      </c>
      <c r="AC24" s="18">
        <f t="shared" si="19"/>
        <v>5.4837473606099536</v>
      </c>
      <c r="AE24" s="22">
        <f t="shared" si="1"/>
        <v>411.47142857142853</v>
      </c>
      <c r="AF24" s="23">
        <f t="shared" si="20"/>
        <v>2161.5299522448981</v>
      </c>
      <c r="AI24" s="16">
        <f t="shared" si="14"/>
        <v>43374</v>
      </c>
      <c r="AJ24" s="19">
        <f t="shared" si="6"/>
        <v>3.7636347826086962</v>
      </c>
      <c r="AK24" s="22">
        <f t="shared" si="7"/>
        <v>312.23478260869564</v>
      </c>
      <c r="AL24" s="21">
        <f t="shared" si="8"/>
        <v>1175.1376881663518</v>
      </c>
      <c r="AN24" s="16">
        <f t="shared" si="15"/>
        <v>44835</v>
      </c>
      <c r="AO24" s="19">
        <f t="shared" si="9"/>
        <v>70.217142857142861</v>
      </c>
      <c r="AP24" s="17">
        <f t="shared" si="10"/>
        <v>5.2662857142857149</v>
      </c>
      <c r="AQ24" s="17">
        <f t="shared" si="16"/>
        <v>3.9515619047619039</v>
      </c>
      <c r="AR24" s="18">
        <f t="shared" si="12"/>
        <v>1.314723809523811</v>
      </c>
    </row>
    <row r="25" spans="1:44" x14ac:dyDescent="0.3">
      <c r="A25" s="14">
        <v>2021</v>
      </c>
      <c r="B25" s="15">
        <v>5.3532904761904758</v>
      </c>
      <c r="C25" s="15">
        <v>5.4109099999999994</v>
      </c>
      <c r="D25" s="15">
        <v>5.6455260869565214</v>
      </c>
      <c r="E25" s="15">
        <v>5.5659000000000001</v>
      </c>
      <c r="F25" s="15">
        <v>5.2959761904761899</v>
      </c>
      <c r="G25" s="15">
        <v>5.025095454545454</v>
      </c>
      <c r="H25" s="15">
        <v>5.1629909090909099</v>
      </c>
      <c r="I25" s="15">
        <v>5.2503181818181819</v>
      </c>
      <c r="J25" s="15">
        <v>5.2762772727272722</v>
      </c>
      <c r="K25" s="15">
        <v>5.5385380952380956</v>
      </c>
      <c r="L25" s="15">
        <v>5.5571409090909087</v>
      </c>
      <c r="M25" s="15">
        <v>5.6534956521739135</v>
      </c>
      <c r="N25" s="15">
        <v>5.3964348659003818</v>
      </c>
      <c r="X25" s="16">
        <f t="shared" si="13"/>
        <v>44866</v>
      </c>
      <c r="Y25" s="19">
        <f t="shared" si="0"/>
        <v>90.851818181818203</v>
      </c>
      <c r="Z25" s="17">
        <f t="shared" si="17"/>
        <v>3.5568761904761907</v>
      </c>
      <c r="AA25" s="17"/>
      <c r="AB25" s="17">
        <f t="shared" si="18"/>
        <v>5.2761636363636359</v>
      </c>
      <c r="AC25" s="18">
        <f t="shared" si="19"/>
        <v>4.957629639916969</v>
      </c>
      <c r="AE25" s="22">
        <f t="shared" si="1"/>
        <v>412.77619047619044</v>
      </c>
      <c r="AF25" s="23">
        <f t="shared" si="20"/>
        <v>2177.8747261471858</v>
      </c>
      <c r="AI25" s="16">
        <f t="shared" si="14"/>
        <v>43405</v>
      </c>
      <c r="AJ25" s="19">
        <f t="shared" si="6"/>
        <v>3.7870954545454549</v>
      </c>
      <c r="AK25" s="22">
        <f t="shared" si="7"/>
        <v>307.31428571428575</v>
      </c>
      <c r="AL25" s="21">
        <f t="shared" si="8"/>
        <v>1163.8285345454549</v>
      </c>
      <c r="AN25" s="16">
        <f t="shared" si="15"/>
        <v>44866</v>
      </c>
      <c r="AO25" s="19">
        <f t="shared" si="9"/>
        <v>75.129523809523803</v>
      </c>
      <c r="AP25" s="17">
        <f t="shared" si="10"/>
        <v>5.6347142857142849</v>
      </c>
      <c r="AQ25" s="17">
        <f t="shared" si="16"/>
        <v>3.5568761904761907</v>
      </c>
      <c r="AR25" s="18">
        <f t="shared" si="12"/>
        <v>2.0778380952380942</v>
      </c>
    </row>
    <row r="26" spans="1:44" x14ac:dyDescent="0.3">
      <c r="A26" s="14">
        <v>2022</v>
      </c>
      <c r="B26" s="15">
        <v>5.5264571428571418</v>
      </c>
      <c r="C26" s="15">
        <v>5.1918749999999987</v>
      </c>
      <c r="D26" s="15">
        <v>4.9700608695652173</v>
      </c>
      <c r="E26" s="15">
        <v>4.7445238095238089</v>
      </c>
      <c r="F26" s="15">
        <v>4.9504636363636356</v>
      </c>
      <c r="G26" s="15">
        <v>5.0574363636363637</v>
      </c>
      <c r="H26" s="15">
        <v>5.3680761904761916</v>
      </c>
      <c r="I26" s="15">
        <v>5.1436434782608691</v>
      </c>
      <c r="J26" s="15">
        <v>5.2356636363636362</v>
      </c>
      <c r="K26" s="15">
        <v>5.253171428571429</v>
      </c>
      <c r="L26" s="15">
        <v>5.2761636363636359</v>
      </c>
      <c r="M26" s="15">
        <v>5.2494636363636369</v>
      </c>
      <c r="N26" s="15">
        <v>5.1619680769230776</v>
      </c>
      <c r="X26" s="16">
        <f t="shared" si="13"/>
        <v>44896</v>
      </c>
      <c r="Y26" s="19">
        <f t="shared" si="0"/>
        <v>81.34142857142858</v>
      </c>
      <c r="Z26" s="17">
        <f t="shared" si="17"/>
        <v>3.1236714285714293</v>
      </c>
      <c r="AA26" s="17"/>
      <c r="AB26" s="17">
        <f t="shared" si="18"/>
        <v>5.2494636363636369</v>
      </c>
      <c r="AC26" s="18">
        <f t="shared" si="19"/>
        <v>4.3317895752993127</v>
      </c>
      <c r="AE26" s="22">
        <f t="shared" si="1"/>
        <v>453.70952380952377</v>
      </c>
      <c r="AF26" s="23">
        <f t="shared" si="20"/>
        <v>2381.7316467099567</v>
      </c>
      <c r="AI26" s="16">
        <f t="shared" si="14"/>
        <v>43435</v>
      </c>
      <c r="AJ26" s="19">
        <f t="shared" si="6"/>
        <v>3.8880857142857148</v>
      </c>
      <c r="AK26" s="22">
        <f t="shared" si="7"/>
        <v>308.63499999999999</v>
      </c>
      <c r="AL26" s="21">
        <f t="shared" si="8"/>
        <v>1199.9993344285715</v>
      </c>
      <c r="AN26" s="16">
        <f t="shared" si="15"/>
        <v>44896</v>
      </c>
      <c r="AO26" s="19">
        <f t="shared" si="9"/>
        <v>65.236190476190487</v>
      </c>
      <c r="AP26" s="17">
        <f t="shared" si="10"/>
        <v>4.8927142857142867</v>
      </c>
      <c r="AQ26" s="17">
        <f t="shared" si="16"/>
        <v>3.1236714285714293</v>
      </c>
      <c r="AR26" s="18">
        <f t="shared" si="12"/>
        <v>1.7690428571428574</v>
      </c>
    </row>
    <row r="27" spans="1:44" x14ac:dyDescent="0.3">
      <c r="A27" s="14">
        <v>2023</v>
      </c>
      <c r="B27" s="15">
        <v>5.1940136363636347</v>
      </c>
      <c r="C27" s="15">
        <v>5.1774349999999991</v>
      </c>
      <c r="D27" s="15">
        <v>5.2025086956521749</v>
      </c>
      <c r="E27" s="15">
        <v>5.0147399999999998</v>
      </c>
      <c r="F27" s="15">
        <v>4.979000000000001</v>
      </c>
      <c r="G27" s="15">
        <v>4.8482818181818175</v>
      </c>
      <c r="H27" s="15">
        <v>4.8020476190476193</v>
      </c>
      <c r="I27" s="15">
        <v>4.9072347826086959</v>
      </c>
      <c r="J27" s="15">
        <v>4.9456571428571428</v>
      </c>
      <c r="K27" s="15">
        <v>5.0623318181818187</v>
      </c>
      <c r="L27" s="15">
        <v>4.8987909090909101</v>
      </c>
      <c r="M27" s="15">
        <v>4.8952428571428568</v>
      </c>
      <c r="N27" s="15">
        <v>4.9940834615384615</v>
      </c>
      <c r="X27" s="16">
        <f t="shared" si="13"/>
        <v>44927</v>
      </c>
      <c r="Y27" s="19">
        <f t="shared" si="0"/>
        <v>83.906666666666652</v>
      </c>
      <c r="Z27" s="17">
        <f t="shared" si="17"/>
        <v>3.2275449999999992</v>
      </c>
      <c r="AA27" s="17"/>
      <c r="AB27" s="17">
        <f t="shared" si="18"/>
        <v>5.1940136363636347</v>
      </c>
      <c r="AC27" s="18">
        <f t="shared" si="19"/>
        <v>4.4285593217055128</v>
      </c>
      <c r="AE27" s="22">
        <f t="shared" si="1"/>
        <v>484.23</v>
      </c>
      <c r="AF27" s="23">
        <f t="shared" si="20"/>
        <v>2515.097223136363</v>
      </c>
      <c r="AI27" s="16">
        <f t="shared" si="14"/>
        <v>43466</v>
      </c>
      <c r="AJ27" s="19">
        <f t="shared" si="6"/>
        <v>3.7403086956521734</v>
      </c>
      <c r="AK27" s="22">
        <f t="shared" si="7"/>
        <v>312.73333333333335</v>
      </c>
      <c r="AL27" s="21">
        <f t="shared" si="8"/>
        <v>1169.7192060869563</v>
      </c>
      <c r="AN27" s="16">
        <f t="shared" si="15"/>
        <v>44927</v>
      </c>
      <c r="AO27" s="19">
        <f t="shared" si="9"/>
        <v>62.528499999999994</v>
      </c>
      <c r="AP27" s="17">
        <f t="shared" si="10"/>
        <v>4.6896374999999999</v>
      </c>
      <c r="AQ27" s="17">
        <f t="shared" si="16"/>
        <v>3.2275449999999992</v>
      </c>
      <c r="AR27" s="18">
        <f t="shared" si="12"/>
        <v>1.4620925000000007</v>
      </c>
    </row>
    <row r="28" spans="1:44" x14ac:dyDescent="0.3">
      <c r="A28" s="14">
        <v>2024</v>
      </c>
      <c r="B28" s="15">
        <v>4.9131521739130442</v>
      </c>
      <c r="C28" s="15">
        <v>4.9614714285714285</v>
      </c>
      <c r="D28" s="15">
        <v>4.9806904761904764</v>
      </c>
      <c r="E28" s="15">
        <v>5.1262499999999998</v>
      </c>
      <c r="F28" s="15">
        <v>5.1405217391304356</v>
      </c>
      <c r="G28" s="15">
        <v>5.3965050000000012</v>
      </c>
      <c r="H28" s="15">
        <v>5.5437391304347834</v>
      </c>
      <c r="I28" s="15">
        <v>5.5538090909090911</v>
      </c>
      <c r="J28" s="15">
        <v>5.5404428571428568</v>
      </c>
      <c r="K28" s="15">
        <v>5.6234608695652168</v>
      </c>
      <c r="L28" s="15">
        <v>5.8024619047619046</v>
      </c>
      <c r="M28" s="15">
        <v>6.111140909090909</v>
      </c>
      <c r="N28" s="15">
        <v>5.3908511450381633</v>
      </c>
      <c r="X28" s="16">
        <f t="shared" si="13"/>
        <v>44958</v>
      </c>
      <c r="Y28" s="19">
        <f t="shared" si="0"/>
        <v>83.537499999999994</v>
      </c>
      <c r="Z28" s="17">
        <f t="shared" si="17"/>
        <v>2.828121052631579</v>
      </c>
      <c r="AA28" s="17"/>
      <c r="AB28" s="17">
        <f t="shared" si="18"/>
        <v>5.1774349999999991</v>
      </c>
      <c r="AC28" s="18">
        <f t="shared" si="19"/>
        <v>3.8681180960930455</v>
      </c>
      <c r="AE28" s="22">
        <f t="shared" si="1"/>
        <v>492.92631578947362</v>
      </c>
      <c r="AF28" s="23">
        <f t="shared" si="20"/>
        <v>2552.093959789473</v>
      </c>
      <c r="AI28" s="16">
        <f t="shared" si="14"/>
        <v>43497</v>
      </c>
      <c r="AJ28" s="19">
        <f t="shared" si="6"/>
        <v>3.7234899999999995</v>
      </c>
      <c r="AK28" s="22">
        <f t="shared" si="7"/>
        <v>306.66842105263163</v>
      </c>
      <c r="AL28" s="21">
        <f t="shared" si="8"/>
        <v>1141.8767991052632</v>
      </c>
      <c r="AN28" s="16">
        <f t="shared" si="15"/>
        <v>44958</v>
      </c>
      <c r="AO28" s="19">
        <f t="shared" si="9"/>
        <v>60.783157894736839</v>
      </c>
      <c r="AP28" s="17">
        <f t="shared" si="10"/>
        <v>4.5587368421052625</v>
      </c>
      <c r="AQ28" s="17">
        <f t="shared" si="16"/>
        <v>2.828121052631579</v>
      </c>
      <c r="AR28" s="18">
        <f t="shared" si="12"/>
        <v>1.7306157894736836</v>
      </c>
    </row>
    <row r="29" spans="1:44" x14ac:dyDescent="0.3">
      <c r="A29" s="14">
        <v>2025</v>
      </c>
      <c r="B29" s="15">
        <v>6.0178565217391302</v>
      </c>
      <c r="C29" s="15">
        <v>5.7658850000000008</v>
      </c>
      <c r="D29" s="15">
        <v>5.7563428571428572</v>
      </c>
      <c r="E29" s="15">
        <v>5.7766363636363645</v>
      </c>
      <c r="F29" s="15">
        <v>5.6712818181818179</v>
      </c>
      <c r="G29" s="15">
        <v>5.5382095238095248</v>
      </c>
      <c r="H29" s="15">
        <v>5.5310000000000006</v>
      </c>
      <c r="I29" s="15">
        <v>5.4441619047619056</v>
      </c>
      <c r="J29" s="15">
        <v>5.3672136363636369</v>
      </c>
      <c r="K29" s="15">
        <v>5.3882608695652179</v>
      </c>
      <c r="L29" s="15">
        <v>5.3377549999999996</v>
      </c>
      <c r="M29" s="15">
        <v>5.4620304347826076</v>
      </c>
      <c r="N29" s="15">
        <v>5.5888854406130255</v>
      </c>
      <c r="X29" s="16">
        <f t="shared" si="13"/>
        <v>44986</v>
      </c>
      <c r="Y29" s="19">
        <f t="shared" si="0"/>
        <v>79.20695652173913</v>
      </c>
      <c r="Z29" s="17">
        <f t="shared" si="17"/>
        <v>2.735630434782609</v>
      </c>
      <c r="AA29" s="17"/>
      <c r="AB29" s="17">
        <f t="shared" si="18"/>
        <v>5.2025086956521749</v>
      </c>
      <c r="AC29" s="18">
        <f t="shared" si="19"/>
        <v>3.7597357023538436</v>
      </c>
      <c r="AE29" s="22">
        <f t="shared" si="1"/>
        <v>475.32173913043471</v>
      </c>
      <c r="AF29" s="23">
        <f t="shared" si="20"/>
        <v>2472.8654810586013</v>
      </c>
      <c r="AI29" s="16">
        <f t="shared" si="14"/>
        <v>43525</v>
      </c>
      <c r="AJ29" s="19">
        <f t="shared" si="6"/>
        <v>3.8392380952380956</v>
      </c>
      <c r="AK29" s="22">
        <f t="shared" si="7"/>
        <v>306.28095238095244</v>
      </c>
      <c r="AL29" s="21">
        <f t="shared" si="8"/>
        <v>1175.8855002267578</v>
      </c>
      <c r="AN29" s="16">
        <f t="shared" si="15"/>
        <v>44986</v>
      </c>
      <c r="AO29" s="19">
        <f t="shared" si="9"/>
        <v>56.678260869565236</v>
      </c>
      <c r="AP29" s="17">
        <f t="shared" si="10"/>
        <v>4.2508695652173927</v>
      </c>
      <c r="AQ29" s="17">
        <f t="shared" si="16"/>
        <v>2.735630434782609</v>
      </c>
      <c r="AR29" s="18">
        <f t="shared" si="12"/>
        <v>1.5152391304347836</v>
      </c>
    </row>
    <row r="30" spans="1:44" x14ac:dyDescent="0.3">
      <c r="A30" s="14">
        <v>2026</v>
      </c>
      <c r="B30" s="15">
        <v>5.3385136363636372</v>
      </c>
      <c r="C30" s="15">
        <v>5.20059</v>
      </c>
      <c r="D30" s="15">
        <v>5.2299363636363649</v>
      </c>
      <c r="E30" s="15">
        <v>5.0298227272727276</v>
      </c>
      <c r="F30" s="15">
        <v>4.9630000000000001</v>
      </c>
      <c r="G30" s="15"/>
      <c r="H30" s="15"/>
      <c r="I30" s="15"/>
      <c r="J30" s="15"/>
      <c r="K30" s="15"/>
      <c r="L30" s="15"/>
      <c r="M30" s="15"/>
      <c r="N30" s="15">
        <v>5.1943159090909079</v>
      </c>
      <c r="X30" s="16">
        <f t="shared" si="13"/>
        <v>45017</v>
      </c>
      <c r="Y30" s="19">
        <f t="shared" si="0"/>
        <v>83.368947368421061</v>
      </c>
      <c r="Z30" s="17">
        <f t="shared" si="17"/>
        <v>2.5752263157894735</v>
      </c>
      <c r="AA30" s="17"/>
      <c r="AB30" s="17">
        <f t="shared" si="18"/>
        <v>5.0147399999999998</v>
      </c>
      <c r="AC30" s="18">
        <f t="shared" si="19"/>
        <v>3.4115433770297283</v>
      </c>
      <c r="AE30" s="22">
        <f t="shared" si="1"/>
        <v>450.72500000000008</v>
      </c>
      <c r="AF30" s="23">
        <f t="shared" si="20"/>
        <v>2260.2686865000005</v>
      </c>
      <c r="AI30" s="16">
        <f t="shared" si="14"/>
        <v>43556</v>
      </c>
      <c r="AJ30" s="19">
        <f t="shared" si="6"/>
        <v>3.896609090909092</v>
      </c>
      <c r="AK30" s="22">
        <f t="shared" si="7"/>
        <v>305.8095238095238</v>
      </c>
      <c r="AL30" s="21">
        <f t="shared" si="8"/>
        <v>1191.6201705627709</v>
      </c>
      <c r="AN30" s="16">
        <f t="shared" si="15"/>
        <v>45017</v>
      </c>
      <c r="AO30" s="19">
        <f t="shared" si="9"/>
        <v>53.948500000000003</v>
      </c>
      <c r="AP30" s="17">
        <f t="shared" si="10"/>
        <v>4.0461375000000004</v>
      </c>
      <c r="AQ30" s="17">
        <f t="shared" si="16"/>
        <v>2.5752263157894735</v>
      </c>
      <c r="AR30" s="18">
        <f t="shared" si="12"/>
        <v>1.4709111842105269</v>
      </c>
    </row>
    <row r="31" spans="1:44" x14ac:dyDescent="0.3">
      <c r="A31" s="14" t="s">
        <v>11</v>
      </c>
      <c r="B31" s="15">
        <v>4.4368011278195469</v>
      </c>
      <c r="C31" s="15">
        <v>4.4101227272727286</v>
      </c>
      <c r="D31" s="15">
        <v>4.4766131578947306</v>
      </c>
      <c r="E31" s="15">
        <v>4.4802186770428003</v>
      </c>
      <c r="F31" s="15">
        <v>4.4589528455284553</v>
      </c>
      <c r="G31" s="15">
        <v>4.4050436440677965</v>
      </c>
      <c r="H31" s="15">
        <v>4.4635082304526739</v>
      </c>
      <c r="I31" s="15">
        <v>4.4952614754098361</v>
      </c>
      <c r="J31" s="15">
        <v>4.5770343220338976</v>
      </c>
      <c r="K31" s="15">
        <v>4.6008419753086418</v>
      </c>
      <c r="L31" s="15">
        <v>4.5934076271186468</v>
      </c>
      <c r="M31" s="15">
        <v>4.6536765432098743</v>
      </c>
      <c r="N31" s="15">
        <v>4.5032709263015542</v>
      </c>
      <c r="X31" s="16">
        <f t="shared" si="13"/>
        <v>45047</v>
      </c>
      <c r="Y31" s="19">
        <f t="shared" si="0"/>
        <v>75.694782608695647</v>
      </c>
      <c r="Z31" s="17">
        <f t="shared" si="17"/>
        <v>2.345477272727273</v>
      </c>
      <c r="AA31" s="17"/>
      <c r="AB31" s="17">
        <f t="shared" si="18"/>
        <v>4.979000000000001</v>
      </c>
      <c r="AC31" s="18">
        <f t="shared" si="19"/>
        <v>3.085037377961461</v>
      </c>
      <c r="AE31" s="22">
        <f t="shared" si="1"/>
        <v>417.0954545454544</v>
      </c>
      <c r="AF31" s="23">
        <f t="shared" si="20"/>
        <v>2076.7182681818181</v>
      </c>
      <c r="AI31" s="16">
        <f t="shared" si="14"/>
        <v>43586</v>
      </c>
      <c r="AJ31" s="19">
        <f t="shared" si="6"/>
        <v>3.9949695652173904</v>
      </c>
      <c r="AK31" s="22">
        <f t="shared" si="7"/>
        <v>298.33636363636367</v>
      </c>
      <c r="AL31" s="21">
        <f t="shared" si="8"/>
        <v>1191.844692924901</v>
      </c>
      <c r="AN31" s="16">
        <f t="shared" si="15"/>
        <v>45047</v>
      </c>
      <c r="AO31" s="19">
        <f t="shared" si="9"/>
        <v>49.670909090909099</v>
      </c>
      <c r="AP31" s="17">
        <f t="shared" si="10"/>
        <v>3.7253181818181829</v>
      </c>
      <c r="AQ31" s="17">
        <f t="shared" si="16"/>
        <v>2.345477272727273</v>
      </c>
      <c r="AR31" s="18">
        <f t="shared" si="12"/>
        <v>1.3798409090909098</v>
      </c>
    </row>
    <row r="32" spans="1:44" x14ac:dyDescent="0.3">
      <c r="X32" s="16">
        <f t="shared" si="13"/>
        <v>45078</v>
      </c>
      <c r="Y32" s="19">
        <f t="shared" si="0"/>
        <v>74.978636363636369</v>
      </c>
      <c r="Z32" s="17">
        <f t="shared" si="17"/>
        <v>2.4134904761904767</v>
      </c>
      <c r="AA32" s="17"/>
      <c r="AB32" s="17">
        <f t="shared" si="18"/>
        <v>4.8482818181818175</v>
      </c>
      <c r="AC32" s="18">
        <f t="shared" si="19"/>
        <v>3.0911531364024678</v>
      </c>
      <c r="AE32" s="22">
        <f t="shared" si="1"/>
        <v>406.28571428571422</v>
      </c>
      <c r="AF32" s="23">
        <f t="shared" si="20"/>
        <v>1969.787641558441</v>
      </c>
      <c r="AI32" s="16">
        <f t="shared" si="14"/>
        <v>43617</v>
      </c>
      <c r="AJ32" s="19">
        <f t="shared" si="6"/>
        <v>3.8581700000000003</v>
      </c>
      <c r="AK32" s="22">
        <f t="shared" si="7"/>
        <v>317.68499999999995</v>
      </c>
      <c r="AL32" s="21">
        <f t="shared" si="8"/>
        <v>1225.68273645</v>
      </c>
      <c r="AN32" s="16">
        <f t="shared" si="15"/>
        <v>45078</v>
      </c>
      <c r="AO32" s="19">
        <f t="shared" si="9"/>
        <v>55.860952380952376</v>
      </c>
      <c r="AP32" s="17">
        <f t="shared" si="10"/>
        <v>4.1895714285714281</v>
      </c>
      <c r="AQ32" s="17">
        <f t="shared" si="16"/>
        <v>2.4134904761904767</v>
      </c>
      <c r="AR32" s="18">
        <f t="shared" si="12"/>
        <v>1.7760809523809513</v>
      </c>
    </row>
    <row r="33" spans="1:44" x14ac:dyDescent="0.3">
      <c r="X33" s="16">
        <f t="shared" si="13"/>
        <v>45108</v>
      </c>
      <c r="Y33" s="19">
        <f t="shared" si="0"/>
        <v>80.160000000000011</v>
      </c>
      <c r="Z33" s="17">
        <f t="shared" si="17"/>
        <v>2.6663399999999995</v>
      </c>
      <c r="AA33" s="17"/>
      <c r="AB33" s="17">
        <f t="shared" si="18"/>
        <v>4.8020476190476193</v>
      </c>
      <c r="AC33" s="18">
        <f t="shared" si="19"/>
        <v>3.3824319290569385</v>
      </c>
      <c r="AE33" s="22">
        <f t="shared" si="1"/>
        <v>435.97500000000008</v>
      </c>
      <c r="AF33" s="23">
        <f t="shared" si="20"/>
        <v>2093.5727107142861</v>
      </c>
      <c r="AI33" s="16">
        <f t="shared" si="14"/>
        <v>43647</v>
      </c>
      <c r="AJ33" s="19">
        <f t="shared" si="6"/>
        <v>3.7808782608695646</v>
      </c>
      <c r="AK33" s="22">
        <f t="shared" si="7"/>
        <v>306.39545454545458</v>
      </c>
      <c r="AL33" s="21">
        <f t="shared" si="8"/>
        <v>1158.4439133201581</v>
      </c>
      <c r="AN33" s="16">
        <f t="shared" si="15"/>
        <v>45108</v>
      </c>
      <c r="AO33" s="19">
        <f t="shared" si="9"/>
        <v>68.029999999999987</v>
      </c>
      <c r="AP33" s="17">
        <f t="shared" si="10"/>
        <v>5.1022499999999988</v>
      </c>
      <c r="AQ33" s="17">
        <f t="shared" si="16"/>
        <v>2.6663399999999995</v>
      </c>
      <c r="AR33" s="18">
        <f t="shared" si="12"/>
        <v>2.4359099999999994</v>
      </c>
    </row>
    <row r="34" spans="1:44" x14ac:dyDescent="0.3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X34" s="16">
        <f t="shared" si="13"/>
        <v>45139</v>
      </c>
      <c r="Y34" s="19">
        <f t="shared" si="0"/>
        <v>85.104347826086965</v>
      </c>
      <c r="Z34" s="17">
        <f t="shared" si="17"/>
        <v>3.1147130434782606</v>
      </c>
      <c r="AA34" s="17"/>
      <c r="AB34" s="17">
        <f t="shared" si="18"/>
        <v>4.9072347826086959</v>
      </c>
      <c r="AC34" s="18">
        <f t="shared" si="19"/>
        <v>4.0377735000439881</v>
      </c>
      <c r="AE34" s="22">
        <f t="shared" si="1"/>
        <v>426.55652173913046</v>
      </c>
      <c r="AF34" s="23">
        <f t="shared" si="20"/>
        <v>2093.2130002268432</v>
      </c>
      <c r="AI34" s="16">
        <f t="shared" si="14"/>
        <v>43678</v>
      </c>
      <c r="AJ34" s="19">
        <f t="shared" si="6"/>
        <v>4.027345454545455</v>
      </c>
      <c r="AK34" s="22">
        <f t="shared" si="7"/>
        <v>293.34545454545452</v>
      </c>
      <c r="AL34" s="21">
        <f t="shared" si="8"/>
        <v>1181.4034829752065</v>
      </c>
      <c r="AN34" s="16">
        <f t="shared" si="15"/>
        <v>45139</v>
      </c>
      <c r="AO34" s="19">
        <f t="shared" si="9"/>
        <v>66.675652173913036</v>
      </c>
      <c r="AP34" s="17">
        <f t="shared" si="10"/>
        <v>5.0006739130434781</v>
      </c>
      <c r="AQ34" s="17">
        <f t="shared" si="16"/>
        <v>3.1147130434782606</v>
      </c>
      <c r="AR34" s="18">
        <f t="shared" si="12"/>
        <v>1.8859608695652175</v>
      </c>
    </row>
    <row r="35" spans="1:44" x14ac:dyDescent="0.3">
      <c r="X35" s="16">
        <f t="shared" si="13"/>
        <v>45170</v>
      </c>
      <c r="Y35" s="19">
        <f t="shared" ref="Y35:Y65" si="21">+GETPIVOTDATA("LCOc1",$A$36,"ANO",YEAR(X35),"MÊS",MONTH(X35))</f>
        <v>92.587142857142851</v>
      </c>
      <c r="Z35" s="17">
        <f t="shared" si="17"/>
        <v>3.3081800000000001</v>
      </c>
      <c r="AA35" s="17"/>
      <c r="AB35" s="17">
        <f t="shared" si="18"/>
        <v>4.9456571428571428</v>
      </c>
      <c r="AC35" s="18">
        <f t="shared" si="19"/>
        <v>4.3221537553018408</v>
      </c>
      <c r="AE35" s="22">
        <f t="shared" ref="AE35:AE65" si="22">+GETPIVOTDATA("SMc1",$A$51,"ANO",YEAR(X35),"MÊS",MONTH(X35))</f>
        <v>397.94999999999993</v>
      </c>
      <c r="AF35" s="23">
        <f t="shared" si="20"/>
        <v>1968.1242599999996</v>
      </c>
      <c r="AI35" s="16">
        <f t="shared" si="14"/>
        <v>43709</v>
      </c>
      <c r="AJ35" s="19">
        <f t="shared" si="6"/>
        <v>4.1212333333333335</v>
      </c>
      <c r="AK35" s="22">
        <f t="shared" si="7"/>
        <v>292.26499999999993</v>
      </c>
      <c r="AL35" s="21">
        <f t="shared" si="8"/>
        <v>1204.4922601666665</v>
      </c>
      <c r="AN35" s="16">
        <f t="shared" si="15"/>
        <v>45170</v>
      </c>
      <c r="AO35" s="19">
        <f t="shared" si="9"/>
        <v>62.076999999999984</v>
      </c>
      <c r="AP35" s="17">
        <f t="shared" si="10"/>
        <v>4.6557749999999984</v>
      </c>
      <c r="AQ35" s="17">
        <f t="shared" si="16"/>
        <v>3.3081800000000001</v>
      </c>
      <c r="AR35" s="18">
        <f t="shared" si="12"/>
        <v>1.3475949999999983</v>
      </c>
    </row>
    <row r="36" spans="1:44" x14ac:dyDescent="0.3">
      <c r="A36" s="13" t="s">
        <v>18</v>
      </c>
      <c r="B36" s="13" t="s">
        <v>12</v>
      </c>
      <c r="X36" s="16">
        <f t="shared" si="13"/>
        <v>45200</v>
      </c>
      <c r="Y36" s="19">
        <f t="shared" si="21"/>
        <v>88.704090909090922</v>
      </c>
      <c r="Z36" s="17">
        <f t="shared" si="17"/>
        <v>3.0666272727272723</v>
      </c>
      <c r="AA36" s="17"/>
      <c r="AB36" s="17">
        <f t="shared" si="18"/>
        <v>5.0623318181818187</v>
      </c>
      <c r="AC36" s="18">
        <f t="shared" si="19"/>
        <v>4.1010841143314476</v>
      </c>
      <c r="AE36" s="22">
        <f t="shared" si="22"/>
        <v>399.86818181818194</v>
      </c>
      <c r="AF36" s="23">
        <f t="shared" si="20"/>
        <v>2024.265419896695</v>
      </c>
      <c r="AI36" s="16">
        <f t="shared" si="14"/>
        <v>43739</v>
      </c>
      <c r="AJ36" s="19">
        <f t="shared" si="6"/>
        <v>4.0854347826086954</v>
      </c>
      <c r="AK36" s="22">
        <f t="shared" si="7"/>
        <v>304.21304347826089</v>
      </c>
      <c r="AL36" s="21">
        <f t="shared" si="8"/>
        <v>1242.8425491493383</v>
      </c>
      <c r="AN36" s="16">
        <f t="shared" si="15"/>
        <v>45200</v>
      </c>
      <c r="AO36" s="19">
        <f t="shared" si="9"/>
        <v>54.664999999999992</v>
      </c>
      <c r="AP36" s="17">
        <f t="shared" si="10"/>
        <v>4.0998749999999999</v>
      </c>
      <c r="AQ36" s="17">
        <f t="shared" si="16"/>
        <v>3.0666272727272723</v>
      </c>
      <c r="AR36" s="18">
        <f t="shared" si="12"/>
        <v>1.0332477272727276</v>
      </c>
    </row>
    <row r="37" spans="1:44" x14ac:dyDescent="0.3">
      <c r="A37" s="13" t="s">
        <v>10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  <c r="N37" t="s">
        <v>11</v>
      </c>
      <c r="X37" s="16">
        <f t="shared" si="13"/>
        <v>45231</v>
      </c>
      <c r="Y37" s="19">
        <f t="shared" si="21"/>
        <v>82.030000000000015</v>
      </c>
      <c r="Z37" s="17">
        <f t="shared" si="17"/>
        <v>2.8544714285714283</v>
      </c>
      <c r="AA37" s="17"/>
      <c r="AB37" s="17">
        <f t="shared" si="18"/>
        <v>4.8987909090909101</v>
      </c>
      <c r="AC37" s="18">
        <f t="shared" si="19"/>
        <v>3.6940407207001238</v>
      </c>
      <c r="AE37" s="22">
        <f t="shared" si="22"/>
        <v>452.15238095238089</v>
      </c>
      <c r="AF37" s="23">
        <f t="shared" si="20"/>
        <v>2214.9999733333334</v>
      </c>
      <c r="AI37" s="16">
        <f t="shared" si="14"/>
        <v>43770</v>
      </c>
      <c r="AJ37" s="19">
        <f t="shared" si="6"/>
        <v>4.1605523809523808</v>
      </c>
      <c r="AK37" s="22">
        <f t="shared" si="7"/>
        <v>300.81499999999994</v>
      </c>
      <c r="AL37" s="21">
        <f t="shared" si="8"/>
        <v>1251.5565644761903</v>
      </c>
      <c r="AN37" s="16">
        <f t="shared" si="15"/>
        <v>45231</v>
      </c>
      <c r="AO37" s="19">
        <f t="shared" si="9"/>
        <v>51.671428571428578</v>
      </c>
      <c r="AP37" s="17">
        <f t="shared" si="10"/>
        <v>3.8753571428571432</v>
      </c>
      <c r="AQ37" s="17">
        <f t="shared" si="16"/>
        <v>2.8544714285714283</v>
      </c>
      <c r="AR37" s="18">
        <f t="shared" si="12"/>
        <v>1.0208857142857148</v>
      </c>
    </row>
    <row r="38" spans="1:44" x14ac:dyDescent="0.3">
      <c r="A38" s="14">
        <v>2020</v>
      </c>
      <c r="B38" s="15"/>
      <c r="C38" s="15">
        <v>56.090769230769233</v>
      </c>
      <c r="D38" s="15">
        <v>33.729090909090914</v>
      </c>
      <c r="E38" s="15">
        <v>26.631428571428575</v>
      </c>
      <c r="F38" s="15">
        <v>32.411904761904772</v>
      </c>
      <c r="G38" s="15">
        <v>40.772727272727266</v>
      </c>
      <c r="H38" s="15">
        <v>43.222173913043477</v>
      </c>
      <c r="I38" s="15">
        <v>45.019999999999996</v>
      </c>
      <c r="J38" s="15">
        <v>41.873636363636365</v>
      </c>
      <c r="K38" s="15">
        <v>41.524090909090916</v>
      </c>
      <c r="L38" s="15">
        <v>43.980000000000004</v>
      </c>
      <c r="M38" s="15">
        <v>50.218181818181826</v>
      </c>
      <c r="N38" s="15">
        <v>40.916478260869567</v>
      </c>
      <c r="X38" s="16">
        <f t="shared" si="13"/>
        <v>45261</v>
      </c>
      <c r="Y38" s="19">
        <f t="shared" si="21"/>
        <v>77.323999999999998</v>
      </c>
      <c r="Z38" s="17">
        <f t="shared" si="17"/>
        <v>2.6201599999999998</v>
      </c>
      <c r="AA38" s="17"/>
      <c r="AB38" s="17">
        <f t="shared" si="18"/>
        <v>4.8952428571428568</v>
      </c>
      <c r="AC38" s="18">
        <f t="shared" si="19"/>
        <v>3.3883567498821594</v>
      </c>
      <c r="AE38" s="22">
        <f t="shared" si="22"/>
        <v>412.70500000000004</v>
      </c>
      <c r="AF38" s="23">
        <f t="shared" si="20"/>
        <v>2020.2912033571429</v>
      </c>
      <c r="AI38" s="16">
        <f t="shared" si="14"/>
        <v>43800</v>
      </c>
      <c r="AJ38" s="19">
        <f t="shared" si="6"/>
        <v>4.1060545454545458</v>
      </c>
      <c r="AK38" s="22">
        <f t="shared" si="7"/>
        <v>297.55238095238099</v>
      </c>
      <c r="AL38" s="21">
        <f t="shared" si="8"/>
        <v>1221.7663063203465</v>
      </c>
      <c r="AN38" s="16">
        <f t="shared" si="15"/>
        <v>45261</v>
      </c>
      <c r="AO38" s="19">
        <f t="shared" si="9"/>
        <v>49.743000000000002</v>
      </c>
      <c r="AP38" s="17">
        <f t="shared" si="10"/>
        <v>3.7307250000000001</v>
      </c>
      <c r="AQ38" s="17">
        <f t="shared" si="16"/>
        <v>2.6201599999999998</v>
      </c>
      <c r="AR38" s="18">
        <f t="shared" si="12"/>
        <v>1.1105650000000002</v>
      </c>
    </row>
    <row r="39" spans="1:44" x14ac:dyDescent="0.3">
      <c r="A39" s="14">
        <v>2021</v>
      </c>
      <c r="B39" s="15">
        <v>55.321499999999993</v>
      </c>
      <c r="C39" s="15">
        <v>62.281500000000008</v>
      </c>
      <c r="D39" s="15">
        <v>65.702173913043481</v>
      </c>
      <c r="E39" s="15">
        <v>65.328571428571436</v>
      </c>
      <c r="F39" s="15">
        <v>68.309047619047604</v>
      </c>
      <c r="G39" s="15">
        <v>73.408181818181816</v>
      </c>
      <c r="H39" s="15">
        <v>74.293636363636367</v>
      </c>
      <c r="I39" s="15">
        <v>70.513636363636365</v>
      </c>
      <c r="J39" s="15">
        <v>74.876363636363635</v>
      </c>
      <c r="K39" s="15">
        <v>83.746190476190478</v>
      </c>
      <c r="L39" s="15">
        <v>80.849545454545463</v>
      </c>
      <c r="M39" s="15">
        <v>74.803913043478275</v>
      </c>
      <c r="N39" s="15">
        <v>70.947760617760622</v>
      </c>
      <c r="X39" s="16">
        <f t="shared" si="13"/>
        <v>45292</v>
      </c>
      <c r="Y39" s="19">
        <f t="shared" si="21"/>
        <v>79.149545454545446</v>
      </c>
      <c r="Z39" s="17">
        <f t="shared" si="17"/>
        <v>2.6820142857142852</v>
      </c>
      <c r="AA39" s="17"/>
      <c r="AB39" s="17">
        <f t="shared" si="18"/>
        <v>4.9131521739130442</v>
      </c>
      <c r="AC39" s="18">
        <f t="shared" si="19"/>
        <v>3.4810348993432627</v>
      </c>
      <c r="AE39" s="22">
        <f t="shared" si="22"/>
        <v>363.73333333333335</v>
      </c>
      <c r="AF39" s="23">
        <f t="shared" si="20"/>
        <v>1787.0772173913047</v>
      </c>
      <c r="AI39" s="16">
        <f t="shared" si="14"/>
        <v>43831</v>
      </c>
      <c r="AJ39" s="19">
        <f t="shared" si="6"/>
        <v>4.1473260869565216</v>
      </c>
      <c r="AK39" s="22">
        <f t="shared" si="7"/>
        <v>297.53809523809514</v>
      </c>
      <c r="AL39" s="21">
        <f t="shared" si="8"/>
        <v>1233.9875042443059</v>
      </c>
      <c r="AN39" s="16">
        <f t="shared" si="15"/>
        <v>45292</v>
      </c>
      <c r="AO39" s="19">
        <f t="shared" si="9"/>
        <v>47.365238095238091</v>
      </c>
      <c r="AP39" s="17">
        <f t="shared" si="10"/>
        <v>3.5523928571428569</v>
      </c>
      <c r="AQ39" s="17">
        <f t="shared" si="16"/>
        <v>2.6820142857142852</v>
      </c>
      <c r="AR39" s="18">
        <f t="shared" si="12"/>
        <v>0.87037857142857167</v>
      </c>
    </row>
    <row r="40" spans="1:44" x14ac:dyDescent="0.3">
      <c r="A40" s="14">
        <v>2022</v>
      </c>
      <c r="B40" s="15">
        <v>85.572380952380954</v>
      </c>
      <c r="C40" s="15">
        <v>94.101500000000016</v>
      </c>
      <c r="D40" s="15">
        <v>112.46304347826087</v>
      </c>
      <c r="E40" s="15">
        <v>105.917</v>
      </c>
      <c r="F40" s="15">
        <v>111.95954545454543</v>
      </c>
      <c r="G40" s="15">
        <v>117.5031818181818</v>
      </c>
      <c r="H40" s="15">
        <v>105.12380952380954</v>
      </c>
      <c r="I40" s="15">
        <v>97.740869565217409</v>
      </c>
      <c r="J40" s="15">
        <v>90.570909090909083</v>
      </c>
      <c r="K40" s="15">
        <v>93.593809523809512</v>
      </c>
      <c r="L40" s="15">
        <v>90.851818181818203</v>
      </c>
      <c r="M40" s="15">
        <v>81.34142857142858</v>
      </c>
      <c r="N40" s="15">
        <v>99.041860465116244</v>
      </c>
      <c r="X40" s="16">
        <f t="shared" si="13"/>
        <v>45323</v>
      </c>
      <c r="Y40" s="19">
        <f t="shared" si="21"/>
        <v>81.716190476190491</v>
      </c>
      <c r="Z40" s="17">
        <f t="shared" si="17"/>
        <v>2.7747849999999996</v>
      </c>
      <c r="AA40" s="17"/>
      <c r="AB40" s="17">
        <f t="shared" si="18"/>
        <v>4.9614714285714285</v>
      </c>
      <c r="AC40" s="18">
        <f t="shared" si="19"/>
        <v>3.6368627170976375</v>
      </c>
      <c r="AE40" s="22">
        <f t="shared" si="22"/>
        <v>344.42000000000007</v>
      </c>
      <c r="AF40" s="23">
        <f t="shared" si="20"/>
        <v>1708.8299894285717</v>
      </c>
      <c r="AI40" s="16">
        <f t="shared" si="14"/>
        <v>43862</v>
      </c>
      <c r="AJ40" s="19">
        <f t="shared" si="6"/>
        <v>4.350695</v>
      </c>
      <c r="AK40" s="22">
        <f t="shared" si="7"/>
        <v>290.88421052631577</v>
      </c>
      <c r="AL40" s="21">
        <f t="shared" si="8"/>
        <v>1265.5484803157894</v>
      </c>
      <c r="AN40" s="16">
        <f t="shared" si="15"/>
        <v>45323</v>
      </c>
      <c r="AO40" s="19">
        <f t="shared" si="9"/>
        <v>45.640000000000008</v>
      </c>
      <c r="AP40" s="17">
        <f t="shared" si="10"/>
        <v>3.4230000000000005</v>
      </c>
      <c r="AQ40" s="17">
        <f t="shared" si="16"/>
        <v>2.7747849999999996</v>
      </c>
      <c r="AR40" s="18">
        <f t="shared" si="12"/>
        <v>0.64821500000000087</v>
      </c>
    </row>
    <row r="41" spans="1:44" x14ac:dyDescent="0.3">
      <c r="A41" s="14">
        <v>2023</v>
      </c>
      <c r="B41" s="15">
        <v>83.906666666666652</v>
      </c>
      <c r="C41" s="15">
        <v>83.537499999999994</v>
      </c>
      <c r="D41" s="15">
        <v>79.20695652173913</v>
      </c>
      <c r="E41" s="15">
        <v>83.368947368421061</v>
      </c>
      <c r="F41" s="15">
        <v>75.694782608695647</v>
      </c>
      <c r="G41" s="15">
        <v>74.978636363636369</v>
      </c>
      <c r="H41" s="15">
        <v>80.160000000000011</v>
      </c>
      <c r="I41" s="15">
        <v>85.104347826086965</v>
      </c>
      <c r="J41" s="15">
        <v>92.587142857142851</v>
      </c>
      <c r="K41" s="15">
        <v>88.704090909090922</v>
      </c>
      <c r="L41" s="15">
        <v>82.030000000000015</v>
      </c>
      <c r="M41" s="15">
        <v>77.323999999999998</v>
      </c>
      <c r="N41" s="15">
        <v>82.166498054474701</v>
      </c>
      <c r="X41" s="16">
        <f t="shared" si="13"/>
        <v>45352</v>
      </c>
      <c r="Y41" s="19">
        <f t="shared" si="21"/>
        <v>84.665499999999994</v>
      </c>
      <c r="Z41" s="17">
        <f t="shared" si="17"/>
        <v>2.67137</v>
      </c>
      <c r="AA41" s="17"/>
      <c r="AB41" s="17">
        <f t="shared" si="18"/>
        <v>4.9806904761904764</v>
      </c>
      <c r="AC41" s="18">
        <f t="shared" si="19"/>
        <v>3.5148813780755459</v>
      </c>
      <c r="AE41" s="22">
        <f t="shared" si="22"/>
        <v>336.81</v>
      </c>
      <c r="AF41" s="23">
        <f t="shared" si="20"/>
        <v>1677.5463592857143</v>
      </c>
      <c r="AI41" s="16">
        <f t="shared" si="14"/>
        <v>43891</v>
      </c>
      <c r="AJ41" s="19">
        <f t="shared" si="6"/>
        <v>4.8957272727272718</v>
      </c>
      <c r="AK41" s="22">
        <f t="shared" si="7"/>
        <v>309.76363636363635</v>
      </c>
      <c r="AL41" s="21">
        <f t="shared" si="8"/>
        <v>1516.5182826446278</v>
      </c>
      <c r="AN41" s="16">
        <f t="shared" si="15"/>
        <v>45352</v>
      </c>
      <c r="AO41" s="19">
        <f t="shared" si="9"/>
        <v>47.197500000000005</v>
      </c>
      <c r="AP41" s="17">
        <f t="shared" si="10"/>
        <v>3.5398125000000005</v>
      </c>
      <c r="AQ41" s="17">
        <f t="shared" si="16"/>
        <v>2.67137</v>
      </c>
      <c r="AR41" s="18">
        <f t="shared" si="12"/>
        <v>0.86844250000000045</v>
      </c>
    </row>
    <row r="42" spans="1:44" x14ac:dyDescent="0.3">
      <c r="A42" s="14">
        <v>2024</v>
      </c>
      <c r="B42" s="15">
        <v>79.149545454545446</v>
      </c>
      <c r="C42" s="15">
        <v>81.716190476190491</v>
      </c>
      <c r="D42" s="15">
        <v>84.665499999999994</v>
      </c>
      <c r="E42" s="15">
        <v>89</v>
      </c>
      <c r="F42" s="15">
        <v>82.996521739130429</v>
      </c>
      <c r="G42" s="15">
        <v>82.998499999999993</v>
      </c>
      <c r="H42" s="15">
        <v>83.87913043478261</v>
      </c>
      <c r="I42" s="15">
        <v>78.875</v>
      </c>
      <c r="J42" s="15">
        <v>72.870952380952374</v>
      </c>
      <c r="K42" s="15">
        <v>75.376956521739132</v>
      </c>
      <c r="L42" s="15">
        <v>73.400952380952376</v>
      </c>
      <c r="M42" s="15">
        <v>73.128571428571419</v>
      </c>
      <c r="N42" s="15">
        <v>79.85745173745174</v>
      </c>
      <c r="X42" s="16">
        <f t="shared" si="13"/>
        <v>45383</v>
      </c>
      <c r="Y42" s="19">
        <f t="shared" si="21"/>
        <v>89</v>
      </c>
      <c r="Z42" s="17">
        <f t="shared" si="17"/>
        <v>2.628731818181818</v>
      </c>
      <c r="AA42" s="17"/>
      <c r="AB42" s="17">
        <f t="shared" si="18"/>
        <v>5.1262499999999998</v>
      </c>
      <c r="AC42" s="18">
        <f t="shared" si="19"/>
        <v>3.5598618070313504</v>
      </c>
      <c r="AE42" s="22">
        <f t="shared" si="22"/>
        <v>338.59090909090907</v>
      </c>
      <c r="AF42" s="23">
        <f t="shared" si="20"/>
        <v>1735.7016477272725</v>
      </c>
      <c r="AI42" s="16">
        <f t="shared" si="14"/>
        <v>43922</v>
      </c>
      <c r="AJ42" s="19">
        <f t="shared" si="6"/>
        <v>5.3160772727272727</v>
      </c>
      <c r="AK42" s="22">
        <f t="shared" si="7"/>
        <v>291.94761904761901</v>
      </c>
      <c r="AL42" s="21">
        <f t="shared" si="8"/>
        <v>1552.0161024458873</v>
      </c>
      <c r="AN42" s="16">
        <f t="shared" si="15"/>
        <v>45383</v>
      </c>
      <c r="AO42" s="19">
        <f t="shared" si="9"/>
        <v>46.012727272727268</v>
      </c>
      <c r="AP42" s="17">
        <f t="shared" si="10"/>
        <v>3.4509545454545449</v>
      </c>
      <c r="AQ42" s="17">
        <f t="shared" si="16"/>
        <v>2.628731818181818</v>
      </c>
      <c r="AR42" s="18">
        <f t="shared" si="12"/>
        <v>0.82222272727272694</v>
      </c>
    </row>
    <row r="43" spans="1:44" x14ac:dyDescent="0.3">
      <c r="A43" s="14">
        <v>2025</v>
      </c>
      <c r="B43" s="15">
        <v>78.349090909090918</v>
      </c>
      <c r="C43" s="15">
        <v>74.954499999999996</v>
      </c>
      <c r="D43" s="15">
        <v>71.467142857142861</v>
      </c>
      <c r="E43" s="15">
        <v>66.456666666666678</v>
      </c>
      <c r="F43" s="15">
        <v>64.005454545454555</v>
      </c>
      <c r="G43" s="15">
        <v>69.802380952380943</v>
      </c>
      <c r="H43" s="15">
        <v>69.553478260869554</v>
      </c>
      <c r="I43" s="15">
        <v>67.261428571428596</v>
      </c>
      <c r="J43" s="15">
        <v>67.575909090909107</v>
      </c>
      <c r="K43" s="15">
        <v>63.953913043478252</v>
      </c>
      <c r="L43" s="15">
        <v>63.662500000000009</v>
      </c>
      <c r="M43" s="15">
        <v>61.628636363636367</v>
      </c>
      <c r="N43" s="15">
        <v>68.18624031007748</v>
      </c>
      <c r="X43" s="16">
        <f t="shared" si="13"/>
        <v>45413</v>
      </c>
      <c r="Y43" s="19">
        <f t="shared" si="21"/>
        <v>82.996521739130429</v>
      </c>
      <c r="Z43" s="17">
        <f t="shared" si="17"/>
        <v>2.4411363636363639</v>
      </c>
      <c r="AA43" s="17"/>
      <c r="AB43" s="17">
        <f t="shared" si="18"/>
        <v>5.1405217391304356</v>
      </c>
      <c r="AC43" s="18">
        <f t="shared" si="19"/>
        <v>3.3150212382422377</v>
      </c>
      <c r="AE43" s="22">
        <f t="shared" si="22"/>
        <v>369.53636363636366</v>
      </c>
      <c r="AF43" s="23">
        <f t="shared" si="20"/>
        <v>1899.6097106719371</v>
      </c>
      <c r="AI43" s="16">
        <f t="shared" si="14"/>
        <v>43952</v>
      </c>
      <c r="AJ43" s="19">
        <f t="shared" si="6"/>
        <v>5.6283904761904768</v>
      </c>
      <c r="AK43" s="22">
        <f t="shared" si="7"/>
        <v>284.84500000000003</v>
      </c>
      <c r="AL43" s="21">
        <f t="shared" si="8"/>
        <v>1603.2188851904766</v>
      </c>
      <c r="AN43" s="16">
        <f t="shared" si="15"/>
        <v>45413</v>
      </c>
      <c r="AO43" s="19">
        <f t="shared" si="9"/>
        <v>44.312727272727265</v>
      </c>
      <c r="AP43" s="17">
        <f t="shared" si="10"/>
        <v>3.323454545454545</v>
      </c>
      <c r="AQ43" s="17">
        <f t="shared" si="16"/>
        <v>2.4411363636363639</v>
      </c>
      <c r="AR43" s="18">
        <f t="shared" si="12"/>
        <v>0.88231818181818111</v>
      </c>
    </row>
    <row r="44" spans="1:44" x14ac:dyDescent="0.3">
      <c r="A44" s="14">
        <v>2026</v>
      </c>
      <c r="B44" s="15">
        <v>64.726190476190482</v>
      </c>
      <c r="C44" s="15">
        <v>69.368999999999986</v>
      </c>
      <c r="D44" s="15">
        <v>99.599545454545463</v>
      </c>
      <c r="E44" s="15">
        <v>102.46428571428571</v>
      </c>
      <c r="F44" s="15">
        <v>111.00999999999999</v>
      </c>
      <c r="G44" s="15"/>
      <c r="H44" s="15"/>
      <c r="I44" s="15"/>
      <c r="J44" s="15"/>
      <c r="K44" s="15"/>
      <c r="L44" s="15"/>
      <c r="M44" s="15"/>
      <c r="N44" s="15">
        <v>85.018488372093017</v>
      </c>
      <c r="X44" s="16">
        <f t="shared" si="13"/>
        <v>45444</v>
      </c>
      <c r="Y44" s="19">
        <f t="shared" si="21"/>
        <v>82.998499999999993</v>
      </c>
      <c r="Z44" s="17">
        <f t="shared" si="17"/>
        <v>2.4462526315789472</v>
      </c>
      <c r="AA44" s="17"/>
      <c r="AB44" s="17">
        <f t="shared" si="18"/>
        <v>5.3965050000000012</v>
      </c>
      <c r="AC44" s="18">
        <f t="shared" si="19"/>
        <v>3.487393586845005</v>
      </c>
      <c r="AE44" s="22">
        <f t="shared" si="22"/>
        <v>362.45789473684215</v>
      </c>
      <c r="AF44" s="23">
        <f t="shared" si="20"/>
        <v>1956.0058412368428</v>
      </c>
      <c r="AI44" s="16">
        <f t="shared" si="14"/>
        <v>43983</v>
      </c>
      <c r="AJ44" s="19">
        <f t="shared" si="6"/>
        <v>5.191118181818184</v>
      </c>
      <c r="AK44" s="22">
        <f t="shared" si="7"/>
        <v>286.76363636363641</v>
      </c>
      <c r="AL44" s="21">
        <f t="shared" si="8"/>
        <v>1488.6239266115711</v>
      </c>
      <c r="AN44" s="16">
        <f t="shared" si="15"/>
        <v>45444</v>
      </c>
      <c r="AO44" s="19">
        <f t="shared" si="9"/>
        <v>43.706842105263156</v>
      </c>
      <c r="AP44" s="17">
        <f t="shared" si="10"/>
        <v>3.2780131578947369</v>
      </c>
      <c r="AQ44" s="17">
        <f t="shared" si="16"/>
        <v>2.4462526315789472</v>
      </c>
      <c r="AR44" s="18">
        <f t="shared" si="12"/>
        <v>0.83176052631578967</v>
      </c>
    </row>
    <row r="45" spans="1:44" x14ac:dyDescent="0.3">
      <c r="A45" s="14" t="s">
        <v>11</v>
      </c>
      <c r="B45" s="15">
        <v>74.72212598425196</v>
      </c>
      <c r="C45" s="15">
        <v>75.597761194029843</v>
      </c>
      <c r="D45" s="15">
        <v>78.226688311688278</v>
      </c>
      <c r="E45" s="15">
        <v>76.819655172413789</v>
      </c>
      <c r="F45" s="15">
        <v>73.569328358208935</v>
      </c>
      <c r="G45" s="15">
        <v>76.530232558139559</v>
      </c>
      <c r="H45" s="15">
        <v>75.552481203007517</v>
      </c>
      <c r="I45" s="15">
        <v>74.620454545454521</v>
      </c>
      <c r="J45" s="15">
        <v>73.248846153846159</v>
      </c>
      <c r="K45" s="15">
        <v>74.195227272727266</v>
      </c>
      <c r="L45" s="15">
        <v>72.815156249999973</v>
      </c>
      <c r="M45" s="15">
        <v>69.546279069767451</v>
      </c>
      <c r="N45" s="15">
        <v>74.699794648413175</v>
      </c>
      <c r="X45" s="16">
        <f t="shared" si="13"/>
        <v>45474</v>
      </c>
      <c r="Y45" s="19">
        <f t="shared" si="21"/>
        <v>83.87913043478261</v>
      </c>
      <c r="Z45" s="17">
        <f t="shared" si="17"/>
        <v>2.4921636363636366</v>
      </c>
      <c r="AA45" s="17"/>
      <c r="AB45" s="17">
        <f t="shared" si="18"/>
        <v>5.5437391304347834</v>
      </c>
      <c r="AC45" s="18">
        <f t="shared" si="19"/>
        <v>3.6497777176992012</v>
      </c>
      <c r="AE45" s="22">
        <f t="shared" si="22"/>
        <v>356.83181818181811</v>
      </c>
      <c r="AF45" s="23">
        <f t="shared" si="20"/>
        <v>1978.182513438735</v>
      </c>
      <c r="AI45" s="16">
        <f t="shared" si="14"/>
        <v>44013</v>
      </c>
      <c r="AJ45" s="19">
        <f t="shared" si="6"/>
        <v>5.2824956521739139</v>
      </c>
      <c r="AK45" s="22">
        <f t="shared" si="7"/>
        <v>289.45000000000005</v>
      </c>
      <c r="AL45" s="21">
        <f t="shared" si="8"/>
        <v>1529.0183665217396</v>
      </c>
      <c r="AN45" s="16">
        <f t="shared" si="15"/>
        <v>45474</v>
      </c>
      <c r="AO45" s="19">
        <f t="shared" si="9"/>
        <v>46.279090909090904</v>
      </c>
      <c r="AP45" s="17">
        <f t="shared" si="10"/>
        <v>3.4709318181818181</v>
      </c>
      <c r="AQ45" s="17">
        <f t="shared" si="16"/>
        <v>2.4921636363636366</v>
      </c>
      <c r="AR45" s="18">
        <f t="shared" si="12"/>
        <v>0.97876818181818148</v>
      </c>
    </row>
    <row r="46" spans="1:44" x14ac:dyDescent="0.3">
      <c r="X46" s="16">
        <f t="shared" si="13"/>
        <v>45505</v>
      </c>
      <c r="Y46" s="19">
        <f t="shared" si="21"/>
        <v>78.875</v>
      </c>
      <c r="Z46" s="17">
        <f t="shared" si="17"/>
        <v>2.3173318181818185</v>
      </c>
      <c r="AA46" s="17"/>
      <c r="AB46" s="17">
        <f t="shared" si="18"/>
        <v>5.5538090909090911</v>
      </c>
      <c r="AC46" s="18">
        <f t="shared" si="19"/>
        <v>3.3999008082271343</v>
      </c>
      <c r="AE46" s="22">
        <f t="shared" si="22"/>
        <v>322.4818181818182</v>
      </c>
      <c r="AF46" s="23">
        <f t="shared" si="20"/>
        <v>1791.0024534710747</v>
      </c>
      <c r="AI46" s="16">
        <f t="shared" si="14"/>
        <v>44044</v>
      </c>
      <c r="AJ46" s="19">
        <f t="shared" si="6"/>
        <v>5.4588476190476189</v>
      </c>
      <c r="AK46" s="22">
        <f t="shared" si="7"/>
        <v>289.89</v>
      </c>
      <c r="AL46" s="21">
        <f t="shared" si="8"/>
        <v>1582.4653362857141</v>
      </c>
      <c r="AN46" s="16">
        <f t="shared" si="15"/>
        <v>45505</v>
      </c>
      <c r="AO46" s="19">
        <f t="shared" si="9"/>
        <v>41.393181818181809</v>
      </c>
      <c r="AP46" s="17">
        <f t="shared" si="10"/>
        <v>3.1044886363636355</v>
      </c>
      <c r="AQ46" s="17">
        <f t="shared" si="16"/>
        <v>2.3173318181818185</v>
      </c>
      <c r="AR46" s="18">
        <f t="shared" si="12"/>
        <v>0.78715681818181693</v>
      </c>
    </row>
    <row r="47" spans="1:44" x14ac:dyDescent="0.3">
      <c r="X47" s="16">
        <f t="shared" si="13"/>
        <v>45536</v>
      </c>
      <c r="Y47" s="19">
        <f t="shared" si="21"/>
        <v>72.870952380952374</v>
      </c>
      <c r="Z47" s="17">
        <f t="shared" si="17"/>
        <v>2.1370250000000004</v>
      </c>
      <c r="AA47" s="17"/>
      <c r="AB47" s="17">
        <f t="shared" si="18"/>
        <v>5.5404428571428568</v>
      </c>
      <c r="AC47" s="18">
        <f t="shared" si="19"/>
        <v>3.1278157179237427</v>
      </c>
      <c r="AE47" s="22">
        <f t="shared" si="22"/>
        <v>321.89500000000004</v>
      </c>
      <c r="AF47" s="23">
        <f t="shared" si="20"/>
        <v>1783.4408535</v>
      </c>
      <c r="AI47" s="16">
        <f t="shared" si="14"/>
        <v>44075</v>
      </c>
      <c r="AJ47" s="19">
        <f t="shared" si="6"/>
        <v>5.400336363636363</v>
      </c>
      <c r="AK47" s="22">
        <f t="shared" si="7"/>
        <v>322.37619047619052</v>
      </c>
      <c r="AL47" s="21">
        <f t="shared" si="8"/>
        <v>1740.9398641991343</v>
      </c>
      <c r="AN47" s="16">
        <f t="shared" si="15"/>
        <v>45536</v>
      </c>
      <c r="AO47" s="19">
        <f t="shared" si="9"/>
        <v>41.777500000000011</v>
      </c>
      <c r="AP47" s="17">
        <f t="shared" si="10"/>
        <v>3.1333125000000006</v>
      </c>
      <c r="AQ47" s="17">
        <f t="shared" si="16"/>
        <v>2.1370250000000004</v>
      </c>
      <c r="AR47" s="18">
        <f t="shared" si="12"/>
        <v>0.99628750000000021</v>
      </c>
    </row>
    <row r="48" spans="1:44" x14ac:dyDescent="0.3">
      <c r="X48" s="16">
        <f t="shared" si="13"/>
        <v>45566</v>
      </c>
      <c r="Y48" s="19">
        <f t="shared" si="21"/>
        <v>75.376956521739132</v>
      </c>
      <c r="Z48" s="17">
        <f t="shared" si="17"/>
        <v>2.2332086956521739</v>
      </c>
      <c r="AA48" s="17"/>
      <c r="AB48" s="17">
        <f t="shared" si="18"/>
        <v>5.6234608695652168</v>
      </c>
      <c r="AC48" s="18">
        <f t="shared" si="19"/>
        <v>3.317569751644545</v>
      </c>
      <c r="AE48" s="22">
        <f t="shared" si="22"/>
        <v>317.83478260869566</v>
      </c>
      <c r="AF48" s="23">
        <f t="shared" si="20"/>
        <v>1787.3314629867673</v>
      </c>
      <c r="AI48" s="16">
        <f t="shared" si="14"/>
        <v>44105</v>
      </c>
      <c r="AJ48" s="19">
        <f t="shared" si="6"/>
        <v>5.6276000000000002</v>
      </c>
      <c r="AK48" s="22">
        <f t="shared" si="7"/>
        <v>367.60454545454547</v>
      </c>
      <c r="AL48" s="21">
        <f t="shared" si="8"/>
        <v>2068.7313400000003</v>
      </c>
      <c r="AN48" s="16">
        <f t="shared" si="15"/>
        <v>45566</v>
      </c>
      <c r="AO48" s="19">
        <f t="shared" si="9"/>
        <v>43.345652173913038</v>
      </c>
      <c r="AP48" s="17">
        <f t="shared" si="10"/>
        <v>3.2509239130434775</v>
      </c>
      <c r="AQ48" s="17">
        <f t="shared" si="16"/>
        <v>2.2332086956521739</v>
      </c>
      <c r="AR48" s="18">
        <f t="shared" si="12"/>
        <v>1.0177152173913036</v>
      </c>
    </row>
    <row r="49" spans="1:44" x14ac:dyDescent="0.3">
      <c r="X49" s="16">
        <f t="shared" si="13"/>
        <v>45597</v>
      </c>
      <c r="Y49" s="19">
        <f t="shared" si="21"/>
        <v>73.400952380952376</v>
      </c>
      <c r="Z49" s="17">
        <f t="shared" si="17"/>
        <v>2.2384100000000005</v>
      </c>
      <c r="AA49" s="17"/>
      <c r="AB49" s="17">
        <f t="shared" si="18"/>
        <v>5.8024619047619046</v>
      </c>
      <c r="AC49" s="18">
        <f t="shared" si="19"/>
        <v>3.4311445133388716</v>
      </c>
      <c r="AE49" s="22">
        <f t="shared" si="22"/>
        <v>292.41500000000002</v>
      </c>
      <c r="AF49" s="23">
        <f t="shared" si="20"/>
        <v>1696.7268978809525</v>
      </c>
      <c r="AI49" s="16">
        <f t="shared" si="14"/>
        <v>44136</v>
      </c>
      <c r="AJ49" s="19">
        <f t="shared" si="6"/>
        <v>5.4333</v>
      </c>
      <c r="AK49" s="22">
        <f t="shared" si="7"/>
        <v>390.30500000000001</v>
      </c>
      <c r="AL49" s="21">
        <f t="shared" si="8"/>
        <v>2120.6441565</v>
      </c>
      <c r="AN49" s="16">
        <f t="shared" si="15"/>
        <v>45597</v>
      </c>
      <c r="AO49" s="19">
        <f t="shared" si="9"/>
        <v>44.668500000000009</v>
      </c>
      <c r="AP49" s="17">
        <f t="shared" si="10"/>
        <v>3.3501375000000007</v>
      </c>
      <c r="AQ49" s="17">
        <f t="shared" si="16"/>
        <v>2.2384100000000005</v>
      </c>
      <c r="AR49" s="18">
        <f t="shared" si="12"/>
        <v>1.1117275000000002</v>
      </c>
    </row>
    <row r="50" spans="1:44" x14ac:dyDescent="0.3">
      <c r="X50" s="16">
        <f t="shared" si="13"/>
        <v>45627</v>
      </c>
      <c r="Y50" s="19">
        <f t="shared" si="21"/>
        <v>73.128571428571419</v>
      </c>
      <c r="Z50" s="17">
        <f t="shared" si="17"/>
        <v>2.223090476190476</v>
      </c>
      <c r="AA50" s="17"/>
      <c r="AB50" s="17">
        <f t="shared" si="18"/>
        <v>6.111140909090909</v>
      </c>
      <c r="AC50" s="18">
        <f t="shared" si="19"/>
        <v>3.5889425857854249</v>
      </c>
      <c r="AE50" s="22">
        <f t="shared" si="22"/>
        <v>290.16666666666663</v>
      </c>
      <c r="AF50" s="23">
        <f t="shared" si="20"/>
        <v>1773.2493871212118</v>
      </c>
      <c r="AI50" s="16">
        <f t="shared" si="14"/>
        <v>44166</v>
      </c>
      <c r="AJ50" s="19">
        <f t="shared" si="6"/>
        <v>5.1493043478260869</v>
      </c>
      <c r="AK50" s="22">
        <f t="shared" si="7"/>
        <v>401.07272727272726</v>
      </c>
      <c r="AL50" s="21">
        <f t="shared" si="8"/>
        <v>2065.245538339921</v>
      </c>
      <c r="AN50" s="16">
        <f t="shared" si="15"/>
        <v>45627</v>
      </c>
      <c r="AO50" s="19">
        <f t="shared" si="9"/>
        <v>41.023333333333333</v>
      </c>
      <c r="AP50" s="17">
        <f t="shared" si="10"/>
        <v>3.0767500000000001</v>
      </c>
      <c r="AQ50" s="17">
        <f t="shared" si="16"/>
        <v>2.223090476190476</v>
      </c>
      <c r="AR50" s="18">
        <f t="shared" si="12"/>
        <v>0.85365952380952415</v>
      </c>
    </row>
    <row r="51" spans="1:44" x14ac:dyDescent="0.3">
      <c r="A51" s="13" t="s">
        <v>25</v>
      </c>
      <c r="B51" s="13" t="s">
        <v>12</v>
      </c>
      <c r="X51" s="16">
        <f t="shared" si="13"/>
        <v>45658</v>
      </c>
      <c r="Y51" s="19">
        <f t="shared" si="21"/>
        <v>78.349090909090918</v>
      </c>
      <c r="Z51" s="17">
        <f t="shared" si="17"/>
        <v>2.4722952380952385</v>
      </c>
      <c r="AA51" s="17"/>
      <c r="AB51" s="17">
        <f t="shared" si="18"/>
        <v>6.0178565217391302</v>
      </c>
      <c r="AC51" s="18">
        <f t="shared" si="19"/>
        <v>3.930331991048797</v>
      </c>
      <c r="AE51" s="22">
        <f t="shared" si="22"/>
        <v>301.75714285714287</v>
      </c>
      <c r="AF51" s="23">
        <f t="shared" si="20"/>
        <v>1815.9311901242236</v>
      </c>
      <c r="AI51" s="16">
        <f t="shared" si="14"/>
        <v>44197</v>
      </c>
      <c r="AJ51" s="19">
        <f t="shared" si="6"/>
        <v>5.3532904761904758</v>
      </c>
      <c r="AK51" s="22">
        <f t="shared" si="7"/>
        <v>442.93157894736834</v>
      </c>
      <c r="AL51" s="21">
        <f t="shared" si="8"/>
        <v>2371.1414031829568</v>
      </c>
      <c r="AN51" s="16">
        <f t="shared" si="15"/>
        <v>45658</v>
      </c>
      <c r="AO51" s="19">
        <f t="shared" si="9"/>
        <v>43.946190476190473</v>
      </c>
      <c r="AP51" s="17">
        <f t="shared" si="10"/>
        <v>3.2959642857142852</v>
      </c>
      <c r="AQ51" s="17">
        <f t="shared" si="16"/>
        <v>2.4722952380952385</v>
      </c>
      <c r="AR51" s="18">
        <f t="shared" si="12"/>
        <v>0.82366904761904669</v>
      </c>
    </row>
    <row r="52" spans="1:44" x14ac:dyDescent="0.3">
      <c r="A52" s="13" t="s">
        <v>10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 t="s">
        <v>11</v>
      </c>
      <c r="X52" s="16">
        <f t="shared" si="13"/>
        <v>45689</v>
      </c>
      <c r="Y52" s="19">
        <f t="shared" si="21"/>
        <v>74.954499999999996</v>
      </c>
      <c r="Z52" s="17">
        <f t="shared" si="17"/>
        <v>2.4309421052631577</v>
      </c>
      <c r="AA52" s="17"/>
      <c r="AB52" s="17">
        <f t="shared" si="18"/>
        <v>5.7658850000000008</v>
      </c>
      <c r="AC52" s="18">
        <f t="shared" si="19"/>
        <v>3.7027779343863054</v>
      </c>
      <c r="AE52" s="22">
        <f t="shared" si="22"/>
        <v>297.60526315789463</v>
      </c>
      <c r="AF52" s="23">
        <f t="shared" si="20"/>
        <v>1715.9577227631576</v>
      </c>
      <c r="AI52" s="16">
        <f t="shared" si="14"/>
        <v>44228</v>
      </c>
      <c r="AJ52" s="19">
        <f t="shared" si="6"/>
        <v>5.4109099999999994</v>
      </c>
      <c r="AK52" s="22">
        <f t="shared" si="7"/>
        <v>428.77894736842109</v>
      </c>
      <c r="AL52" s="21">
        <f t="shared" si="8"/>
        <v>2320.0842941052633</v>
      </c>
      <c r="AN52" s="16">
        <f t="shared" si="15"/>
        <v>45689</v>
      </c>
      <c r="AO52" s="19">
        <f t="shared" si="9"/>
        <v>45.823157894736845</v>
      </c>
      <c r="AP52" s="17">
        <f t="shared" si="10"/>
        <v>3.4367368421052635</v>
      </c>
      <c r="AQ52" s="17">
        <f t="shared" si="16"/>
        <v>2.4309421052631577</v>
      </c>
      <c r="AR52" s="18">
        <f t="shared" si="12"/>
        <v>1.0057947368421059</v>
      </c>
    </row>
    <row r="53" spans="1:44" x14ac:dyDescent="0.3">
      <c r="A53" s="14">
        <v>2015</v>
      </c>
      <c r="B53" s="21">
        <v>343.86</v>
      </c>
      <c r="C53" s="21">
        <v>339.51578947368415</v>
      </c>
      <c r="D53" s="21">
        <v>330.99545454545455</v>
      </c>
      <c r="E53" s="21">
        <v>317.70909090909095</v>
      </c>
      <c r="F53" s="21">
        <v>308.87</v>
      </c>
      <c r="G53" s="21">
        <v>321.0545454545454</v>
      </c>
      <c r="H53" s="21">
        <v>358.01363636363635</v>
      </c>
      <c r="I53" s="21">
        <v>336.02857142857147</v>
      </c>
      <c r="J53" s="21">
        <v>311.12380952380948</v>
      </c>
      <c r="K53" s="21">
        <v>306.82272727272732</v>
      </c>
      <c r="L53" s="21">
        <v>290.61</v>
      </c>
      <c r="M53" s="21">
        <v>275.65909090909093</v>
      </c>
      <c r="N53" s="21">
        <v>319.89486166007907</v>
      </c>
      <c r="X53" s="16">
        <f t="shared" si="13"/>
        <v>45717</v>
      </c>
      <c r="Y53" s="19">
        <f t="shared" si="21"/>
        <v>71.467142857142861</v>
      </c>
      <c r="Z53" s="17">
        <f t="shared" si="17"/>
        <v>2.236447619047619</v>
      </c>
      <c r="AA53" s="17"/>
      <c r="AB53" s="17">
        <f t="shared" si="18"/>
        <v>5.7563428571428572</v>
      </c>
      <c r="AC53" s="18">
        <f t="shared" si="19"/>
        <v>3.4008890126245004</v>
      </c>
      <c r="AE53" s="22">
        <f t="shared" si="22"/>
        <v>295.66666666666669</v>
      </c>
      <c r="AF53" s="23">
        <f t="shared" si="20"/>
        <v>1701.958704761905</v>
      </c>
      <c r="AI53" s="16">
        <f t="shared" si="14"/>
        <v>44256</v>
      </c>
      <c r="AJ53" s="19">
        <f t="shared" si="6"/>
        <v>5.6455260869565214</v>
      </c>
      <c r="AK53" s="22">
        <f t="shared" si="7"/>
        <v>408.55217391304353</v>
      </c>
      <c r="AL53" s="21">
        <f t="shared" si="8"/>
        <v>2306.4919557088847</v>
      </c>
      <c r="AN53" s="16">
        <f t="shared" si="15"/>
        <v>45717</v>
      </c>
      <c r="AO53" s="19">
        <f t="shared" si="9"/>
        <v>42.490952380952372</v>
      </c>
      <c r="AP53" s="17">
        <f t="shared" si="10"/>
        <v>3.1868214285714278</v>
      </c>
      <c r="AQ53" s="17">
        <f t="shared" si="16"/>
        <v>2.236447619047619</v>
      </c>
      <c r="AR53" s="18">
        <f t="shared" si="12"/>
        <v>0.95037380952380879</v>
      </c>
    </row>
    <row r="54" spans="1:44" x14ac:dyDescent="0.3">
      <c r="A54" s="14">
        <v>2016</v>
      </c>
      <c r="B54" s="21">
        <v>269.59473684210525</v>
      </c>
      <c r="C54" s="21">
        <v>264.32500000000005</v>
      </c>
      <c r="D54" s="21">
        <v>268.69090909090909</v>
      </c>
      <c r="E54" s="21">
        <v>297.28571428571428</v>
      </c>
      <c r="F54" s="21">
        <v>369.67619047619041</v>
      </c>
      <c r="G54" s="21">
        <v>402.25909090909096</v>
      </c>
      <c r="H54" s="21">
        <v>365.84999999999997</v>
      </c>
      <c r="I54" s="21">
        <v>330.65217391304338</v>
      </c>
      <c r="J54" s="21">
        <v>310.48095238095237</v>
      </c>
      <c r="K54" s="21">
        <v>305.83333333333343</v>
      </c>
      <c r="L54" s="21">
        <v>313.61428571428559</v>
      </c>
      <c r="M54" s="21">
        <v>313.73809523809513</v>
      </c>
      <c r="N54" s="21">
        <v>318.31309523809495</v>
      </c>
      <c r="X54" s="16">
        <f t="shared" si="13"/>
        <v>45748</v>
      </c>
      <c r="Y54" s="19">
        <f t="shared" si="21"/>
        <v>66.456666666666678</v>
      </c>
      <c r="Z54" s="17">
        <f t="shared" si="17"/>
        <v>2.1285571428571424</v>
      </c>
      <c r="AA54" s="17"/>
      <c r="AB54" s="17">
        <f t="shared" si="18"/>
        <v>5.7766363636363645</v>
      </c>
      <c r="AC54" s="18">
        <f t="shared" si="19"/>
        <v>3.2482348262160481</v>
      </c>
      <c r="AE54" s="22">
        <f t="shared" si="22"/>
        <v>291.78095238095239</v>
      </c>
      <c r="AF54" s="23">
        <f t="shared" si="20"/>
        <v>1685.5124597402601</v>
      </c>
      <c r="AI54" s="16">
        <f t="shared" si="14"/>
        <v>44287</v>
      </c>
      <c r="AJ54" s="19">
        <f t="shared" si="6"/>
        <v>5.5659000000000001</v>
      </c>
      <c r="AK54" s="22">
        <f t="shared" si="7"/>
        <v>411.33333333333331</v>
      </c>
      <c r="AL54" s="21">
        <f t="shared" si="8"/>
        <v>2289.4402</v>
      </c>
      <c r="AN54" s="16">
        <f t="shared" si="15"/>
        <v>45748</v>
      </c>
      <c r="AO54" s="19">
        <f t="shared" si="9"/>
        <v>47.493809523809531</v>
      </c>
      <c r="AP54" s="17">
        <f t="shared" si="10"/>
        <v>3.5620357142857149</v>
      </c>
      <c r="AQ54" s="17">
        <f t="shared" si="16"/>
        <v>2.1285571428571424</v>
      </c>
      <c r="AR54" s="18">
        <f t="shared" si="12"/>
        <v>1.4334785714285725</v>
      </c>
    </row>
    <row r="55" spans="1:44" x14ac:dyDescent="0.3">
      <c r="A55" s="14">
        <v>2017</v>
      </c>
      <c r="B55" s="21">
        <v>330.85499999999996</v>
      </c>
      <c r="C55" s="21">
        <v>336.90526315789475</v>
      </c>
      <c r="D55" s="21">
        <v>323.76086956521743</v>
      </c>
      <c r="E55" s="21">
        <v>310.83157894736848</v>
      </c>
      <c r="F55" s="21">
        <v>309.38181818181823</v>
      </c>
      <c r="G55" s="21">
        <v>299.71818181818185</v>
      </c>
      <c r="H55" s="21">
        <v>324.08</v>
      </c>
      <c r="I55" s="21">
        <v>299.00000000000006</v>
      </c>
      <c r="J55" s="21">
        <v>305.20999999999998</v>
      </c>
      <c r="K55" s="21">
        <v>315.17272727272729</v>
      </c>
      <c r="L55" s="21">
        <v>317.42857142857144</v>
      </c>
      <c r="M55" s="21">
        <v>322.7399999999999</v>
      </c>
      <c r="N55" s="21">
        <v>315.88924302788865</v>
      </c>
      <c r="X55" s="16">
        <f t="shared" si="13"/>
        <v>45778</v>
      </c>
      <c r="Y55" s="19">
        <f t="shared" si="21"/>
        <v>64.005454545454555</v>
      </c>
      <c r="Z55" s="17">
        <f t="shared" si="17"/>
        <v>2.0817857142857141</v>
      </c>
      <c r="AA55" s="17"/>
      <c r="AB55" s="17">
        <f t="shared" si="18"/>
        <v>5.6712818181818179</v>
      </c>
      <c r="AC55" s="18">
        <f t="shared" si="19"/>
        <v>3.1189206640176943</v>
      </c>
      <c r="AE55" s="22">
        <f t="shared" si="22"/>
        <v>291.44761904761907</v>
      </c>
      <c r="AF55" s="23">
        <f t="shared" si="20"/>
        <v>1652.8815828571428</v>
      </c>
      <c r="AI55" s="16">
        <f t="shared" si="14"/>
        <v>44317</v>
      </c>
      <c r="AJ55" s="19">
        <f t="shared" si="6"/>
        <v>5.2959761904761899</v>
      </c>
      <c r="AK55" s="22">
        <f t="shared" si="7"/>
        <v>415.55</v>
      </c>
      <c r="AL55" s="21">
        <f t="shared" si="8"/>
        <v>2200.7429059523806</v>
      </c>
      <c r="AN55" s="16">
        <f t="shared" si="15"/>
        <v>45778</v>
      </c>
      <c r="AO55" s="19">
        <f t="shared" si="9"/>
        <v>49.018571428571434</v>
      </c>
      <c r="AP55" s="17">
        <f t="shared" si="10"/>
        <v>3.6763928571428575</v>
      </c>
      <c r="AQ55" s="17">
        <f t="shared" si="16"/>
        <v>2.0817857142857141</v>
      </c>
      <c r="AR55" s="18">
        <f t="shared" si="12"/>
        <v>1.5946071428571433</v>
      </c>
    </row>
    <row r="56" spans="1:44" x14ac:dyDescent="0.3">
      <c r="A56" s="14">
        <v>2018</v>
      </c>
      <c r="B56" s="21">
        <v>325.95238095238091</v>
      </c>
      <c r="C56" s="21">
        <v>360.51052631578949</v>
      </c>
      <c r="D56" s="21">
        <v>375.15238095238095</v>
      </c>
      <c r="E56" s="21">
        <v>380.78095238095239</v>
      </c>
      <c r="F56" s="21">
        <v>384.50454545454539</v>
      </c>
      <c r="G56" s="21">
        <v>345.94761904761901</v>
      </c>
      <c r="H56" s="21">
        <v>331.24285714285713</v>
      </c>
      <c r="I56" s="21">
        <v>323.0826086956522</v>
      </c>
      <c r="J56" s="21">
        <v>308.59999999999997</v>
      </c>
      <c r="K56" s="21">
        <v>312.23478260869564</v>
      </c>
      <c r="L56" s="21">
        <v>307.31428571428575</v>
      </c>
      <c r="M56" s="21">
        <v>308.63499999999999</v>
      </c>
      <c r="N56" s="21">
        <v>338.69603174603151</v>
      </c>
      <c r="X56" s="16">
        <f t="shared" si="13"/>
        <v>45809</v>
      </c>
      <c r="Y56" s="19">
        <f t="shared" si="21"/>
        <v>69.802380952380943</v>
      </c>
      <c r="Z56" s="17">
        <f t="shared" si="17"/>
        <v>2.2703149999999996</v>
      </c>
      <c r="AA56" s="17"/>
      <c r="AB56" s="17">
        <f t="shared" si="18"/>
        <v>5.5382095238095248</v>
      </c>
      <c r="AC56" s="18">
        <f t="shared" si="19"/>
        <v>3.3215636232396539</v>
      </c>
      <c r="AE56" s="22">
        <f t="shared" si="22"/>
        <v>287.01499999999999</v>
      </c>
      <c r="AF56" s="23">
        <f t="shared" si="20"/>
        <v>1589.5492064761906</v>
      </c>
      <c r="AI56" s="16">
        <f t="shared" si="14"/>
        <v>44348</v>
      </c>
      <c r="AJ56" s="19">
        <f t="shared" si="6"/>
        <v>5.025095454545454</v>
      </c>
      <c r="AK56" s="22">
        <f t="shared" si="7"/>
        <v>374</v>
      </c>
      <c r="AL56" s="21">
        <f t="shared" si="8"/>
        <v>1879.3856999999998</v>
      </c>
      <c r="AN56" s="16">
        <f t="shared" si="15"/>
        <v>45809</v>
      </c>
      <c r="AO56" s="19">
        <f t="shared" si="9"/>
        <v>50.465499999999999</v>
      </c>
      <c r="AP56" s="17">
        <f t="shared" si="10"/>
        <v>3.7849124999999999</v>
      </c>
      <c r="AQ56" s="17">
        <f t="shared" si="16"/>
        <v>2.2703149999999996</v>
      </c>
      <c r="AR56" s="18">
        <f t="shared" si="12"/>
        <v>1.5145975000000003</v>
      </c>
    </row>
    <row r="57" spans="1:44" x14ac:dyDescent="0.3">
      <c r="A57" s="14">
        <v>2019</v>
      </c>
      <c r="B57" s="21">
        <v>312.73333333333335</v>
      </c>
      <c r="C57" s="21">
        <v>306.66842105263163</v>
      </c>
      <c r="D57" s="21">
        <v>306.28095238095244</v>
      </c>
      <c r="E57" s="21">
        <v>305.8095238095238</v>
      </c>
      <c r="F57" s="21">
        <v>298.33636363636367</v>
      </c>
      <c r="G57" s="21">
        <v>317.68499999999995</v>
      </c>
      <c r="H57" s="21">
        <v>306.39545454545458</v>
      </c>
      <c r="I57" s="21">
        <v>293.34545454545452</v>
      </c>
      <c r="J57" s="21">
        <v>292.26499999999993</v>
      </c>
      <c r="K57" s="21">
        <v>304.21304347826089</v>
      </c>
      <c r="L57" s="21">
        <v>300.81499999999994</v>
      </c>
      <c r="M57" s="21">
        <v>297.55238095238099</v>
      </c>
      <c r="N57" s="21">
        <v>303.43849206349205</v>
      </c>
      <c r="X57" s="16">
        <f t="shared" si="13"/>
        <v>45839</v>
      </c>
      <c r="Y57" s="19">
        <f t="shared" si="21"/>
        <v>69.553478260869554</v>
      </c>
      <c r="Z57" s="17">
        <f t="shared" si="17"/>
        <v>2.4205681818181821</v>
      </c>
      <c r="AA57" s="17"/>
      <c r="AB57" s="17">
        <f t="shared" si="18"/>
        <v>5.5310000000000006</v>
      </c>
      <c r="AC57" s="18">
        <f t="shared" si="19"/>
        <v>3.5367800617730616</v>
      </c>
      <c r="AE57" s="22">
        <f t="shared" si="22"/>
        <v>268.08181818181816</v>
      </c>
      <c r="AF57" s="23">
        <f t="shared" si="20"/>
        <v>1482.7605363636364</v>
      </c>
      <c r="AI57" s="16">
        <f t="shared" si="14"/>
        <v>44378</v>
      </c>
      <c r="AJ57" s="19">
        <f t="shared" si="6"/>
        <v>5.1629909090909099</v>
      </c>
      <c r="AK57" s="22">
        <f t="shared" si="7"/>
        <v>360.65238095238095</v>
      </c>
      <c r="AL57" s="21">
        <f t="shared" si="8"/>
        <v>1862.0449641991345</v>
      </c>
      <c r="AN57" s="16">
        <f t="shared" si="15"/>
        <v>45839</v>
      </c>
      <c r="AO57" s="19">
        <f t="shared" si="9"/>
        <v>55.278636363636366</v>
      </c>
      <c r="AP57" s="17">
        <f t="shared" si="10"/>
        <v>4.145897727272728</v>
      </c>
      <c r="AQ57" s="17">
        <f t="shared" si="16"/>
        <v>2.4205681818181821</v>
      </c>
      <c r="AR57" s="18">
        <f t="shared" si="12"/>
        <v>1.7253295454545459</v>
      </c>
    </row>
    <row r="58" spans="1:44" x14ac:dyDescent="0.3">
      <c r="A58" s="14">
        <v>2020</v>
      </c>
      <c r="B58" s="21">
        <v>297.53809523809514</v>
      </c>
      <c r="C58" s="21">
        <v>290.88421052631577</v>
      </c>
      <c r="D58" s="21">
        <v>309.76363636363635</v>
      </c>
      <c r="E58" s="21">
        <v>291.94761904761901</v>
      </c>
      <c r="F58" s="21">
        <v>284.84500000000003</v>
      </c>
      <c r="G58" s="21">
        <v>286.76363636363641</v>
      </c>
      <c r="H58" s="21">
        <v>289.45000000000005</v>
      </c>
      <c r="I58" s="21">
        <v>289.89</v>
      </c>
      <c r="J58" s="21">
        <v>322.37619047619052</v>
      </c>
      <c r="K58" s="21">
        <v>367.60454545454547</v>
      </c>
      <c r="L58" s="21">
        <v>390.30500000000001</v>
      </c>
      <c r="M58" s="21">
        <v>401.07272727272726</v>
      </c>
      <c r="N58" s="21">
        <v>318.96468253968249</v>
      </c>
      <c r="X58" s="16">
        <f t="shared" si="13"/>
        <v>45870</v>
      </c>
      <c r="Y58" s="19">
        <f t="shared" si="21"/>
        <v>67.261428571428596</v>
      </c>
      <c r="Z58" s="17">
        <f t="shared" si="17"/>
        <v>2.277047619047619</v>
      </c>
      <c r="AA58" s="17"/>
      <c r="AB58" s="17">
        <f t="shared" si="18"/>
        <v>5.4441619047619056</v>
      </c>
      <c r="AC58" s="18">
        <f t="shared" si="19"/>
        <v>3.2748410087540969</v>
      </c>
      <c r="AE58" s="22">
        <f t="shared" si="22"/>
        <v>283.10952380952381</v>
      </c>
      <c r="AF58" s="23">
        <f t="shared" si="20"/>
        <v>1541.2940843990932</v>
      </c>
      <c r="AI58" s="16">
        <f t="shared" si="14"/>
        <v>44409</v>
      </c>
      <c r="AJ58" s="19">
        <f t="shared" si="6"/>
        <v>5.2503181818181819</v>
      </c>
      <c r="AK58" s="22">
        <f t="shared" si="7"/>
        <v>354.68181818181819</v>
      </c>
      <c r="AL58" s="21">
        <f t="shared" si="8"/>
        <v>1862.1923987603307</v>
      </c>
      <c r="AN58" s="16">
        <f t="shared" si="15"/>
        <v>45870</v>
      </c>
      <c r="AO58" s="19">
        <f t="shared" si="9"/>
        <v>53.126190476190473</v>
      </c>
      <c r="AP58" s="17">
        <f t="shared" si="10"/>
        <v>3.9844642857142856</v>
      </c>
      <c r="AQ58" s="17">
        <f t="shared" si="16"/>
        <v>2.277047619047619</v>
      </c>
      <c r="AR58" s="18">
        <f t="shared" si="12"/>
        <v>1.7074166666666666</v>
      </c>
    </row>
    <row r="59" spans="1:44" x14ac:dyDescent="0.3">
      <c r="A59" s="14">
        <v>2021</v>
      </c>
      <c r="B59" s="21">
        <v>442.93157894736834</v>
      </c>
      <c r="C59" s="21">
        <v>428.77894736842109</v>
      </c>
      <c r="D59" s="21">
        <v>408.55217391304353</v>
      </c>
      <c r="E59" s="21">
        <v>411.33333333333331</v>
      </c>
      <c r="F59" s="21">
        <v>415.55</v>
      </c>
      <c r="G59" s="21">
        <v>374</v>
      </c>
      <c r="H59" s="21">
        <v>360.65238095238095</v>
      </c>
      <c r="I59" s="21">
        <v>354.68181818181819</v>
      </c>
      <c r="J59" s="21">
        <v>338.07142857142856</v>
      </c>
      <c r="K59" s="21">
        <v>322.39047619047619</v>
      </c>
      <c r="L59" s="21">
        <v>352.26190476190476</v>
      </c>
      <c r="M59" s="21">
        <v>385.73181818181814</v>
      </c>
      <c r="N59" s="21">
        <v>382.00873015873009</v>
      </c>
      <c r="X59" s="16">
        <f t="shared" si="13"/>
        <v>45901</v>
      </c>
      <c r="Y59" s="19">
        <f t="shared" si="21"/>
        <v>67.575909090909107</v>
      </c>
      <c r="Z59" s="17">
        <f t="shared" si="17"/>
        <v>2.3405095238095237</v>
      </c>
      <c r="AA59" s="17"/>
      <c r="AB59" s="17">
        <f t="shared" si="18"/>
        <v>5.3672136363636369</v>
      </c>
      <c r="AC59" s="18">
        <f t="shared" si="19"/>
        <v>3.3185347511179604</v>
      </c>
      <c r="AE59" s="22">
        <f t="shared" si="22"/>
        <v>279.44761904761901</v>
      </c>
      <c r="AF59" s="23">
        <f t="shared" si="20"/>
        <v>1499.8550716017317</v>
      </c>
      <c r="AI59" s="16">
        <f t="shared" si="14"/>
        <v>44440</v>
      </c>
      <c r="AJ59" s="19">
        <f t="shared" si="6"/>
        <v>5.2762772727272722</v>
      </c>
      <c r="AK59" s="22">
        <f t="shared" si="7"/>
        <v>338.07142857142856</v>
      </c>
      <c r="AL59" s="21">
        <f t="shared" si="8"/>
        <v>1783.7585951298699</v>
      </c>
      <c r="AN59" s="16">
        <f t="shared" si="15"/>
        <v>45901</v>
      </c>
      <c r="AO59" s="19">
        <f t="shared" si="9"/>
        <v>50.437619047619052</v>
      </c>
      <c r="AP59" s="17">
        <f t="shared" si="10"/>
        <v>3.7828214285714292</v>
      </c>
      <c r="AQ59" s="17">
        <f t="shared" si="16"/>
        <v>2.3405095238095237</v>
      </c>
      <c r="AR59" s="18">
        <f t="shared" si="12"/>
        <v>1.4423119047619055</v>
      </c>
    </row>
    <row r="60" spans="1:44" x14ac:dyDescent="0.3">
      <c r="A60" s="14">
        <v>2022</v>
      </c>
      <c r="B60" s="21">
        <v>414.36</v>
      </c>
      <c r="C60" s="21">
        <v>450.42631578947368</v>
      </c>
      <c r="D60" s="21">
        <v>480.08260869565225</v>
      </c>
      <c r="E60" s="21">
        <v>457.96000000000004</v>
      </c>
      <c r="F60" s="21">
        <v>420.33333333333331</v>
      </c>
      <c r="G60" s="21">
        <v>428.45238095238102</v>
      </c>
      <c r="H60" s="21">
        <v>463.53000000000003</v>
      </c>
      <c r="I60" s="21">
        <v>478.18695652173926</v>
      </c>
      <c r="J60" s="21">
        <v>438.90952380952382</v>
      </c>
      <c r="K60" s="21">
        <v>411.47142857142853</v>
      </c>
      <c r="L60" s="21">
        <v>412.77619047619044</v>
      </c>
      <c r="M60" s="21">
        <v>453.70952380952377</v>
      </c>
      <c r="N60" s="21">
        <v>443.00398406374507</v>
      </c>
      <c r="X60" s="16">
        <f t="shared" si="13"/>
        <v>45931</v>
      </c>
      <c r="Y60" s="19">
        <f t="shared" si="21"/>
        <v>63.953913043478252</v>
      </c>
      <c r="Z60" s="17">
        <f t="shared" si="17"/>
        <v>2.2876217391304343</v>
      </c>
      <c r="AA60" s="17"/>
      <c r="AB60" s="17">
        <f t="shared" si="18"/>
        <v>5.3882608695652179</v>
      </c>
      <c r="AC60" s="18">
        <f t="shared" si="19"/>
        <v>3.2562662172190726</v>
      </c>
      <c r="AE60" s="22">
        <f t="shared" si="22"/>
        <v>283.41304347826087</v>
      </c>
      <c r="AF60" s="23">
        <f t="shared" si="20"/>
        <v>1527.1034120982988</v>
      </c>
      <c r="AI60" s="16">
        <f t="shared" si="14"/>
        <v>44470</v>
      </c>
      <c r="AJ60" s="19">
        <f t="shared" si="6"/>
        <v>5.5385380952380956</v>
      </c>
      <c r="AK60" s="22">
        <f t="shared" si="7"/>
        <v>322.39047619047619</v>
      </c>
      <c r="AL60" s="21">
        <f t="shared" si="8"/>
        <v>1785.5719339229026</v>
      </c>
      <c r="AN60" s="16">
        <f t="shared" si="15"/>
        <v>45931</v>
      </c>
      <c r="AO60" s="19">
        <f t="shared" si="9"/>
        <v>50.239999999999988</v>
      </c>
      <c r="AP60" s="17">
        <f t="shared" si="10"/>
        <v>3.7679999999999989</v>
      </c>
      <c r="AQ60" s="17">
        <f t="shared" si="16"/>
        <v>2.2876217391304343</v>
      </c>
      <c r="AR60" s="18">
        <f t="shared" si="12"/>
        <v>1.4803782608695646</v>
      </c>
    </row>
    <row r="61" spans="1:44" x14ac:dyDescent="0.3">
      <c r="A61" s="14">
        <v>2023</v>
      </c>
      <c r="B61" s="21">
        <v>484.23</v>
      </c>
      <c r="C61" s="21">
        <v>492.92631578947362</v>
      </c>
      <c r="D61" s="21">
        <v>475.32173913043471</v>
      </c>
      <c r="E61" s="21">
        <v>450.72500000000008</v>
      </c>
      <c r="F61" s="21">
        <v>417.0954545454544</v>
      </c>
      <c r="G61" s="21">
        <v>406.28571428571422</v>
      </c>
      <c r="H61" s="21">
        <v>435.97500000000008</v>
      </c>
      <c r="I61" s="21">
        <v>426.55652173913046</v>
      </c>
      <c r="J61" s="21">
        <v>397.94999999999993</v>
      </c>
      <c r="K61" s="21">
        <v>399.86818181818194</v>
      </c>
      <c r="L61" s="21">
        <v>452.15238095238089</v>
      </c>
      <c r="M61" s="21">
        <v>412.70500000000004</v>
      </c>
      <c r="N61" s="21">
        <v>437.21474103585655</v>
      </c>
      <c r="X61" s="16">
        <f t="shared" si="13"/>
        <v>45962</v>
      </c>
      <c r="Y61" s="19">
        <f t="shared" si="21"/>
        <v>63.662500000000009</v>
      </c>
      <c r="Z61" s="17">
        <f t="shared" si="17"/>
        <v>2.4797894736842103</v>
      </c>
      <c r="AA61" s="17"/>
      <c r="AB61" s="17">
        <f t="shared" si="18"/>
        <v>5.3377549999999996</v>
      </c>
      <c r="AC61" s="18">
        <f t="shared" si="19"/>
        <v>3.496717307267974</v>
      </c>
      <c r="AE61" s="22">
        <f t="shared" si="22"/>
        <v>319.47894736842107</v>
      </c>
      <c r="AF61" s="23">
        <f t="shared" si="20"/>
        <v>1705.3003487105264</v>
      </c>
      <c r="AI61" s="16">
        <f t="shared" si="14"/>
        <v>44501</v>
      </c>
      <c r="AJ61" s="19">
        <f t="shared" si="6"/>
        <v>5.5571409090909087</v>
      </c>
      <c r="AK61" s="22">
        <f t="shared" si="7"/>
        <v>352.26190476190476</v>
      </c>
      <c r="AL61" s="21">
        <f t="shared" si="8"/>
        <v>1957.5690416666666</v>
      </c>
      <c r="AN61" s="16">
        <f t="shared" si="15"/>
        <v>45962</v>
      </c>
      <c r="AO61" s="19">
        <f t="shared" si="9"/>
        <v>50.485789473684207</v>
      </c>
      <c r="AP61" s="17">
        <f t="shared" si="10"/>
        <v>3.7864342105263153</v>
      </c>
      <c r="AQ61" s="17">
        <f t="shared" si="16"/>
        <v>2.4797894736842103</v>
      </c>
      <c r="AR61" s="18">
        <f t="shared" si="12"/>
        <v>1.306644736842105</v>
      </c>
    </row>
    <row r="62" spans="1:44" x14ac:dyDescent="0.3">
      <c r="A62" s="14">
        <v>2024</v>
      </c>
      <c r="B62" s="21">
        <v>363.73333333333335</v>
      </c>
      <c r="C62" s="21">
        <v>344.42000000000007</v>
      </c>
      <c r="D62" s="21">
        <v>336.81</v>
      </c>
      <c r="E62" s="21">
        <v>338.59090909090907</v>
      </c>
      <c r="F62" s="21">
        <v>369.53636363636366</v>
      </c>
      <c r="G62" s="21">
        <v>362.45789473684215</v>
      </c>
      <c r="H62" s="21">
        <v>356.83181818181811</v>
      </c>
      <c r="I62" s="21">
        <v>322.4818181818182</v>
      </c>
      <c r="J62" s="21">
        <v>321.89500000000004</v>
      </c>
      <c r="K62" s="21">
        <v>317.83478260869566</v>
      </c>
      <c r="L62" s="21">
        <v>292.41500000000002</v>
      </c>
      <c r="M62" s="21">
        <v>290.16666666666663</v>
      </c>
      <c r="N62" s="21">
        <v>334.77500000000026</v>
      </c>
      <c r="X62" s="16">
        <f t="shared" si="13"/>
        <v>45992</v>
      </c>
      <c r="Y62" s="19">
        <f t="shared" si="21"/>
        <v>61.628636363636367</v>
      </c>
      <c r="Z62" s="17">
        <f t="shared" si="17"/>
        <v>2.2092000000000001</v>
      </c>
      <c r="AA62" s="17"/>
      <c r="AB62" s="17">
        <f t="shared" si="18"/>
        <v>5.4620304347826076</v>
      </c>
      <c r="AC62" s="18">
        <f t="shared" si="19"/>
        <v>3.1876910655706348</v>
      </c>
      <c r="AE62" s="22">
        <f t="shared" si="22"/>
        <v>301.7681818181818</v>
      </c>
      <c r="AF62" s="23">
        <f t="shared" si="20"/>
        <v>1648.2669933399206</v>
      </c>
      <c r="AI62" s="16">
        <f t="shared" si="14"/>
        <v>44531</v>
      </c>
      <c r="AJ62" s="19">
        <f t="shared" si="6"/>
        <v>5.6534956521739135</v>
      </c>
      <c r="AK62" s="22">
        <f t="shared" si="7"/>
        <v>385.73181818181814</v>
      </c>
      <c r="AL62" s="21">
        <f t="shared" si="8"/>
        <v>2180.7331569960475</v>
      </c>
      <c r="AN62" s="16">
        <f t="shared" si="15"/>
        <v>45992</v>
      </c>
      <c r="AO62" s="19">
        <f t="shared" si="9"/>
        <v>49.733181818181812</v>
      </c>
      <c r="AP62" s="17">
        <f t="shared" si="10"/>
        <v>3.7299886363636356</v>
      </c>
      <c r="AQ62" s="17">
        <f t="shared" si="16"/>
        <v>2.2092000000000001</v>
      </c>
      <c r="AR62" s="18">
        <f t="shared" si="12"/>
        <v>1.5207886363636356</v>
      </c>
    </row>
    <row r="63" spans="1:44" x14ac:dyDescent="0.3">
      <c r="A63" s="14">
        <v>2025</v>
      </c>
      <c r="B63" s="21">
        <v>301.75714285714287</v>
      </c>
      <c r="C63" s="21">
        <v>297.60526315789463</v>
      </c>
      <c r="D63" s="21">
        <v>295.66666666666669</v>
      </c>
      <c r="E63" s="21">
        <v>291.78095238095239</v>
      </c>
      <c r="F63" s="21">
        <v>291.44761904761907</v>
      </c>
      <c r="G63" s="21">
        <v>287.01499999999999</v>
      </c>
      <c r="H63" s="21">
        <v>268.08181818181816</v>
      </c>
      <c r="I63" s="21">
        <v>283.10952380952381</v>
      </c>
      <c r="J63" s="21">
        <v>279.44761904761901</v>
      </c>
      <c r="K63" s="21">
        <v>283.41304347826087</v>
      </c>
      <c r="L63" s="21">
        <v>319.47894736842107</v>
      </c>
      <c r="M63" s="21">
        <v>301.7681818181818</v>
      </c>
      <c r="N63" s="21">
        <v>291.34462151394416</v>
      </c>
      <c r="X63" s="16">
        <f t="shared" si="13"/>
        <v>46023</v>
      </c>
      <c r="Y63" s="19">
        <f t="shared" si="21"/>
        <v>64.726190476190482</v>
      </c>
      <c r="Z63" s="17">
        <f t="shared" si="17"/>
        <v>2.3269150000000001</v>
      </c>
      <c r="AA63" s="17"/>
      <c r="AB63" s="17">
        <f t="shared" si="18"/>
        <v>5.3385136363636372</v>
      </c>
      <c r="AC63" s="18">
        <f t="shared" si="19"/>
        <v>3.2816174359340446</v>
      </c>
      <c r="AE63" s="22">
        <f t="shared" si="22"/>
        <v>294.23499999999996</v>
      </c>
      <c r="AF63" s="23">
        <f t="shared" si="20"/>
        <v>1570.7775597954546</v>
      </c>
      <c r="AI63" s="16">
        <f t="shared" si="14"/>
        <v>44562</v>
      </c>
      <c r="AJ63" s="19">
        <f t="shared" si="6"/>
        <v>5.5264571428571418</v>
      </c>
      <c r="AK63" s="22">
        <f t="shared" si="7"/>
        <v>414.36</v>
      </c>
      <c r="AL63" s="21">
        <f t="shared" si="8"/>
        <v>2289.9427817142855</v>
      </c>
      <c r="AN63" s="16">
        <f t="shared" si="15"/>
        <v>46023</v>
      </c>
      <c r="AO63" s="19">
        <f t="shared" si="9"/>
        <v>51.793999999999997</v>
      </c>
      <c r="AP63" s="17">
        <f t="shared" si="10"/>
        <v>3.8845499999999999</v>
      </c>
      <c r="AQ63" s="17">
        <f t="shared" si="16"/>
        <v>2.3269150000000001</v>
      </c>
      <c r="AR63" s="18">
        <f t="shared" si="12"/>
        <v>1.5576349999999999</v>
      </c>
    </row>
    <row r="64" spans="1:44" x14ac:dyDescent="0.3">
      <c r="A64" s="14">
        <v>2026</v>
      </c>
      <c r="B64" s="21">
        <v>294.23499999999996</v>
      </c>
      <c r="C64" s="21">
        <v>305.43157894736839</v>
      </c>
      <c r="D64" s="21">
        <v>316.54545454545456</v>
      </c>
      <c r="E64" s="21">
        <v>324.29090909090911</v>
      </c>
      <c r="F64" s="21">
        <v>321.70000000000005</v>
      </c>
      <c r="G64" s="21"/>
      <c r="H64" s="21"/>
      <c r="I64" s="21"/>
      <c r="J64" s="21"/>
      <c r="K64" s="21"/>
      <c r="L64" s="21"/>
      <c r="M64" s="21"/>
      <c r="N64" s="21">
        <v>310.93764705882336</v>
      </c>
      <c r="X64" s="16">
        <f t="shared" si="13"/>
        <v>46054</v>
      </c>
      <c r="Y64" s="19">
        <f t="shared" si="21"/>
        <v>69.368999999999986</v>
      </c>
      <c r="Z64" s="17">
        <f t="shared" si="17"/>
        <v>2.5007684210526318</v>
      </c>
      <c r="AA64" s="17"/>
      <c r="AB64" s="17">
        <f t="shared" si="18"/>
        <v>5.20059</v>
      </c>
      <c r="AC64" s="18">
        <f t="shared" si="19"/>
        <v>3.4356836492855742</v>
      </c>
      <c r="AE64" s="22">
        <f t="shared" si="22"/>
        <v>305.43157894736839</v>
      </c>
      <c r="AF64" s="23">
        <f t="shared" si="20"/>
        <v>1588.4244151578946</v>
      </c>
      <c r="AI64" s="16">
        <f t="shared" si="14"/>
        <v>44593</v>
      </c>
      <c r="AJ64" s="19">
        <f t="shared" si="6"/>
        <v>5.1918749999999987</v>
      </c>
      <c r="AK64" s="22">
        <f t="shared" si="7"/>
        <v>450.42631578947368</v>
      </c>
      <c r="AL64" s="21">
        <f t="shared" si="8"/>
        <v>2338.557128289473</v>
      </c>
      <c r="AN64" s="16">
        <f t="shared" si="15"/>
        <v>46054</v>
      </c>
      <c r="AO64" s="19">
        <f t="shared" si="9"/>
        <v>57.721052631578935</v>
      </c>
      <c r="AP64" s="17">
        <f t="shared" si="10"/>
        <v>4.3290789473684201</v>
      </c>
      <c r="AQ64" s="17">
        <f t="shared" si="16"/>
        <v>2.5007684210526318</v>
      </c>
      <c r="AR64" s="18">
        <f t="shared" si="12"/>
        <v>1.8283105263157884</v>
      </c>
    </row>
    <row r="65" spans="1:44" x14ac:dyDescent="0.3">
      <c r="A65" s="14" t="s">
        <v>11</v>
      </c>
      <c r="B65" s="21">
        <v>347.83868312757193</v>
      </c>
      <c r="C65" s="21">
        <v>351.12304347826085</v>
      </c>
      <c r="D65" s="21">
        <v>353.78212927756647</v>
      </c>
      <c r="E65" s="21">
        <v>347.45099601593637</v>
      </c>
      <c r="F65" s="21">
        <v>351.80468085106406</v>
      </c>
      <c r="G65" s="21">
        <v>348.35603448275867</v>
      </c>
      <c r="H65" s="21">
        <v>349.35991379310349</v>
      </c>
      <c r="I65" s="21">
        <v>341.04074074074066</v>
      </c>
      <c r="J65" s="21">
        <v>329.85955555555557</v>
      </c>
      <c r="K65" s="21">
        <v>330.90082304526754</v>
      </c>
      <c r="L65" s="21">
        <v>341.41999999999996</v>
      </c>
      <c r="M65" s="21">
        <v>342.03965517241397</v>
      </c>
      <c r="N65" s="21">
        <v>344.69344779257176</v>
      </c>
      <c r="X65" s="16">
        <f t="shared" si="13"/>
        <v>46082</v>
      </c>
      <c r="Y65" s="19">
        <f t="shared" si="21"/>
        <v>99.599545454545463</v>
      </c>
      <c r="Z65" s="17">
        <f t="shared" si="17"/>
        <v>3.8997590909090913</v>
      </c>
      <c r="AA65" s="17"/>
      <c r="AB65" s="17">
        <f t="shared" si="18"/>
        <v>5.2299363636363649</v>
      </c>
      <c r="AC65" s="18">
        <f t="shared" si="19"/>
        <v>5.3879214877561346</v>
      </c>
      <c r="AE65" s="22">
        <f t="shared" si="22"/>
        <v>316.54545454545456</v>
      </c>
      <c r="AF65" s="23">
        <f t="shared" si="20"/>
        <v>1655.5125834710748</v>
      </c>
      <c r="AI65" s="16">
        <f t="shared" si="14"/>
        <v>44621</v>
      </c>
      <c r="AJ65" s="19">
        <f t="shared" si="6"/>
        <v>4.9700608695652173</v>
      </c>
      <c r="AK65" s="22">
        <f t="shared" si="7"/>
        <v>480.08260869565225</v>
      </c>
      <c r="AL65" s="21">
        <f t="shared" si="8"/>
        <v>2386.0397876370512</v>
      </c>
      <c r="AN65" s="16">
        <f t="shared" si="15"/>
        <v>46082</v>
      </c>
      <c r="AO65" s="19">
        <f t="shared" si="9"/>
        <v>65.884090909090915</v>
      </c>
      <c r="AP65" s="17">
        <f t="shared" si="10"/>
        <v>4.9413068181818183</v>
      </c>
      <c r="AQ65" s="17">
        <f t="shared" si="16"/>
        <v>3.8997590909090913</v>
      </c>
      <c r="AR65" s="18">
        <f t="shared" si="12"/>
        <v>1.0415477272727269</v>
      </c>
    </row>
    <row r="66" spans="1:44" x14ac:dyDescent="0.3">
      <c r="X66" s="16">
        <f t="shared" si="13"/>
        <v>46113</v>
      </c>
      <c r="Y66" s="19">
        <f t="shared" ref="Y66" si="23">+GETPIVOTDATA("LCOc1",$A$36,"ANO",YEAR(X66),"MÊS",MONTH(X66))</f>
        <v>102.46428571428571</v>
      </c>
      <c r="Z66" s="17">
        <f t="shared" ref="Z66" si="24">+GETPIVOTDATA("HOc1",$A$3,"ANO",YEAR(X66),"MÊS",MONTH(X66))</f>
        <v>3.9499954545454541</v>
      </c>
      <c r="AA66" s="17"/>
      <c r="AB66" s="17">
        <f t="shared" ref="AB66" si="25">GETPIVOTDATA("BRL=",$A$17,"ANO",YEAR(X66),"MÊS",MONTH(X66))</f>
        <v>5.0298227272727276</v>
      </c>
      <c r="AC66" s="18">
        <f t="shared" ref="AC66" si="26">+(Z66*AB66)/3.78541</f>
        <v>5.2485138756162986</v>
      </c>
      <c r="AE66" s="22">
        <f t="shared" ref="AE66" si="27">+GETPIVOTDATA("SMc1",$A$51,"ANO",YEAR(X66),"MÊS",MONTH(X66))</f>
        <v>324.29090909090911</v>
      </c>
      <c r="AF66" s="23">
        <f t="shared" ref="AF66" si="28">+AE66*AB66</f>
        <v>1631.1257847933887</v>
      </c>
      <c r="AI66" s="16">
        <f t="shared" si="14"/>
        <v>44652</v>
      </c>
      <c r="AJ66" s="19">
        <f t="shared" si="6"/>
        <v>4.7445238095238089</v>
      </c>
      <c r="AK66" s="22">
        <f t="shared" si="7"/>
        <v>457.96000000000004</v>
      </c>
      <c r="AL66" s="21">
        <f t="shared" si="8"/>
        <v>2172.8021238095239</v>
      </c>
      <c r="AN66" s="16">
        <f t="shared" si="15"/>
        <v>46113</v>
      </c>
      <c r="AO66" s="19">
        <f t="shared" si="9"/>
        <v>69.965000000000003</v>
      </c>
      <c r="AP66" s="17">
        <f t="shared" si="10"/>
        <v>5.2473750000000008</v>
      </c>
      <c r="AQ66" s="17">
        <f t="shared" si="16"/>
        <v>3.9499954545454541</v>
      </c>
      <c r="AR66" s="18">
        <f t="shared" si="12"/>
        <v>1.2973795454545467</v>
      </c>
    </row>
    <row r="67" spans="1:44" x14ac:dyDescent="0.3">
      <c r="X67" s="16"/>
      <c r="Y67" s="19"/>
      <c r="Z67" s="17"/>
      <c r="AA67" s="17"/>
      <c r="AB67" s="17"/>
      <c r="AC67" s="18"/>
      <c r="AE67" s="22"/>
      <c r="AF67" s="23"/>
      <c r="AI67" s="16">
        <f t="shared" si="14"/>
        <v>44682</v>
      </c>
      <c r="AJ67" s="19">
        <f t="shared" si="6"/>
        <v>4.9504636363636356</v>
      </c>
      <c r="AK67" s="22">
        <f t="shared" si="7"/>
        <v>420.33333333333331</v>
      </c>
      <c r="AL67" s="21">
        <f t="shared" si="8"/>
        <v>2080.8448818181814</v>
      </c>
    </row>
    <row r="68" spans="1:44" x14ac:dyDescent="0.3">
      <c r="X68" s="16"/>
      <c r="Y68" s="19"/>
      <c r="Z68" s="17"/>
      <c r="AA68" s="17"/>
      <c r="AB68" s="17"/>
      <c r="AC68" s="18"/>
      <c r="AE68" s="22"/>
      <c r="AF68" s="23"/>
      <c r="AI68" s="16">
        <f t="shared" si="14"/>
        <v>44713</v>
      </c>
      <c r="AJ68" s="19">
        <f t="shared" ref="AJ68:AJ114" si="29">GETPIVOTDATA("BRL=",$A$17,"ANO",YEAR(AI68),"MÊS",MONTH(AI68))</f>
        <v>5.0574363636363637</v>
      </c>
      <c r="AK68" s="22">
        <f t="shared" ref="AK68:AK114" si="30">+GETPIVOTDATA("SMc1",$A$51,"ANO",YEAR(AI68),"MÊS",MONTH(AI68))</f>
        <v>428.45238095238102</v>
      </c>
      <c r="AL68" s="21">
        <f t="shared" ref="AL68:AL114" si="31">+AK68*AJ68</f>
        <v>2166.8706515151521</v>
      </c>
    </row>
    <row r="69" spans="1:44" x14ac:dyDescent="0.3">
      <c r="X69" s="16"/>
      <c r="Y69" s="19"/>
      <c r="Z69" s="17"/>
      <c r="AA69" s="17"/>
      <c r="AB69" s="17"/>
      <c r="AC69" s="18"/>
      <c r="AE69" s="22"/>
      <c r="AF69" s="23"/>
      <c r="AI69" s="16">
        <f t="shared" ref="AI69:AI114" si="32">EDATE(AI68,1)</f>
        <v>44743</v>
      </c>
      <c r="AJ69" s="19">
        <f t="shared" si="29"/>
        <v>5.3680761904761916</v>
      </c>
      <c r="AK69" s="22">
        <f t="shared" si="30"/>
        <v>463.53000000000003</v>
      </c>
      <c r="AL69" s="21">
        <f t="shared" si="31"/>
        <v>2488.2643565714293</v>
      </c>
    </row>
    <row r="70" spans="1:44" x14ac:dyDescent="0.3">
      <c r="X70" s="16"/>
      <c r="Y70" s="19"/>
      <c r="Z70" s="17"/>
      <c r="AA70" s="17"/>
      <c r="AB70" s="17"/>
      <c r="AC70" s="18"/>
      <c r="AE70" s="22"/>
      <c r="AF70" s="23"/>
      <c r="AI70" s="16">
        <f t="shared" si="32"/>
        <v>44774</v>
      </c>
      <c r="AJ70" s="19">
        <f t="shared" si="29"/>
        <v>5.1436434782608691</v>
      </c>
      <c r="AK70" s="22">
        <f t="shared" si="30"/>
        <v>478.18695652173926</v>
      </c>
      <c r="AL70" s="21">
        <f t="shared" si="31"/>
        <v>2459.6232203024579</v>
      </c>
    </row>
    <row r="71" spans="1:44" x14ac:dyDescent="0.3">
      <c r="A71" s="13" t="s">
        <v>28</v>
      </c>
      <c r="B71" s="13" t="s">
        <v>12</v>
      </c>
      <c r="X71" s="16"/>
      <c r="Y71" s="19"/>
      <c r="Z71" s="17"/>
      <c r="AA71" s="17"/>
      <c r="AB71" s="17"/>
      <c r="AC71" s="18"/>
      <c r="AE71" s="22"/>
      <c r="AF71" s="23"/>
      <c r="AI71" s="16">
        <f t="shared" si="32"/>
        <v>44805</v>
      </c>
      <c r="AJ71" s="19">
        <f t="shared" si="29"/>
        <v>5.2356636363636362</v>
      </c>
      <c r="AK71" s="22">
        <f t="shared" si="30"/>
        <v>438.90952380952382</v>
      </c>
      <c r="AL71" s="21">
        <f t="shared" si="31"/>
        <v>2297.9826334632035</v>
      </c>
    </row>
    <row r="72" spans="1:44" x14ac:dyDescent="0.3">
      <c r="A72" s="13" t="s">
        <v>10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  <c r="H72">
        <v>7</v>
      </c>
      <c r="I72">
        <v>8</v>
      </c>
      <c r="J72">
        <v>9</v>
      </c>
      <c r="K72">
        <v>10</v>
      </c>
      <c r="L72">
        <v>11</v>
      </c>
      <c r="M72">
        <v>12</v>
      </c>
      <c r="N72" t="s">
        <v>11</v>
      </c>
      <c r="X72" s="16"/>
      <c r="Y72" s="19"/>
      <c r="Z72" s="17"/>
      <c r="AA72" s="17"/>
      <c r="AB72" s="17"/>
      <c r="AC72" s="18"/>
      <c r="AE72" s="22"/>
      <c r="AF72" s="23"/>
      <c r="AI72" s="16">
        <f t="shared" si="32"/>
        <v>44835</v>
      </c>
      <c r="AJ72" s="19">
        <f t="shared" si="29"/>
        <v>5.253171428571429</v>
      </c>
      <c r="AK72" s="22">
        <f t="shared" si="30"/>
        <v>411.47142857142853</v>
      </c>
      <c r="AL72" s="21">
        <f t="shared" si="31"/>
        <v>2161.5299522448981</v>
      </c>
    </row>
    <row r="73" spans="1:44" x14ac:dyDescent="0.3">
      <c r="A73" s="14">
        <v>2015</v>
      </c>
      <c r="B73" s="21">
        <v>32.109000000000002</v>
      </c>
      <c r="C73" s="21">
        <v>31.657894736842092</v>
      </c>
      <c r="D73" s="21">
        <v>30.999999999999996</v>
      </c>
      <c r="E73" s="21">
        <v>31.358636363636364</v>
      </c>
      <c r="F73" s="21">
        <v>32.499500000000005</v>
      </c>
      <c r="G73" s="21">
        <v>33.476818181818174</v>
      </c>
      <c r="H73" s="21">
        <v>31.560454545454544</v>
      </c>
      <c r="I73" s="21">
        <v>28.519523809523818</v>
      </c>
      <c r="J73" s="21">
        <v>26.773333333333333</v>
      </c>
      <c r="K73" s="21">
        <v>28.29545454545455</v>
      </c>
      <c r="L73" s="21">
        <v>27.884000000000004</v>
      </c>
      <c r="M73" s="21">
        <v>30.717272727272725</v>
      </c>
      <c r="N73" s="21">
        <v>30.488102766798448</v>
      </c>
      <c r="X73" s="16"/>
      <c r="Y73" s="19"/>
      <c r="Z73" s="17"/>
      <c r="AA73" s="17"/>
      <c r="AB73" s="17"/>
      <c r="AC73" s="18"/>
      <c r="AE73" s="22"/>
      <c r="AF73" s="23"/>
      <c r="AI73" s="16">
        <f t="shared" si="32"/>
        <v>44866</v>
      </c>
      <c r="AJ73" s="19">
        <f t="shared" si="29"/>
        <v>5.2761636363636359</v>
      </c>
      <c r="AK73" s="22">
        <f t="shared" si="30"/>
        <v>412.77619047619044</v>
      </c>
      <c r="AL73" s="21">
        <f t="shared" si="31"/>
        <v>2177.8747261471858</v>
      </c>
    </row>
    <row r="74" spans="1:44" x14ac:dyDescent="0.3">
      <c r="A74" s="14">
        <v>2016</v>
      </c>
      <c r="B74" s="21">
        <v>29.932631578947365</v>
      </c>
      <c r="C74" s="21">
        <v>31.157499999999999</v>
      </c>
      <c r="D74" s="21">
        <v>32.380000000000003</v>
      </c>
      <c r="E74" s="21">
        <v>33.952857142857141</v>
      </c>
      <c r="F74" s="21">
        <v>32.070476190476192</v>
      </c>
      <c r="G74" s="21">
        <v>31.914999999999996</v>
      </c>
      <c r="H74" s="21">
        <v>30.384499999999996</v>
      </c>
      <c r="I74" s="21">
        <v>32.283913043478243</v>
      </c>
      <c r="J74" s="21">
        <v>32.777142857142863</v>
      </c>
      <c r="K74" s="21">
        <v>34.348571428571418</v>
      </c>
      <c r="L74" s="21">
        <v>35.036190476190477</v>
      </c>
      <c r="M74" s="21">
        <v>36.29904761904762</v>
      </c>
      <c r="N74" s="21">
        <v>32.741071428571438</v>
      </c>
      <c r="X74" s="16"/>
      <c r="Y74" s="19"/>
      <c r="Z74" s="17"/>
      <c r="AA74" s="17"/>
      <c r="AB74" s="17"/>
      <c r="AC74" s="18"/>
      <c r="AE74" s="22"/>
      <c r="AF74" s="23"/>
      <c r="AI74" s="16">
        <f t="shared" si="32"/>
        <v>44896</v>
      </c>
      <c r="AJ74" s="19">
        <f t="shared" si="29"/>
        <v>5.2494636363636369</v>
      </c>
      <c r="AK74" s="22">
        <f t="shared" si="30"/>
        <v>453.70952380952377</v>
      </c>
      <c r="AL74" s="21">
        <f t="shared" si="31"/>
        <v>2381.7316467099567</v>
      </c>
    </row>
    <row r="75" spans="1:44" x14ac:dyDescent="0.3">
      <c r="A75" s="14">
        <v>2017</v>
      </c>
      <c r="B75" s="21">
        <v>35.012</v>
      </c>
      <c r="C75" s="21">
        <v>33.698421052631581</v>
      </c>
      <c r="D75" s="21">
        <v>32.813043478260866</v>
      </c>
      <c r="E75" s="21">
        <v>31.538421052631573</v>
      </c>
      <c r="F75" s="21">
        <v>32.389545454545456</v>
      </c>
      <c r="G75" s="21">
        <v>31.970454545454547</v>
      </c>
      <c r="H75" s="21">
        <v>33.507999999999996</v>
      </c>
      <c r="I75" s="21">
        <v>33.866956521739127</v>
      </c>
      <c r="J75" s="21">
        <v>34.27600000000001</v>
      </c>
      <c r="K75" s="21">
        <v>33.599545454545456</v>
      </c>
      <c r="L75" s="21">
        <v>34.410476190476189</v>
      </c>
      <c r="M75" s="21">
        <v>33.137999999999998</v>
      </c>
      <c r="N75" s="21">
        <v>33.344820717131483</v>
      </c>
      <c r="X75" s="16"/>
      <c r="Y75" s="19"/>
      <c r="Z75" s="17"/>
      <c r="AA75" s="17"/>
      <c r="AB75" s="17"/>
      <c r="AC75" s="18"/>
      <c r="AE75" s="22"/>
      <c r="AF75" s="23"/>
      <c r="AI75" s="16">
        <f t="shared" si="32"/>
        <v>44927</v>
      </c>
      <c r="AJ75" s="19">
        <f t="shared" si="29"/>
        <v>5.1940136363636347</v>
      </c>
      <c r="AK75" s="22">
        <f t="shared" si="30"/>
        <v>484.23</v>
      </c>
      <c r="AL75" s="21">
        <f t="shared" si="31"/>
        <v>2515.097223136363</v>
      </c>
    </row>
    <row r="76" spans="1:44" x14ac:dyDescent="0.3">
      <c r="A76" s="14">
        <v>2018</v>
      </c>
      <c r="B76" s="21">
        <v>32.960952380952385</v>
      </c>
      <c r="C76" s="21">
        <v>32.176842105263155</v>
      </c>
      <c r="D76" s="21">
        <v>31.85285714285714</v>
      </c>
      <c r="E76" s="21">
        <v>31.348571428571425</v>
      </c>
      <c r="F76" s="21">
        <v>31.000454545454545</v>
      </c>
      <c r="G76" s="21">
        <v>29.820952380952381</v>
      </c>
      <c r="H76" s="21">
        <v>28.311428571428571</v>
      </c>
      <c r="I76" s="21">
        <v>28.261304347826091</v>
      </c>
      <c r="J76" s="21">
        <v>27.95105263157895</v>
      </c>
      <c r="K76" s="21">
        <v>28.916956521739131</v>
      </c>
      <c r="L76" s="21">
        <v>27.690952380952382</v>
      </c>
      <c r="M76" s="21">
        <v>28.207999999999998</v>
      </c>
      <c r="N76" s="21">
        <v>29.862698412698411</v>
      </c>
      <c r="X76" s="16"/>
      <c r="Y76" s="19"/>
      <c r="Z76" s="17"/>
      <c r="AA76" s="17"/>
      <c r="AB76" s="17"/>
      <c r="AC76" s="18"/>
      <c r="AE76" s="22"/>
      <c r="AF76" s="23"/>
      <c r="AI76" s="16">
        <f t="shared" si="32"/>
        <v>44958</v>
      </c>
      <c r="AJ76" s="19">
        <f t="shared" si="29"/>
        <v>5.1774349999999991</v>
      </c>
      <c r="AK76" s="22">
        <f t="shared" si="30"/>
        <v>492.92631578947362</v>
      </c>
      <c r="AL76" s="21">
        <f t="shared" si="31"/>
        <v>2552.093959789473</v>
      </c>
    </row>
    <row r="77" spans="1:44" x14ac:dyDescent="0.3">
      <c r="A77" s="14">
        <v>2019</v>
      </c>
      <c r="B77" s="21">
        <v>28.890476190476186</v>
      </c>
      <c r="C77" s="21">
        <v>30.225789473684209</v>
      </c>
      <c r="D77" s="21">
        <v>29.26</v>
      </c>
      <c r="E77" s="21">
        <v>28.556666666666668</v>
      </c>
      <c r="F77" s="21">
        <v>27.103181818181824</v>
      </c>
      <c r="G77" s="21">
        <v>27.853000000000002</v>
      </c>
      <c r="H77" s="21">
        <v>27.997727272727275</v>
      </c>
      <c r="I77" s="21">
        <v>28.538181818181819</v>
      </c>
      <c r="J77" s="21">
        <v>29.046999999999997</v>
      </c>
      <c r="K77" s="21">
        <v>30.242608695652166</v>
      </c>
      <c r="L77" s="21">
        <v>30.957999999999998</v>
      </c>
      <c r="M77" s="21">
        <v>32.584761904761905</v>
      </c>
      <c r="N77" s="21">
        <v>29.254841269841272</v>
      </c>
      <c r="X77" s="16"/>
      <c r="Y77" s="19"/>
      <c r="Z77" s="17"/>
      <c r="AA77" s="17"/>
      <c r="AB77" s="17"/>
      <c r="AC77" s="18"/>
      <c r="AE77" s="22"/>
      <c r="AF77" s="23"/>
      <c r="AI77" s="16">
        <f t="shared" si="32"/>
        <v>44986</v>
      </c>
      <c r="AJ77" s="19">
        <f t="shared" si="29"/>
        <v>5.2025086956521749</v>
      </c>
      <c r="AK77" s="22">
        <f t="shared" si="30"/>
        <v>475.32173913043471</v>
      </c>
      <c r="AL77" s="21">
        <f t="shared" si="31"/>
        <v>2472.8654810586013</v>
      </c>
    </row>
    <row r="78" spans="1:44" x14ac:dyDescent="0.3">
      <c r="A78" s="14">
        <v>2020</v>
      </c>
      <c r="B78" s="21">
        <v>33.022857142857141</v>
      </c>
      <c r="C78" s="21">
        <v>30.248421052631581</v>
      </c>
      <c r="D78" s="21">
        <v>26.895000000000007</v>
      </c>
      <c r="E78" s="21">
        <v>26.202857142857141</v>
      </c>
      <c r="F78" s="21">
        <v>26.553000000000004</v>
      </c>
      <c r="G78" s="21">
        <v>27.891363636363646</v>
      </c>
      <c r="H78" s="21">
        <v>29.165909090909096</v>
      </c>
      <c r="I78" s="21">
        <v>31.821000000000005</v>
      </c>
      <c r="J78" s="21">
        <v>33.609047619047622</v>
      </c>
      <c r="K78" s="21">
        <v>33.346818181818179</v>
      </c>
      <c r="L78" s="21">
        <v>36.862499999999997</v>
      </c>
      <c r="M78" s="21">
        <v>39.974545454545456</v>
      </c>
      <c r="N78" s="21">
        <v>31.305555555555554</v>
      </c>
      <c r="X78" s="16"/>
      <c r="Y78" s="19"/>
      <c r="Z78" s="17"/>
      <c r="AA78" s="17"/>
      <c r="AB78" s="17"/>
      <c r="AC78" s="18"/>
      <c r="AE78" s="22"/>
      <c r="AF78" s="23"/>
      <c r="AI78" s="16">
        <f t="shared" si="32"/>
        <v>45017</v>
      </c>
      <c r="AJ78" s="19">
        <f t="shared" si="29"/>
        <v>5.0147399999999998</v>
      </c>
      <c r="AK78" s="22">
        <f t="shared" si="30"/>
        <v>450.72500000000008</v>
      </c>
      <c r="AL78" s="21">
        <f t="shared" si="31"/>
        <v>2260.2686865000005</v>
      </c>
    </row>
    <row r="79" spans="1:44" x14ac:dyDescent="0.3">
      <c r="A79" s="14">
        <v>2021</v>
      </c>
      <c r="B79" s="21">
        <v>43.391052631578944</v>
      </c>
      <c r="C79" s="21">
        <v>46.946315789473694</v>
      </c>
      <c r="D79" s="21">
        <v>54.083043478260883</v>
      </c>
      <c r="E79" s="21">
        <v>58.235714285714288</v>
      </c>
      <c r="F79" s="21">
        <v>66.967999999999989</v>
      </c>
      <c r="G79" s="21">
        <v>65.243181818181824</v>
      </c>
      <c r="H79" s="21">
        <v>65.847619047619034</v>
      </c>
      <c r="I79" s="21">
        <v>62.207727272727261</v>
      </c>
      <c r="J79" s="21">
        <v>57.215714285714284</v>
      </c>
      <c r="K79" s="21">
        <v>61.126666666666658</v>
      </c>
      <c r="L79" s="21">
        <v>59.234761904761896</v>
      </c>
      <c r="M79" s="21">
        <v>55.160454545454542</v>
      </c>
      <c r="N79" s="21">
        <v>58.142857142857181</v>
      </c>
      <c r="X79" s="16"/>
      <c r="Y79" s="19"/>
      <c r="Z79" s="17"/>
      <c r="AA79" s="17"/>
      <c r="AB79" s="17"/>
      <c r="AC79" s="18"/>
      <c r="AE79" s="22"/>
      <c r="AF79" s="23"/>
      <c r="AI79" s="16">
        <f t="shared" si="32"/>
        <v>45047</v>
      </c>
      <c r="AJ79" s="19">
        <f t="shared" si="29"/>
        <v>4.979000000000001</v>
      </c>
      <c r="AK79" s="22">
        <f t="shared" si="30"/>
        <v>417.0954545454544</v>
      </c>
      <c r="AL79" s="21">
        <f t="shared" si="31"/>
        <v>2076.7182681818181</v>
      </c>
    </row>
    <row r="80" spans="1:44" x14ac:dyDescent="0.3">
      <c r="A80" s="14">
        <v>2022</v>
      </c>
      <c r="B80" s="21">
        <v>60.601500000000001</v>
      </c>
      <c r="C80" s="21">
        <v>67.012631578947364</v>
      </c>
      <c r="D80" s="21">
        <v>75.859999999999985</v>
      </c>
      <c r="E80" s="21">
        <v>79.202000000000012</v>
      </c>
      <c r="F80" s="21">
        <v>83.592380952380964</v>
      </c>
      <c r="G80" s="21">
        <v>76.33</v>
      </c>
      <c r="H80" s="21">
        <v>62.02300000000001</v>
      </c>
      <c r="I80" s="21">
        <v>68.888260869565215</v>
      </c>
      <c r="J80" s="21">
        <v>68.315714285714279</v>
      </c>
      <c r="K80" s="21">
        <v>70.217142857142861</v>
      </c>
      <c r="L80" s="21">
        <v>75.129523809523803</v>
      </c>
      <c r="M80" s="21">
        <v>65.236190476190487</v>
      </c>
      <c r="N80" s="21">
        <v>71.13235059760963</v>
      </c>
      <c r="X80" s="16"/>
      <c r="Y80" s="19"/>
      <c r="Z80" s="17"/>
      <c r="AA80" s="17"/>
      <c r="AB80" s="17"/>
      <c r="AC80" s="18"/>
      <c r="AE80" s="22"/>
      <c r="AF80" s="23"/>
      <c r="AI80" s="16">
        <f t="shared" si="32"/>
        <v>45078</v>
      </c>
      <c r="AJ80" s="19">
        <f t="shared" si="29"/>
        <v>4.8482818181818175</v>
      </c>
      <c r="AK80" s="22">
        <f t="shared" si="30"/>
        <v>406.28571428571422</v>
      </c>
      <c r="AL80" s="21">
        <f t="shared" si="31"/>
        <v>1969.787641558441</v>
      </c>
    </row>
    <row r="81" spans="1:38" x14ac:dyDescent="0.3">
      <c r="A81" s="14">
        <v>2023</v>
      </c>
      <c r="B81" s="21">
        <v>62.528499999999994</v>
      </c>
      <c r="C81" s="21">
        <v>60.783157894736839</v>
      </c>
      <c r="D81" s="21">
        <v>56.678260869565236</v>
      </c>
      <c r="E81" s="21">
        <v>53.948500000000003</v>
      </c>
      <c r="F81" s="21">
        <v>49.670909090909099</v>
      </c>
      <c r="G81" s="21">
        <v>55.860952380952376</v>
      </c>
      <c r="H81" s="21">
        <v>68.029999999999987</v>
      </c>
      <c r="I81" s="21">
        <v>66.675652173913036</v>
      </c>
      <c r="J81" s="21">
        <v>62.076999999999984</v>
      </c>
      <c r="K81" s="21">
        <v>54.664999999999992</v>
      </c>
      <c r="L81" s="21">
        <v>51.671428571428578</v>
      </c>
      <c r="M81" s="21">
        <v>49.743000000000002</v>
      </c>
      <c r="N81" s="21">
        <v>57.657888446215189</v>
      </c>
      <c r="X81" s="16"/>
      <c r="Y81" s="19"/>
      <c r="Z81" s="17"/>
      <c r="AA81" s="17"/>
      <c r="AB81" s="17"/>
      <c r="AC81" s="18"/>
      <c r="AE81" s="22"/>
      <c r="AF81" s="23"/>
      <c r="AI81" s="16">
        <f t="shared" si="32"/>
        <v>45108</v>
      </c>
      <c r="AJ81" s="19">
        <f t="shared" si="29"/>
        <v>4.8020476190476193</v>
      </c>
      <c r="AK81" s="22">
        <f t="shared" si="30"/>
        <v>435.97500000000008</v>
      </c>
      <c r="AL81" s="21">
        <f t="shared" si="31"/>
        <v>2093.5727107142861</v>
      </c>
    </row>
    <row r="82" spans="1:38" x14ac:dyDescent="0.3">
      <c r="A82" s="14">
        <v>2024</v>
      </c>
      <c r="B82" s="21">
        <v>47.365238095238091</v>
      </c>
      <c r="C82" s="21">
        <v>45.640000000000008</v>
      </c>
      <c r="D82" s="21">
        <v>47.197500000000005</v>
      </c>
      <c r="E82" s="21">
        <v>46.012727272727268</v>
      </c>
      <c r="F82" s="21">
        <v>44.312727272727265</v>
      </c>
      <c r="G82" s="21">
        <v>43.706842105263156</v>
      </c>
      <c r="H82" s="21">
        <v>46.279090909090904</v>
      </c>
      <c r="I82" s="21">
        <v>41.393181818181809</v>
      </c>
      <c r="J82" s="21">
        <v>41.777500000000011</v>
      </c>
      <c r="K82" s="21">
        <v>43.345652173913038</v>
      </c>
      <c r="L82" s="21">
        <v>44.668500000000009</v>
      </c>
      <c r="M82" s="21">
        <v>41.023333333333333</v>
      </c>
      <c r="N82" s="21">
        <v>44.38555555555557</v>
      </c>
      <c r="X82" s="16"/>
      <c r="Y82" s="19"/>
      <c r="Z82" s="17"/>
      <c r="AA82" s="17"/>
      <c r="AB82" s="17"/>
      <c r="AC82" s="18"/>
      <c r="AE82" s="22"/>
      <c r="AF82" s="23"/>
      <c r="AI82" s="16">
        <f t="shared" si="32"/>
        <v>45139</v>
      </c>
      <c r="AJ82" s="19">
        <f t="shared" si="29"/>
        <v>4.9072347826086959</v>
      </c>
      <c r="AK82" s="22">
        <f t="shared" si="30"/>
        <v>426.55652173913046</v>
      </c>
      <c r="AL82" s="21">
        <f t="shared" si="31"/>
        <v>2093.2130002268432</v>
      </c>
    </row>
    <row r="83" spans="1:38" x14ac:dyDescent="0.3">
      <c r="A83" s="14">
        <v>2025</v>
      </c>
      <c r="B83" s="21">
        <v>43.946190476190473</v>
      </c>
      <c r="C83" s="21">
        <v>45.823157894736845</v>
      </c>
      <c r="D83" s="21">
        <v>42.490952380952372</v>
      </c>
      <c r="E83" s="21">
        <v>47.493809523809531</v>
      </c>
      <c r="F83" s="21">
        <v>49.018571428571434</v>
      </c>
      <c r="G83" s="21">
        <v>50.465499999999999</v>
      </c>
      <c r="H83" s="21">
        <v>55.278636363636366</v>
      </c>
      <c r="I83" s="21">
        <v>53.126190476190473</v>
      </c>
      <c r="J83" s="21">
        <v>50.437619047619052</v>
      </c>
      <c r="K83" s="21">
        <v>50.239999999999988</v>
      </c>
      <c r="L83" s="21">
        <v>50.485789473684207</v>
      </c>
      <c r="M83" s="21">
        <v>49.733181818181812</v>
      </c>
      <c r="N83" s="21">
        <v>49.090597609561769</v>
      </c>
      <c r="X83" s="16"/>
      <c r="Y83" s="19"/>
      <c r="Z83" s="17"/>
      <c r="AA83" s="17"/>
      <c r="AB83" s="17"/>
      <c r="AC83" s="18"/>
      <c r="AE83" s="22"/>
      <c r="AF83" s="23"/>
      <c r="AI83" s="16">
        <f t="shared" si="32"/>
        <v>45170</v>
      </c>
      <c r="AJ83" s="19">
        <f t="shared" si="29"/>
        <v>4.9456571428571428</v>
      </c>
      <c r="AK83" s="22">
        <f t="shared" si="30"/>
        <v>397.94999999999993</v>
      </c>
      <c r="AL83" s="21">
        <f t="shared" si="31"/>
        <v>1968.1242599999996</v>
      </c>
    </row>
    <row r="84" spans="1:38" x14ac:dyDescent="0.3">
      <c r="A84" s="14">
        <v>2026</v>
      </c>
      <c r="B84" s="21">
        <v>51.793999999999997</v>
      </c>
      <c r="C84" s="21">
        <v>57.721052631578935</v>
      </c>
      <c r="D84" s="21">
        <v>65.884090909090915</v>
      </c>
      <c r="E84" s="21">
        <v>69.965000000000003</v>
      </c>
      <c r="F84" s="21">
        <v>77.175000000000011</v>
      </c>
      <c r="G84" s="21"/>
      <c r="H84" s="21"/>
      <c r="I84" s="21"/>
      <c r="J84" s="21"/>
      <c r="K84" s="21"/>
      <c r="L84" s="21"/>
      <c r="M84" s="21"/>
      <c r="N84" s="21">
        <v>62.065999999999974</v>
      </c>
      <c r="X84" s="16"/>
      <c r="Y84" s="19"/>
      <c r="Z84" s="17"/>
      <c r="AA84" s="17"/>
      <c r="AB84" s="17"/>
      <c r="AC84" s="18"/>
      <c r="AE84" s="22"/>
      <c r="AF84" s="23"/>
      <c r="AI84" s="16">
        <f t="shared" si="32"/>
        <v>45200</v>
      </c>
      <c r="AJ84" s="19">
        <f t="shared" si="29"/>
        <v>5.0623318181818187</v>
      </c>
      <c r="AK84" s="22">
        <f t="shared" si="30"/>
        <v>399.86818181818194</v>
      </c>
      <c r="AL84" s="21">
        <f t="shared" si="31"/>
        <v>2024.265419896695</v>
      </c>
    </row>
    <row r="85" spans="1:38" x14ac:dyDescent="0.3">
      <c r="A85" s="14" t="s">
        <v>11</v>
      </c>
      <c r="B85" s="21">
        <v>41.744650205761317</v>
      </c>
      <c r="C85" s="21">
        <v>42.719695652173918</v>
      </c>
      <c r="D85" s="21">
        <v>44.114524714828924</v>
      </c>
      <c r="E85" s="21">
        <v>44.801752988047824</v>
      </c>
      <c r="F85" s="21">
        <v>43.368340425531954</v>
      </c>
      <c r="G85" s="21">
        <v>43.060258620689659</v>
      </c>
      <c r="H85" s="21">
        <v>43.286422413793119</v>
      </c>
      <c r="I85" s="21">
        <v>43.405308641975317</v>
      </c>
      <c r="J85" s="21">
        <v>42.339200000000012</v>
      </c>
      <c r="K85" s="21">
        <v>42.348271604938283</v>
      </c>
      <c r="L85" s="21">
        <v>43.170355555555567</v>
      </c>
      <c r="M85" s="21">
        <v>42.080474137931027</v>
      </c>
      <c r="N85" s="21">
        <v>43.055805886475142</v>
      </c>
      <c r="X85" s="16"/>
      <c r="Y85" s="19"/>
      <c r="Z85" s="17"/>
      <c r="AA85" s="17"/>
      <c r="AB85" s="17"/>
      <c r="AC85" s="18"/>
      <c r="AE85" s="22"/>
      <c r="AF85" s="23"/>
      <c r="AI85" s="16">
        <f t="shared" si="32"/>
        <v>45231</v>
      </c>
      <c r="AJ85" s="19">
        <f t="shared" si="29"/>
        <v>4.8987909090909101</v>
      </c>
      <c r="AK85" s="22">
        <f t="shared" si="30"/>
        <v>452.15238095238089</v>
      </c>
      <c r="AL85" s="21">
        <f t="shared" si="31"/>
        <v>2214.9999733333334</v>
      </c>
    </row>
    <row r="86" spans="1:38" x14ac:dyDescent="0.3">
      <c r="X86" s="16"/>
      <c r="Y86" s="19"/>
      <c r="Z86" s="17"/>
      <c r="AA86" s="17"/>
      <c r="AB86" s="17"/>
      <c r="AC86" s="18"/>
      <c r="AE86" s="22"/>
      <c r="AF86" s="23"/>
      <c r="AI86" s="16">
        <f t="shared" si="32"/>
        <v>45261</v>
      </c>
      <c r="AJ86" s="19">
        <f t="shared" si="29"/>
        <v>4.8952428571428568</v>
      </c>
      <c r="AK86" s="22">
        <f t="shared" si="30"/>
        <v>412.70500000000004</v>
      </c>
      <c r="AL86" s="21">
        <f t="shared" si="31"/>
        <v>2020.2912033571429</v>
      </c>
    </row>
    <row r="87" spans="1:38" x14ac:dyDescent="0.3">
      <c r="X87" s="16"/>
      <c r="Y87" s="19"/>
      <c r="Z87" s="17"/>
      <c r="AA87" s="17"/>
      <c r="AB87" s="17"/>
      <c r="AC87" s="18"/>
      <c r="AE87" s="22"/>
      <c r="AF87" s="23"/>
      <c r="AI87" s="16">
        <f t="shared" si="32"/>
        <v>45292</v>
      </c>
      <c r="AJ87" s="19">
        <f t="shared" si="29"/>
        <v>4.9131521739130442</v>
      </c>
      <c r="AK87" s="22">
        <f t="shared" si="30"/>
        <v>363.73333333333335</v>
      </c>
      <c r="AL87" s="21">
        <f t="shared" si="31"/>
        <v>1787.0772173913047</v>
      </c>
    </row>
    <row r="88" spans="1:38" x14ac:dyDescent="0.3">
      <c r="X88" s="16"/>
      <c r="Y88" s="19"/>
      <c r="Z88" s="17"/>
      <c r="AA88" s="17"/>
      <c r="AB88" s="17"/>
      <c r="AC88" s="18"/>
      <c r="AE88" s="22"/>
      <c r="AF88" s="23"/>
      <c r="AI88" s="16">
        <f t="shared" si="32"/>
        <v>45323</v>
      </c>
      <c r="AJ88" s="19">
        <f t="shared" si="29"/>
        <v>4.9614714285714285</v>
      </c>
      <c r="AK88" s="22">
        <f t="shared" si="30"/>
        <v>344.42000000000007</v>
      </c>
      <c r="AL88" s="21">
        <f t="shared" si="31"/>
        <v>1708.8299894285717</v>
      </c>
    </row>
    <row r="89" spans="1:38" x14ac:dyDescent="0.3">
      <c r="X89" s="16"/>
      <c r="Y89" s="19"/>
      <c r="Z89" s="17"/>
      <c r="AA89" s="17"/>
      <c r="AB89" s="17"/>
      <c r="AC89" s="18"/>
      <c r="AE89" s="22"/>
      <c r="AF89" s="23"/>
      <c r="AI89" s="16">
        <f t="shared" si="32"/>
        <v>45352</v>
      </c>
      <c r="AJ89" s="19">
        <f t="shared" si="29"/>
        <v>4.9806904761904764</v>
      </c>
      <c r="AK89" s="22">
        <f t="shared" si="30"/>
        <v>336.81</v>
      </c>
      <c r="AL89" s="21">
        <f t="shared" si="31"/>
        <v>1677.5463592857143</v>
      </c>
    </row>
    <row r="90" spans="1:38" x14ac:dyDescent="0.3">
      <c r="X90" s="16"/>
      <c r="Y90" s="19"/>
      <c r="Z90" s="17"/>
      <c r="AA90" s="17"/>
      <c r="AB90" s="17"/>
      <c r="AC90" s="18"/>
      <c r="AE90" s="22"/>
      <c r="AF90" s="23"/>
      <c r="AI90" s="16">
        <f t="shared" si="32"/>
        <v>45383</v>
      </c>
      <c r="AJ90" s="19">
        <f t="shared" si="29"/>
        <v>5.1262499999999998</v>
      </c>
      <c r="AK90" s="22">
        <f t="shared" si="30"/>
        <v>338.59090909090907</v>
      </c>
      <c r="AL90" s="21">
        <f t="shared" si="31"/>
        <v>1735.7016477272725</v>
      </c>
    </row>
    <row r="91" spans="1:38" x14ac:dyDescent="0.3">
      <c r="X91" s="16"/>
      <c r="Y91" s="19"/>
      <c r="Z91" s="17"/>
      <c r="AA91" s="17"/>
      <c r="AB91" s="17"/>
      <c r="AC91" s="18"/>
      <c r="AE91" s="22"/>
      <c r="AF91" s="23"/>
      <c r="AI91" s="16">
        <f t="shared" si="32"/>
        <v>45413</v>
      </c>
      <c r="AJ91" s="19">
        <f t="shared" si="29"/>
        <v>5.1405217391304356</v>
      </c>
      <c r="AK91" s="22">
        <f t="shared" si="30"/>
        <v>369.53636363636366</v>
      </c>
      <c r="AL91" s="21">
        <f t="shared" si="31"/>
        <v>1899.6097106719371</v>
      </c>
    </row>
    <row r="92" spans="1:38" x14ac:dyDescent="0.3">
      <c r="X92" s="16"/>
      <c r="Y92" s="19"/>
      <c r="Z92" s="17"/>
      <c r="AA92" s="17"/>
      <c r="AB92" s="17"/>
      <c r="AC92" s="18"/>
      <c r="AE92" s="22"/>
      <c r="AF92" s="23"/>
      <c r="AI92" s="16">
        <f t="shared" si="32"/>
        <v>45444</v>
      </c>
      <c r="AJ92" s="19">
        <f t="shared" si="29"/>
        <v>5.3965050000000012</v>
      </c>
      <c r="AK92" s="22">
        <f t="shared" si="30"/>
        <v>362.45789473684215</v>
      </c>
      <c r="AL92" s="21">
        <f t="shared" si="31"/>
        <v>1956.0058412368428</v>
      </c>
    </row>
    <row r="93" spans="1:38" x14ac:dyDescent="0.3">
      <c r="X93" s="16"/>
      <c r="Y93" s="19"/>
      <c r="Z93" s="17"/>
      <c r="AA93" s="17"/>
      <c r="AB93" s="17"/>
      <c r="AC93" s="18"/>
      <c r="AE93" s="22"/>
      <c r="AF93" s="23"/>
      <c r="AI93" s="16">
        <f t="shared" si="32"/>
        <v>45474</v>
      </c>
      <c r="AJ93" s="19">
        <f t="shared" si="29"/>
        <v>5.5437391304347834</v>
      </c>
      <c r="AK93" s="22">
        <f t="shared" si="30"/>
        <v>356.83181818181811</v>
      </c>
      <c r="AL93" s="21">
        <f t="shared" si="31"/>
        <v>1978.182513438735</v>
      </c>
    </row>
    <row r="94" spans="1:38" x14ac:dyDescent="0.3">
      <c r="X94" s="16"/>
      <c r="Y94" s="19"/>
      <c r="Z94" s="17"/>
      <c r="AA94" s="17"/>
      <c r="AB94" s="17"/>
      <c r="AC94" s="18"/>
      <c r="AE94" s="22"/>
      <c r="AF94" s="23"/>
      <c r="AI94" s="16">
        <f t="shared" si="32"/>
        <v>45505</v>
      </c>
      <c r="AJ94" s="19">
        <f t="shared" si="29"/>
        <v>5.5538090909090911</v>
      </c>
      <c r="AK94" s="22">
        <f t="shared" si="30"/>
        <v>322.4818181818182</v>
      </c>
      <c r="AL94" s="21">
        <f t="shared" si="31"/>
        <v>1791.0024534710747</v>
      </c>
    </row>
    <row r="95" spans="1:38" x14ac:dyDescent="0.3">
      <c r="X95" s="16"/>
      <c r="Y95" s="19"/>
      <c r="Z95" s="17"/>
      <c r="AA95" s="17"/>
      <c r="AB95" s="17"/>
      <c r="AC95" s="18"/>
      <c r="AE95" s="22"/>
      <c r="AF95" s="23"/>
      <c r="AI95" s="16">
        <f t="shared" si="32"/>
        <v>45536</v>
      </c>
      <c r="AJ95" s="19">
        <f t="shared" si="29"/>
        <v>5.5404428571428568</v>
      </c>
      <c r="AK95" s="22">
        <f t="shared" si="30"/>
        <v>321.89500000000004</v>
      </c>
      <c r="AL95" s="21">
        <f t="shared" si="31"/>
        <v>1783.4408535</v>
      </c>
    </row>
    <row r="96" spans="1:38" x14ac:dyDescent="0.3">
      <c r="X96" s="16"/>
      <c r="Y96" s="19"/>
      <c r="Z96" s="17"/>
      <c r="AA96" s="17"/>
      <c r="AB96" s="17"/>
      <c r="AC96" s="18"/>
      <c r="AE96" s="22"/>
      <c r="AF96" s="23"/>
      <c r="AI96" s="16">
        <f t="shared" si="32"/>
        <v>45566</v>
      </c>
      <c r="AJ96" s="19">
        <f t="shared" si="29"/>
        <v>5.6234608695652168</v>
      </c>
      <c r="AK96" s="22">
        <f t="shared" si="30"/>
        <v>317.83478260869566</v>
      </c>
      <c r="AL96" s="21">
        <f t="shared" si="31"/>
        <v>1787.3314629867673</v>
      </c>
    </row>
    <row r="97" spans="24:38" x14ac:dyDescent="0.3">
      <c r="X97" s="16"/>
      <c r="Y97" s="19"/>
      <c r="Z97" s="17"/>
      <c r="AA97" s="17"/>
      <c r="AB97" s="17"/>
      <c r="AC97" s="18"/>
      <c r="AE97" s="22"/>
      <c r="AF97" s="23"/>
      <c r="AI97" s="16">
        <f t="shared" si="32"/>
        <v>45597</v>
      </c>
      <c r="AJ97" s="19">
        <f t="shared" si="29"/>
        <v>5.8024619047619046</v>
      </c>
      <c r="AK97" s="22">
        <f t="shared" si="30"/>
        <v>292.41500000000002</v>
      </c>
      <c r="AL97" s="21">
        <f t="shared" si="31"/>
        <v>1696.7268978809525</v>
      </c>
    </row>
    <row r="98" spans="24:38" x14ac:dyDescent="0.3">
      <c r="X98" s="16"/>
      <c r="Y98" s="19"/>
      <c r="Z98" s="17"/>
      <c r="AA98" s="17"/>
      <c r="AB98" s="17"/>
      <c r="AC98" s="18"/>
      <c r="AE98" s="22"/>
      <c r="AF98" s="23"/>
      <c r="AI98" s="16">
        <f t="shared" si="32"/>
        <v>45627</v>
      </c>
      <c r="AJ98" s="19">
        <f t="shared" si="29"/>
        <v>6.111140909090909</v>
      </c>
      <c r="AK98" s="22">
        <f t="shared" si="30"/>
        <v>290.16666666666663</v>
      </c>
      <c r="AL98" s="21">
        <f t="shared" si="31"/>
        <v>1773.2493871212118</v>
      </c>
    </row>
    <row r="99" spans="24:38" x14ac:dyDescent="0.3">
      <c r="X99" s="16"/>
      <c r="Y99" s="19"/>
      <c r="Z99" s="17"/>
      <c r="AA99" s="17"/>
      <c r="AB99" s="17"/>
      <c r="AC99" s="18"/>
      <c r="AE99" s="22"/>
      <c r="AF99" s="23"/>
      <c r="AI99" s="16">
        <f t="shared" si="32"/>
        <v>45658</v>
      </c>
      <c r="AJ99" s="19">
        <f t="shared" si="29"/>
        <v>6.0178565217391302</v>
      </c>
      <c r="AK99" s="22">
        <f t="shared" si="30"/>
        <v>301.75714285714287</v>
      </c>
      <c r="AL99" s="21">
        <f t="shared" si="31"/>
        <v>1815.9311901242236</v>
      </c>
    </row>
    <row r="100" spans="24:38" x14ac:dyDescent="0.3">
      <c r="X100" s="16"/>
      <c r="Y100" s="19"/>
      <c r="Z100" s="17"/>
      <c r="AA100" s="17"/>
      <c r="AB100" s="17"/>
      <c r="AC100" s="18"/>
      <c r="AE100" s="22"/>
      <c r="AF100" s="23"/>
      <c r="AI100" s="16">
        <f t="shared" si="32"/>
        <v>45689</v>
      </c>
      <c r="AJ100" s="19">
        <f t="shared" si="29"/>
        <v>5.7658850000000008</v>
      </c>
      <c r="AK100" s="22">
        <f t="shared" si="30"/>
        <v>297.60526315789463</v>
      </c>
      <c r="AL100" s="21">
        <f t="shared" si="31"/>
        <v>1715.9577227631576</v>
      </c>
    </row>
    <row r="101" spans="24:38" x14ac:dyDescent="0.3">
      <c r="X101" s="16"/>
      <c r="Y101" s="19"/>
      <c r="Z101" s="17"/>
      <c r="AA101" s="17"/>
      <c r="AB101" s="17"/>
      <c r="AC101" s="18"/>
      <c r="AE101" s="22"/>
      <c r="AF101" s="23"/>
      <c r="AI101" s="16">
        <f t="shared" si="32"/>
        <v>45717</v>
      </c>
      <c r="AJ101" s="19">
        <f t="shared" si="29"/>
        <v>5.7563428571428572</v>
      </c>
      <c r="AK101" s="22">
        <f t="shared" si="30"/>
        <v>295.66666666666669</v>
      </c>
      <c r="AL101" s="21">
        <f t="shared" si="31"/>
        <v>1701.958704761905</v>
      </c>
    </row>
    <row r="102" spans="24:38" x14ac:dyDescent="0.3">
      <c r="X102" s="16"/>
      <c r="Y102" s="19"/>
      <c r="Z102" s="17"/>
      <c r="AA102" s="17"/>
      <c r="AB102" s="17"/>
      <c r="AC102" s="18"/>
      <c r="AE102" s="22"/>
      <c r="AF102" s="23"/>
      <c r="AI102" s="16">
        <f t="shared" si="32"/>
        <v>45748</v>
      </c>
      <c r="AJ102" s="19">
        <f t="shared" si="29"/>
        <v>5.7766363636363645</v>
      </c>
      <c r="AK102" s="22">
        <f t="shared" si="30"/>
        <v>291.78095238095239</v>
      </c>
      <c r="AL102" s="21">
        <f t="shared" si="31"/>
        <v>1685.5124597402601</v>
      </c>
    </row>
    <row r="103" spans="24:38" x14ac:dyDescent="0.3">
      <c r="X103" s="16"/>
      <c r="Y103" s="19"/>
      <c r="Z103" s="17"/>
      <c r="AA103" s="17"/>
      <c r="AB103" s="17"/>
      <c r="AC103" s="18"/>
      <c r="AE103" s="22"/>
      <c r="AF103" s="23"/>
      <c r="AI103" s="16">
        <f t="shared" si="32"/>
        <v>45778</v>
      </c>
      <c r="AJ103" s="19">
        <f t="shared" si="29"/>
        <v>5.6712818181818179</v>
      </c>
      <c r="AK103" s="22">
        <f t="shared" si="30"/>
        <v>291.44761904761907</v>
      </c>
      <c r="AL103" s="21">
        <f t="shared" si="31"/>
        <v>1652.8815828571428</v>
      </c>
    </row>
    <row r="104" spans="24:38" x14ac:dyDescent="0.3">
      <c r="X104" s="16"/>
      <c r="Y104" s="19"/>
      <c r="Z104" s="17"/>
      <c r="AA104" s="17"/>
      <c r="AB104" s="17"/>
      <c r="AC104" s="18"/>
      <c r="AE104" s="22"/>
      <c r="AF104" s="23"/>
      <c r="AI104" s="16">
        <f t="shared" si="32"/>
        <v>45809</v>
      </c>
      <c r="AJ104" s="19">
        <f t="shared" si="29"/>
        <v>5.5382095238095248</v>
      </c>
      <c r="AK104" s="22">
        <f t="shared" si="30"/>
        <v>287.01499999999999</v>
      </c>
      <c r="AL104" s="21">
        <f t="shared" si="31"/>
        <v>1589.5492064761906</v>
      </c>
    </row>
    <row r="105" spans="24:38" x14ac:dyDescent="0.3">
      <c r="X105" s="16"/>
      <c r="Y105" s="19"/>
      <c r="Z105" s="17"/>
      <c r="AA105" s="17"/>
      <c r="AB105" s="17"/>
      <c r="AC105" s="18"/>
      <c r="AE105" s="22"/>
      <c r="AF105" s="23"/>
      <c r="AI105" s="16">
        <f t="shared" si="32"/>
        <v>45839</v>
      </c>
      <c r="AJ105" s="19">
        <f t="shared" si="29"/>
        <v>5.5310000000000006</v>
      </c>
      <c r="AK105" s="22">
        <f t="shared" si="30"/>
        <v>268.08181818181816</v>
      </c>
      <c r="AL105" s="21">
        <f t="shared" si="31"/>
        <v>1482.7605363636364</v>
      </c>
    </row>
    <row r="106" spans="24:38" x14ac:dyDescent="0.3">
      <c r="X106" s="16"/>
      <c r="Y106" s="19"/>
      <c r="Z106" s="17"/>
      <c r="AA106" s="17"/>
      <c r="AB106" s="17"/>
      <c r="AC106" s="18"/>
      <c r="AE106" s="22"/>
      <c r="AF106" s="23"/>
      <c r="AI106" s="16">
        <f t="shared" si="32"/>
        <v>45870</v>
      </c>
      <c r="AJ106" s="19">
        <f t="shared" si="29"/>
        <v>5.4441619047619056</v>
      </c>
      <c r="AK106" s="22">
        <f t="shared" si="30"/>
        <v>283.10952380952381</v>
      </c>
      <c r="AL106" s="21">
        <f t="shared" si="31"/>
        <v>1541.2940843990932</v>
      </c>
    </row>
    <row r="107" spans="24:38" x14ac:dyDescent="0.3">
      <c r="X107" s="16"/>
      <c r="Y107" s="19"/>
      <c r="Z107" s="17"/>
      <c r="AA107" s="17"/>
      <c r="AB107" s="17"/>
      <c r="AC107" s="18"/>
      <c r="AE107" s="22"/>
      <c r="AF107" s="23"/>
      <c r="AI107" s="16">
        <f t="shared" si="32"/>
        <v>45901</v>
      </c>
      <c r="AJ107" s="19">
        <f t="shared" si="29"/>
        <v>5.3672136363636369</v>
      </c>
      <c r="AK107" s="22">
        <f t="shared" si="30"/>
        <v>279.44761904761901</v>
      </c>
      <c r="AL107" s="21">
        <f t="shared" si="31"/>
        <v>1499.8550716017317</v>
      </c>
    </row>
    <row r="108" spans="24:38" x14ac:dyDescent="0.3">
      <c r="X108" s="16"/>
      <c r="Y108" s="19"/>
      <c r="Z108" s="17"/>
      <c r="AA108" s="17"/>
      <c r="AB108" s="17"/>
      <c r="AC108" s="18"/>
      <c r="AE108" s="22"/>
      <c r="AF108" s="23"/>
      <c r="AI108" s="16">
        <f t="shared" si="32"/>
        <v>45931</v>
      </c>
      <c r="AJ108" s="19">
        <f t="shared" si="29"/>
        <v>5.3882608695652179</v>
      </c>
      <c r="AK108" s="22">
        <f t="shared" si="30"/>
        <v>283.41304347826087</v>
      </c>
      <c r="AL108" s="21">
        <f t="shared" si="31"/>
        <v>1527.1034120982988</v>
      </c>
    </row>
    <row r="109" spans="24:38" x14ac:dyDescent="0.3">
      <c r="X109" s="16"/>
      <c r="Y109" s="19"/>
      <c r="Z109" s="17"/>
      <c r="AA109" s="17"/>
      <c r="AB109" s="17"/>
      <c r="AC109" s="18"/>
      <c r="AE109" s="22"/>
      <c r="AF109" s="23"/>
      <c r="AI109" s="16">
        <f t="shared" si="32"/>
        <v>45962</v>
      </c>
      <c r="AJ109" s="19">
        <f t="shared" si="29"/>
        <v>5.3377549999999996</v>
      </c>
      <c r="AK109" s="22">
        <f t="shared" si="30"/>
        <v>319.47894736842107</v>
      </c>
      <c r="AL109" s="21">
        <f t="shared" si="31"/>
        <v>1705.3003487105264</v>
      </c>
    </row>
    <row r="110" spans="24:38" x14ac:dyDescent="0.3">
      <c r="X110" s="16"/>
      <c r="Y110" s="19"/>
      <c r="Z110" s="17"/>
      <c r="AA110" s="17"/>
      <c r="AB110" s="17"/>
      <c r="AC110" s="18"/>
      <c r="AE110" s="22"/>
      <c r="AF110" s="23"/>
      <c r="AI110" s="16">
        <f t="shared" si="32"/>
        <v>45992</v>
      </c>
      <c r="AJ110" s="19">
        <f t="shared" si="29"/>
        <v>5.4620304347826076</v>
      </c>
      <c r="AK110" s="22">
        <f t="shared" si="30"/>
        <v>301.7681818181818</v>
      </c>
      <c r="AL110" s="21">
        <f t="shared" si="31"/>
        <v>1648.2669933399206</v>
      </c>
    </row>
    <row r="111" spans="24:38" x14ac:dyDescent="0.3">
      <c r="X111" s="16"/>
      <c r="Y111" s="19"/>
      <c r="Z111" s="17"/>
      <c r="AA111" s="17"/>
      <c r="AB111" s="17"/>
      <c r="AC111" s="18"/>
      <c r="AE111" s="22"/>
      <c r="AF111" s="23"/>
      <c r="AI111" s="16">
        <f t="shared" si="32"/>
        <v>46023</v>
      </c>
      <c r="AJ111" s="19">
        <f t="shared" si="29"/>
        <v>5.3385136363636372</v>
      </c>
      <c r="AK111" s="22">
        <f t="shared" si="30"/>
        <v>294.23499999999996</v>
      </c>
      <c r="AL111" s="21">
        <f t="shared" si="31"/>
        <v>1570.7775597954546</v>
      </c>
    </row>
    <row r="112" spans="24:38" x14ac:dyDescent="0.3">
      <c r="X112" s="16"/>
      <c r="Y112" s="19"/>
      <c r="Z112" s="17"/>
      <c r="AA112" s="17"/>
      <c r="AB112" s="17"/>
      <c r="AC112" s="18"/>
      <c r="AE112" s="22"/>
      <c r="AF112" s="23"/>
      <c r="AI112" s="16">
        <f t="shared" si="32"/>
        <v>46054</v>
      </c>
      <c r="AJ112" s="19">
        <f t="shared" si="29"/>
        <v>5.20059</v>
      </c>
      <c r="AK112" s="22">
        <f t="shared" si="30"/>
        <v>305.43157894736839</v>
      </c>
      <c r="AL112" s="21">
        <f t="shared" si="31"/>
        <v>1588.4244151578946</v>
      </c>
    </row>
    <row r="113" spans="24:38" x14ac:dyDescent="0.3">
      <c r="X113" s="16"/>
      <c r="Y113" s="19"/>
      <c r="Z113" s="17"/>
      <c r="AA113" s="17"/>
      <c r="AB113" s="17"/>
      <c r="AC113" s="18"/>
      <c r="AE113" s="22"/>
      <c r="AF113" s="23"/>
      <c r="AI113" s="16">
        <f t="shared" si="32"/>
        <v>46082</v>
      </c>
      <c r="AJ113" s="19">
        <f t="shared" si="29"/>
        <v>5.2299363636363649</v>
      </c>
      <c r="AK113" s="22">
        <f t="shared" si="30"/>
        <v>316.54545454545456</v>
      </c>
      <c r="AL113" s="21">
        <f t="shared" si="31"/>
        <v>1655.5125834710748</v>
      </c>
    </row>
    <row r="114" spans="24:38" x14ac:dyDescent="0.3">
      <c r="X114" s="16"/>
      <c r="Y114" s="19"/>
      <c r="Z114" s="17"/>
      <c r="AA114" s="17"/>
      <c r="AB114" s="17"/>
      <c r="AC114" s="18"/>
      <c r="AE114" s="22"/>
      <c r="AF114" s="23"/>
      <c r="AI114" s="16">
        <f t="shared" si="32"/>
        <v>46113</v>
      </c>
      <c r="AJ114" s="19">
        <f t="shared" si="29"/>
        <v>5.0298227272727276</v>
      </c>
      <c r="AK114" s="22">
        <f t="shared" si="30"/>
        <v>324.29090909090911</v>
      </c>
      <c r="AL114" s="21">
        <f t="shared" si="31"/>
        <v>1631.1257847933887</v>
      </c>
    </row>
    <row r="115" spans="24:38" x14ac:dyDescent="0.3">
      <c r="X115" s="16"/>
      <c r="Y115" s="19"/>
      <c r="Z115" s="17"/>
      <c r="AA115" s="17"/>
      <c r="AB115" s="17"/>
      <c r="AC115" s="18"/>
      <c r="AE115" s="22"/>
      <c r="AF115" s="23"/>
      <c r="AI115" s="16"/>
    </row>
    <row r="116" spans="24:38" x14ac:dyDescent="0.3">
      <c r="X116" s="16"/>
      <c r="Y116" s="19"/>
      <c r="Z116" s="17"/>
      <c r="AA116" s="17"/>
      <c r="AB116" s="17"/>
      <c r="AC116" s="18"/>
      <c r="AE116" s="22"/>
      <c r="AF116" s="23"/>
      <c r="AI116" s="16"/>
    </row>
    <row r="117" spans="24:38" x14ac:dyDescent="0.3">
      <c r="X117" s="16"/>
      <c r="Y117" s="19"/>
      <c r="Z117" s="17"/>
      <c r="AA117" s="17"/>
      <c r="AB117" s="17"/>
      <c r="AC117" s="18"/>
      <c r="AE117" s="22"/>
      <c r="AF117" s="23"/>
      <c r="AI117" s="16"/>
    </row>
    <row r="118" spans="24:38" x14ac:dyDescent="0.3">
      <c r="X118" s="16"/>
      <c r="Y118" s="19"/>
      <c r="Z118" s="17"/>
      <c r="AA118" s="17"/>
      <c r="AB118" s="17"/>
      <c r="AC118" s="18"/>
      <c r="AE118" s="22"/>
      <c r="AF118" s="23"/>
      <c r="AI118" s="16"/>
    </row>
    <row r="119" spans="24:38" x14ac:dyDescent="0.3">
      <c r="X119" s="16"/>
      <c r="Y119" s="16"/>
      <c r="AI119" s="16"/>
    </row>
    <row r="120" spans="24:38" x14ac:dyDescent="0.3">
      <c r="X120" s="16"/>
      <c r="Y120" s="16"/>
      <c r="AI120" s="16"/>
    </row>
    <row r="121" spans="24:38" x14ac:dyDescent="0.3">
      <c r="X121" s="16"/>
      <c r="Y121" s="16"/>
      <c r="AI121" s="16"/>
    </row>
    <row r="122" spans="24:38" x14ac:dyDescent="0.3">
      <c r="X122" s="16"/>
      <c r="Y122" s="16"/>
      <c r="AI122" s="16"/>
    </row>
    <row r="123" spans="24:38" x14ac:dyDescent="0.3">
      <c r="X123" s="16"/>
      <c r="Y123" s="16"/>
      <c r="AI123" s="16"/>
    </row>
    <row r="124" spans="24:38" x14ac:dyDescent="0.3">
      <c r="X124" s="16"/>
      <c r="Y124" s="16"/>
      <c r="AI124" s="16"/>
    </row>
    <row r="125" spans="24:38" x14ac:dyDescent="0.3">
      <c r="X125" s="16"/>
      <c r="Y125" s="16"/>
      <c r="AI125" s="16"/>
    </row>
    <row r="126" spans="24:38" x14ac:dyDescent="0.3">
      <c r="X126" s="16"/>
      <c r="Y126" s="16"/>
      <c r="AI126" s="16"/>
    </row>
    <row r="127" spans="24:38" x14ac:dyDescent="0.3">
      <c r="X127" s="16"/>
      <c r="Y127" s="16"/>
      <c r="AI127" s="16"/>
    </row>
    <row r="128" spans="24:38" x14ac:dyDescent="0.3">
      <c r="X128" s="16"/>
      <c r="Y128" s="16"/>
      <c r="AI128" s="16"/>
    </row>
    <row r="129" spans="24:35" x14ac:dyDescent="0.3">
      <c r="X129" s="16"/>
      <c r="Y129" s="16"/>
      <c r="AI129" s="16"/>
    </row>
    <row r="130" spans="24:35" x14ac:dyDescent="0.3">
      <c r="X130" s="16"/>
      <c r="Y130" s="16"/>
      <c r="AI130" s="16"/>
    </row>
    <row r="131" spans="24:35" x14ac:dyDescent="0.3">
      <c r="X131" s="16"/>
      <c r="Y131" s="16"/>
      <c r="AI131" s="16"/>
    </row>
    <row r="132" spans="24:35" x14ac:dyDescent="0.3">
      <c r="X132" s="16"/>
      <c r="Y132" s="16"/>
      <c r="AI132" s="16"/>
    </row>
    <row r="133" spans="24:35" x14ac:dyDescent="0.3">
      <c r="X133" s="16"/>
      <c r="Y133" s="16"/>
      <c r="AI133" s="16"/>
    </row>
    <row r="134" spans="24:35" x14ac:dyDescent="0.3">
      <c r="X134" s="16"/>
      <c r="Y134" s="16"/>
      <c r="AI134" s="16"/>
    </row>
    <row r="135" spans="24:35" x14ac:dyDescent="0.3">
      <c r="X135" s="16"/>
      <c r="Y135" s="16"/>
      <c r="AI135" s="16"/>
    </row>
    <row r="136" spans="24:35" x14ac:dyDescent="0.3">
      <c r="X136" s="16"/>
      <c r="Y136" s="16"/>
      <c r="AI136" s="16"/>
    </row>
    <row r="137" spans="24:35" x14ac:dyDescent="0.3">
      <c r="X137" s="16"/>
      <c r="Y137" s="16"/>
      <c r="AI137" s="16"/>
    </row>
    <row r="138" spans="24:35" x14ac:dyDescent="0.3">
      <c r="X138" s="16"/>
      <c r="Y138" s="16"/>
      <c r="AI138" s="16"/>
    </row>
    <row r="139" spans="24:35" x14ac:dyDescent="0.3">
      <c r="X139" s="16"/>
      <c r="Y139" s="16"/>
      <c r="AI139" s="16"/>
    </row>
    <row r="140" spans="24:35" x14ac:dyDescent="0.3">
      <c r="X140" s="16"/>
      <c r="Y140" s="16"/>
      <c r="AI140" s="16"/>
    </row>
    <row r="141" spans="24:35" x14ac:dyDescent="0.3">
      <c r="X141" s="16"/>
      <c r="Y141" s="16"/>
      <c r="AI141" s="16"/>
    </row>
    <row r="142" spans="24:35" x14ac:dyDescent="0.3">
      <c r="X142" s="16"/>
      <c r="Y142" s="16"/>
      <c r="AI142" s="16"/>
    </row>
    <row r="143" spans="24:35" x14ac:dyDescent="0.3">
      <c r="X143" s="16"/>
      <c r="Y143" s="16"/>
    </row>
    <row r="144" spans="24:35" x14ac:dyDescent="0.3">
      <c r="X144" s="16"/>
      <c r="Y144" s="16"/>
    </row>
    <row r="145" spans="24:25" x14ac:dyDescent="0.3">
      <c r="X145" s="16"/>
      <c r="Y145" s="16"/>
    </row>
    <row r="146" spans="24:25" x14ac:dyDescent="0.3">
      <c r="X146" s="16"/>
      <c r="Y146" s="16"/>
    </row>
    <row r="147" spans="24:25" x14ac:dyDescent="0.3">
      <c r="X147" s="16"/>
      <c r="Y147" s="16"/>
    </row>
    <row r="148" spans="24:25" x14ac:dyDescent="0.3">
      <c r="X148" s="16"/>
      <c r="Y148" s="16"/>
    </row>
  </sheetData>
  <pageMargins left="0.511811024" right="0.511811024" top="0.78740157499999996" bottom="0.78740157499999996" header="0.31496062000000002" footer="0.31496062000000002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ENERGIA</vt:lpstr>
      <vt:lpstr>AGRO</vt:lpstr>
      <vt:lpstr>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Giulia</dc:creator>
  <cp:lastModifiedBy>Lucas Brunetti</cp:lastModifiedBy>
  <dcterms:created xsi:type="dcterms:W3CDTF">2026-03-20T13:15:28Z</dcterms:created>
  <dcterms:modified xsi:type="dcterms:W3CDTF">2026-05-04T19:50:57Z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2026-03-20T14:10:15Z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e2259e4e-427c-40af-9de3-477a66c50e67</vt:lpwstr>
  </property>
  <property fmtid="{D5CDD505-2E9C-101B-9397-08002B2CF9AE}" pid="8" name="MSIP_Label_16ffedc7-8dd7-4346-b906-eaa072ee5258_ContentBits">
    <vt:lpwstr>1</vt:lpwstr>
  </property>
</Properties>
</file>